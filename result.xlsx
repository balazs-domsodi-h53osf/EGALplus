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ázs Dömsödi\Desktop\"/>
    </mc:Choice>
  </mc:AlternateContent>
  <xr:revisionPtr revIDLastSave="0" documentId="13_ncr:1_{3E334336-DD6B-4C45-AFDE-6915D77C2CC1}" xr6:coauthVersionLast="47" xr6:coauthVersionMax="47" xr10:uidLastSave="{00000000-0000-0000-0000-000000000000}"/>
  <bookViews>
    <workbookView xWindow="-120" yWindow="-120" windowWidth="29040" windowHeight="15990" xr2:uid="{2557F537-031A-40D1-A18D-46244E641FFC}"/>
  </bookViews>
  <sheets>
    <sheet name="summary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C10" i="1"/>
  <c r="C9" i="1"/>
  <c r="E6" i="1"/>
  <c r="D6" i="1"/>
  <c r="C6" i="1"/>
  <c r="E5" i="1"/>
  <c r="D5" i="1"/>
  <c r="C5" i="1"/>
  <c r="E4" i="1"/>
  <c r="D4" i="1"/>
  <c r="C4" i="1"/>
  <c r="E3" i="1"/>
  <c r="D3" i="1"/>
  <c r="C3" i="1"/>
  <c r="I5250" i="2"/>
  <c r="I5249" i="2"/>
  <c r="I5248" i="2"/>
  <c r="I5247" i="2"/>
  <c r="I5246" i="2"/>
  <c r="I5245" i="2"/>
  <c r="I5229" i="2"/>
  <c r="I5228" i="2"/>
  <c r="I5227" i="2"/>
  <c r="I5226" i="2"/>
  <c r="I5225" i="2"/>
  <c r="I5224" i="2"/>
  <c r="I5208" i="2"/>
  <c r="I5207" i="2"/>
  <c r="I5206" i="2"/>
  <c r="I5205" i="2"/>
  <c r="I5204" i="2"/>
  <c r="I5203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D10" i="1"/>
  <c r="E10" i="1"/>
  <c r="D9" i="1"/>
  <c r="I5187" i="2"/>
  <c r="I5186" i="2"/>
  <c r="I5185" i="2"/>
  <c r="I5184" i="2"/>
  <c r="I5183" i="2"/>
  <c r="I5182" i="2"/>
  <c r="I5166" i="2"/>
  <c r="I5165" i="2"/>
  <c r="I5164" i="2"/>
  <c r="I5163" i="2"/>
  <c r="I5162" i="2"/>
  <c r="I5161" i="2"/>
  <c r="I5145" i="2"/>
  <c r="I5144" i="2"/>
  <c r="I5143" i="2"/>
  <c r="I5142" i="2"/>
  <c r="I5141" i="2"/>
  <c r="I5140" i="2"/>
  <c r="I5124" i="2"/>
  <c r="I5123" i="2"/>
  <c r="I5122" i="2"/>
  <c r="I5121" i="2"/>
  <c r="I5120" i="2"/>
  <c r="I5119" i="2"/>
  <c r="I5103" i="2"/>
  <c r="I5102" i="2"/>
  <c r="I5101" i="2"/>
  <c r="I5100" i="2"/>
  <c r="I5099" i="2"/>
  <c r="I5098" i="2"/>
  <c r="I5082" i="2"/>
  <c r="I5081" i="2"/>
  <c r="I5080" i="2"/>
  <c r="I5079" i="2"/>
  <c r="I5078" i="2"/>
  <c r="I5077" i="2"/>
  <c r="I5061" i="2"/>
  <c r="I5060" i="2"/>
  <c r="I5059" i="2"/>
  <c r="I5058" i="2"/>
  <c r="I5057" i="2"/>
  <c r="I5056" i="2"/>
  <c r="I5040" i="2"/>
  <c r="I5039" i="2"/>
  <c r="I5038" i="2"/>
  <c r="I5037" i="2"/>
  <c r="I5036" i="2"/>
  <c r="I5035" i="2"/>
  <c r="I5019" i="2"/>
  <c r="I5018" i="2"/>
  <c r="I5017" i="2"/>
  <c r="I5016" i="2"/>
  <c r="I5015" i="2"/>
  <c r="I5014" i="2"/>
  <c r="I4998" i="2"/>
  <c r="I4997" i="2"/>
  <c r="I4996" i="2"/>
  <c r="I4995" i="2"/>
  <c r="I4994" i="2"/>
  <c r="I4993" i="2"/>
  <c r="I4977" i="2"/>
  <c r="I4976" i="2"/>
  <c r="I4975" i="2"/>
  <c r="I4974" i="2"/>
  <c r="I4973" i="2"/>
  <c r="I4972" i="2"/>
  <c r="I4956" i="2"/>
  <c r="I4955" i="2"/>
  <c r="I4954" i="2"/>
  <c r="I4953" i="2"/>
  <c r="I4952" i="2"/>
  <c r="I4951" i="2"/>
  <c r="I4935" i="2"/>
  <c r="I4934" i="2"/>
  <c r="I4933" i="2"/>
  <c r="I4932" i="2"/>
  <c r="I4931" i="2"/>
  <c r="I4930" i="2"/>
  <c r="I4914" i="2"/>
  <c r="I4913" i="2"/>
  <c r="I4912" i="2"/>
  <c r="I4911" i="2"/>
  <c r="I4910" i="2"/>
  <c r="I4909" i="2"/>
  <c r="I4893" i="2"/>
  <c r="I4892" i="2"/>
  <c r="I4891" i="2"/>
  <c r="I4890" i="2"/>
  <c r="I4889" i="2"/>
  <c r="I4888" i="2"/>
  <c r="I4872" i="2"/>
  <c r="I4871" i="2"/>
  <c r="I4870" i="2"/>
  <c r="I4869" i="2"/>
  <c r="I4868" i="2"/>
  <c r="I4867" i="2"/>
  <c r="I4851" i="2"/>
  <c r="I4850" i="2"/>
  <c r="I4849" i="2"/>
  <c r="I4848" i="2"/>
  <c r="I4847" i="2"/>
  <c r="I4846" i="2"/>
  <c r="I4830" i="2"/>
  <c r="I4829" i="2"/>
  <c r="I4828" i="2"/>
  <c r="I4827" i="2"/>
  <c r="I4826" i="2"/>
  <c r="I4825" i="2"/>
  <c r="I4809" i="2"/>
  <c r="I4808" i="2"/>
  <c r="I4807" i="2"/>
  <c r="I4806" i="2"/>
  <c r="I4805" i="2"/>
  <c r="I4804" i="2"/>
  <c r="I4788" i="2"/>
  <c r="I4787" i="2"/>
  <c r="I4786" i="2"/>
  <c r="I4785" i="2"/>
  <c r="I4784" i="2"/>
  <c r="I4783" i="2"/>
  <c r="I4767" i="2"/>
  <c r="I4766" i="2"/>
  <c r="I4765" i="2"/>
  <c r="I4764" i="2"/>
  <c r="I4763" i="2"/>
  <c r="I4762" i="2"/>
  <c r="I4746" i="2"/>
  <c r="I4745" i="2"/>
  <c r="I4744" i="2"/>
  <c r="I4743" i="2"/>
  <c r="I4742" i="2"/>
  <c r="I4741" i="2"/>
  <c r="I4725" i="2"/>
  <c r="I4724" i="2"/>
  <c r="I4723" i="2"/>
  <c r="I4722" i="2"/>
  <c r="I4721" i="2"/>
  <c r="I4720" i="2"/>
  <c r="I4704" i="2"/>
  <c r="I4703" i="2"/>
  <c r="I4702" i="2"/>
  <c r="I4701" i="2"/>
  <c r="I4700" i="2"/>
  <c r="I4699" i="2"/>
  <c r="I4683" i="2"/>
  <c r="I4682" i="2"/>
  <c r="I4681" i="2"/>
  <c r="I4680" i="2"/>
  <c r="I4679" i="2"/>
  <c r="I4678" i="2"/>
  <c r="I4662" i="2"/>
  <c r="I4661" i="2"/>
  <c r="I4660" i="2"/>
  <c r="I4659" i="2"/>
  <c r="I4658" i="2"/>
  <c r="I4657" i="2"/>
  <c r="I4641" i="2"/>
  <c r="I4640" i="2"/>
  <c r="I4639" i="2"/>
  <c r="I4638" i="2"/>
  <c r="I4637" i="2"/>
  <c r="I4636" i="2"/>
  <c r="I4620" i="2"/>
  <c r="I4619" i="2"/>
  <c r="I4618" i="2"/>
  <c r="I4617" i="2"/>
  <c r="I4616" i="2"/>
  <c r="I4615" i="2"/>
  <c r="I4599" i="2"/>
  <c r="I4598" i="2"/>
  <c r="I4597" i="2"/>
  <c r="I4596" i="2"/>
  <c r="I4595" i="2"/>
  <c r="I4594" i="2"/>
  <c r="I4578" i="2"/>
  <c r="I4577" i="2"/>
  <c r="I4576" i="2"/>
  <c r="I4575" i="2"/>
  <c r="I4574" i="2"/>
  <c r="I4573" i="2"/>
  <c r="I4557" i="2"/>
  <c r="I4556" i="2"/>
  <c r="I4555" i="2"/>
  <c r="I4554" i="2"/>
  <c r="I4553" i="2"/>
  <c r="I4552" i="2"/>
  <c r="I4536" i="2"/>
  <c r="I4535" i="2"/>
  <c r="I4534" i="2"/>
  <c r="I4533" i="2"/>
  <c r="I4532" i="2"/>
  <c r="I4531" i="2"/>
  <c r="I4515" i="2"/>
  <c r="I4514" i="2"/>
  <c r="I4513" i="2"/>
  <c r="I4512" i="2"/>
  <c r="I4511" i="2"/>
  <c r="I4510" i="2"/>
  <c r="I4494" i="2"/>
  <c r="I4493" i="2"/>
  <c r="I4492" i="2"/>
  <c r="I4491" i="2"/>
  <c r="I4490" i="2"/>
  <c r="I4489" i="2"/>
  <c r="I4473" i="2"/>
  <c r="I4472" i="2"/>
  <c r="I4471" i="2"/>
  <c r="I4470" i="2"/>
  <c r="I4469" i="2"/>
  <c r="I4468" i="2"/>
  <c r="I4452" i="2"/>
  <c r="I4451" i="2"/>
  <c r="I4450" i="2"/>
  <c r="I4449" i="2"/>
  <c r="I4448" i="2"/>
  <c r="I4447" i="2"/>
  <c r="I4431" i="2"/>
  <c r="I4430" i="2"/>
  <c r="I4429" i="2"/>
  <c r="I4428" i="2"/>
  <c r="I4427" i="2"/>
  <c r="I4426" i="2"/>
  <c r="I4410" i="2"/>
  <c r="I4409" i="2"/>
  <c r="I4408" i="2"/>
  <c r="I4407" i="2"/>
  <c r="I4406" i="2"/>
  <c r="I4405" i="2"/>
  <c r="I4389" i="2"/>
  <c r="I4388" i="2"/>
  <c r="I4387" i="2"/>
  <c r="I4386" i="2"/>
  <c r="I4385" i="2"/>
  <c r="I4384" i="2"/>
  <c r="I4368" i="2"/>
  <c r="I4367" i="2"/>
  <c r="I4366" i="2"/>
  <c r="I4365" i="2"/>
  <c r="I4364" i="2"/>
  <c r="I4363" i="2"/>
  <c r="I4347" i="2"/>
  <c r="I4346" i="2"/>
  <c r="I4345" i="2"/>
  <c r="I4344" i="2"/>
  <c r="I4343" i="2"/>
  <c r="I4342" i="2"/>
  <c r="I4326" i="2"/>
  <c r="I4325" i="2"/>
  <c r="I4324" i="2"/>
  <c r="I4323" i="2"/>
  <c r="I4322" i="2"/>
  <c r="I4321" i="2"/>
  <c r="I4305" i="2"/>
  <c r="I4304" i="2"/>
  <c r="I4303" i="2"/>
  <c r="I4302" i="2"/>
  <c r="I4301" i="2"/>
  <c r="I4300" i="2"/>
  <c r="I4284" i="2"/>
  <c r="I4283" i="2"/>
  <c r="I4282" i="2"/>
  <c r="I4281" i="2"/>
  <c r="I4280" i="2"/>
  <c r="I4279" i="2"/>
  <c r="I4263" i="2"/>
  <c r="I4262" i="2"/>
  <c r="I4261" i="2"/>
  <c r="I4260" i="2"/>
  <c r="I4259" i="2"/>
  <c r="I4258" i="2"/>
  <c r="I4242" i="2"/>
  <c r="I4241" i="2"/>
  <c r="I4240" i="2"/>
  <c r="I4239" i="2"/>
  <c r="I4238" i="2"/>
  <c r="I4237" i="2"/>
  <c r="I4221" i="2"/>
  <c r="I4220" i="2"/>
  <c r="I4219" i="2"/>
  <c r="I4218" i="2"/>
  <c r="I4217" i="2"/>
  <c r="I4216" i="2"/>
  <c r="I4200" i="2"/>
  <c r="I4199" i="2"/>
  <c r="I4198" i="2"/>
  <c r="I4197" i="2"/>
  <c r="I4196" i="2"/>
  <c r="I4195" i="2"/>
  <c r="I4179" i="2"/>
  <c r="I4178" i="2"/>
  <c r="I4177" i="2"/>
  <c r="I4176" i="2"/>
  <c r="I4175" i="2"/>
  <c r="I4174" i="2"/>
  <c r="I4158" i="2"/>
  <c r="I4157" i="2"/>
  <c r="I4156" i="2"/>
  <c r="I4155" i="2"/>
  <c r="I4154" i="2"/>
  <c r="I4153" i="2"/>
  <c r="I4137" i="2"/>
  <c r="I4136" i="2"/>
  <c r="I4135" i="2"/>
  <c r="I4134" i="2"/>
  <c r="I4133" i="2"/>
  <c r="I4132" i="2"/>
  <c r="I4116" i="2"/>
  <c r="I4115" i="2"/>
  <c r="I4114" i="2"/>
  <c r="I4113" i="2"/>
  <c r="I4112" i="2"/>
  <c r="I4111" i="2"/>
  <c r="I4095" i="2"/>
  <c r="I4094" i="2"/>
  <c r="I4093" i="2"/>
  <c r="I4092" i="2"/>
  <c r="I4091" i="2"/>
  <c r="I4090" i="2"/>
  <c r="I4074" i="2"/>
  <c r="I4073" i="2"/>
  <c r="I4072" i="2"/>
  <c r="I4071" i="2"/>
  <c r="I4070" i="2"/>
  <c r="I4069" i="2"/>
  <c r="I4053" i="2"/>
  <c r="I4052" i="2"/>
  <c r="I4051" i="2"/>
  <c r="I4050" i="2"/>
  <c r="I4049" i="2"/>
  <c r="I4048" i="2"/>
  <c r="I4032" i="2"/>
  <c r="I4031" i="2"/>
  <c r="I4030" i="2"/>
  <c r="I4029" i="2"/>
  <c r="I4028" i="2"/>
  <c r="I4027" i="2"/>
  <c r="I4011" i="2"/>
  <c r="I4010" i="2"/>
  <c r="I4009" i="2"/>
  <c r="I4008" i="2"/>
  <c r="I4007" i="2"/>
  <c r="I4006" i="2"/>
  <c r="I3990" i="2"/>
  <c r="I3989" i="2"/>
  <c r="I3988" i="2"/>
  <c r="I3987" i="2"/>
  <c r="I3986" i="2"/>
  <c r="I3985" i="2"/>
  <c r="I3969" i="2"/>
  <c r="I3968" i="2"/>
  <c r="I3967" i="2"/>
  <c r="I3966" i="2"/>
  <c r="I3965" i="2"/>
  <c r="I3964" i="2"/>
  <c r="I3948" i="2"/>
  <c r="I3947" i="2"/>
  <c r="I3946" i="2"/>
  <c r="I3945" i="2"/>
  <c r="I3944" i="2"/>
  <c r="I3943" i="2"/>
  <c r="I3927" i="2"/>
  <c r="I3926" i="2"/>
  <c r="I3925" i="2"/>
  <c r="I3924" i="2"/>
  <c r="I3923" i="2"/>
  <c r="I3922" i="2"/>
  <c r="I3906" i="2"/>
  <c r="I3905" i="2"/>
  <c r="I3904" i="2"/>
  <c r="I3903" i="2"/>
  <c r="I3902" i="2"/>
  <c r="I3901" i="2"/>
  <c r="I3885" i="2"/>
  <c r="I3884" i="2"/>
  <c r="I3883" i="2"/>
  <c r="I3882" i="2"/>
  <c r="I3881" i="2"/>
  <c r="I3880" i="2"/>
  <c r="I3864" i="2"/>
  <c r="I3863" i="2"/>
  <c r="I3862" i="2"/>
  <c r="I3861" i="2"/>
  <c r="I3860" i="2"/>
  <c r="I3859" i="2"/>
  <c r="I3843" i="2"/>
  <c r="I3842" i="2"/>
  <c r="I3841" i="2"/>
  <c r="I3840" i="2"/>
  <c r="I3839" i="2"/>
  <c r="I3838" i="2"/>
  <c r="I3822" i="2"/>
  <c r="I3821" i="2"/>
  <c r="I3820" i="2"/>
  <c r="I3819" i="2"/>
  <c r="I3818" i="2"/>
  <c r="I3817" i="2"/>
  <c r="I3801" i="2"/>
  <c r="I3800" i="2"/>
  <c r="I3799" i="2"/>
  <c r="I3798" i="2"/>
  <c r="I3797" i="2"/>
  <c r="I3796" i="2"/>
  <c r="I3780" i="2"/>
  <c r="I3779" i="2"/>
  <c r="I3778" i="2"/>
  <c r="I3777" i="2"/>
  <c r="I3776" i="2"/>
  <c r="I3775" i="2"/>
  <c r="I3759" i="2"/>
  <c r="I3758" i="2"/>
  <c r="I3757" i="2"/>
  <c r="I3756" i="2"/>
  <c r="I3755" i="2"/>
  <c r="I3754" i="2"/>
  <c r="I3738" i="2"/>
  <c r="I3737" i="2"/>
  <c r="I3736" i="2"/>
  <c r="I3735" i="2"/>
  <c r="I3734" i="2"/>
  <c r="I3733" i="2"/>
  <c r="I3717" i="2"/>
  <c r="I3716" i="2"/>
  <c r="I3715" i="2"/>
  <c r="I3714" i="2"/>
  <c r="I3713" i="2"/>
  <c r="I3712" i="2"/>
  <c r="I3696" i="2"/>
  <c r="I3695" i="2"/>
  <c r="I3694" i="2"/>
  <c r="I3693" i="2"/>
  <c r="I3692" i="2"/>
  <c r="I3691" i="2"/>
  <c r="I3675" i="2"/>
  <c r="I3674" i="2"/>
  <c r="I3673" i="2"/>
  <c r="I3672" i="2"/>
  <c r="I3671" i="2"/>
  <c r="I3670" i="2"/>
  <c r="I3654" i="2"/>
  <c r="I3653" i="2"/>
  <c r="I3652" i="2"/>
  <c r="I3651" i="2"/>
  <c r="I3650" i="2"/>
  <c r="I3649" i="2"/>
  <c r="I3633" i="2"/>
  <c r="I3632" i="2"/>
  <c r="I3631" i="2"/>
  <c r="I3630" i="2"/>
  <c r="I3629" i="2"/>
  <c r="I3628" i="2"/>
  <c r="I3612" i="2"/>
  <c r="I3611" i="2"/>
  <c r="I3610" i="2"/>
  <c r="I3609" i="2"/>
  <c r="I3608" i="2"/>
  <c r="I3607" i="2"/>
  <c r="I3591" i="2"/>
  <c r="I3590" i="2"/>
  <c r="I3589" i="2"/>
  <c r="I3588" i="2"/>
  <c r="I3587" i="2"/>
  <c r="I3586" i="2"/>
  <c r="I3570" i="2"/>
  <c r="I3569" i="2"/>
  <c r="I3568" i="2"/>
  <c r="I3567" i="2"/>
  <c r="I3566" i="2"/>
  <c r="I3565" i="2"/>
  <c r="I3549" i="2"/>
  <c r="I3548" i="2"/>
  <c r="I3547" i="2"/>
  <c r="I3546" i="2"/>
  <c r="I3545" i="2"/>
  <c r="I3544" i="2"/>
  <c r="I3528" i="2"/>
  <c r="I3527" i="2"/>
  <c r="I3526" i="2"/>
  <c r="I3525" i="2"/>
  <c r="I3524" i="2"/>
  <c r="I3523" i="2"/>
  <c r="I3507" i="2"/>
  <c r="I3506" i="2"/>
  <c r="I3505" i="2"/>
  <c r="I3504" i="2"/>
  <c r="I3503" i="2"/>
  <c r="I3502" i="2"/>
  <c r="I3486" i="2"/>
  <c r="I3485" i="2"/>
  <c r="I3484" i="2"/>
  <c r="I3483" i="2"/>
  <c r="I3482" i="2"/>
  <c r="I3481" i="2"/>
  <c r="I3465" i="2"/>
  <c r="I3464" i="2"/>
  <c r="I3463" i="2"/>
  <c r="I3462" i="2"/>
  <c r="I3461" i="2"/>
  <c r="I3460" i="2"/>
  <c r="I3444" i="2"/>
  <c r="I3443" i="2"/>
  <c r="I3442" i="2"/>
  <c r="I3441" i="2"/>
  <c r="I3440" i="2"/>
  <c r="I3439" i="2"/>
  <c r="I3423" i="2"/>
  <c r="I3422" i="2"/>
  <c r="I3421" i="2"/>
  <c r="I3420" i="2"/>
  <c r="I3419" i="2"/>
  <c r="I3418" i="2"/>
  <c r="I3402" i="2"/>
  <c r="I3401" i="2"/>
  <c r="I3400" i="2"/>
  <c r="I3399" i="2"/>
  <c r="I3398" i="2"/>
  <c r="I3397" i="2"/>
  <c r="I3381" i="2"/>
  <c r="I3380" i="2"/>
  <c r="I3379" i="2"/>
  <c r="I3378" i="2"/>
  <c r="I3377" i="2"/>
  <c r="I3376" i="2"/>
  <c r="I3360" i="2"/>
  <c r="I3359" i="2"/>
  <c r="I3358" i="2"/>
  <c r="I3357" i="2"/>
  <c r="I3356" i="2"/>
  <c r="I3355" i="2"/>
  <c r="I3339" i="2"/>
  <c r="I3338" i="2"/>
  <c r="I3337" i="2"/>
  <c r="I3336" i="2"/>
  <c r="I3335" i="2"/>
  <c r="I3334" i="2"/>
  <c r="I3318" i="2"/>
  <c r="I3317" i="2"/>
  <c r="I3316" i="2"/>
  <c r="I3315" i="2"/>
  <c r="I3314" i="2"/>
  <c r="I3313" i="2"/>
  <c r="I3297" i="2"/>
  <c r="I3296" i="2"/>
  <c r="I3295" i="2"/>
  <c r="I3294" i="2"/>
  <c r="I3293" i="2"/>
  <c r="I3292" i="2"/>
  <c r="I3276" i="2"/>
  <c r="I3275" i="2"/>
  <c r="I3274" i="2"/>
  <c r="I3273" i="2"/>
  <c r="I3272" i="2"/>
  <c r="I3271" i="2"/>
  <c r="I3255" i="2"/>
  <c r="I3254" i="2"/>
  <c r="I3253" i="2"/>
  <c r="I3252" i="2"/>
  <c r="I3251" i="2"/>
  <c r="I3250" i="2"/>
  <c r="I3234" i="2"/>
  <c r="I3233" i="2"/>
  <c r="I3232" i="2"/>
  <c r="I3231" i="2"/>
  <c r="I3230" i="2"/>
  <c r="I3229" i="2"/>
  <c r="I3213" i="2"/>
  <c r="I3212" i="2"/>
  <c r="I3211" i="2"/>
  <c r="I3210" i="2"/>
  <c r="I3209" i="2"/>
  <c r="I3208" i="2"/>
  <c r="I3192" i="2"/>
  <c r="I3191" i="2"/>
  <c r="I3190" i="2"/>
  <c r="I3189" i="2"/>
  <c r="I3188" i="2"/>
  <c r="I3187" i="2"/>
  <c r="I3171" i="2"/>
  <c r="I3170" i="2"/>
  <c r="I3169" i="2"/>
  <c r="I3168" i="2"/>
  <c r="I3167" i="2"/>
  <c r="I3166" i="2"/>
  <c r="I3150" i="2"/>
  <c r="I3149" i="2"/>
  <c r="I3148" i="2"/>
  <c r="I3147" i="2"/>
  <c r="I3146" i="2"/>
  <c r="I3145" i="2"/>
  <c r="I3129" i="2"/>
  <c r="I3128" i="2"/>
  <c r="I3127" i="2"/>
  <c r="I3126" i="2"/>
  <c r="I3125" i="2"/>
  <c r="I3124" i="2"/>
  <c r="I3108" i="2"/>
  <c r="I3107" i="2"/>
  <c r="I3106" i="2"/>
  <c r="I3105" i="2"/>
  <c r="I3104" i="2"/>
  <c r="I3103" i="2"/>
  <c r="I3087" i="2"/>
  <c r="I3086" i="2"/>
  <c r="I3085" i="2"/>
  <c r="I3084" i="2"/>
  <c r="I3083" i="2"/>
  <c r="I3082" i="2"/>
  <c r="I3066" i="2"/>
  <c r="I3065" i="2"/>
  <c r="I3064" i="2"/>
  <c r="I3063" i="2"/>
  <c r="I3062" i="2"/>
  <c r="I3061" i="2"/>
  <c r="I3045" i="2"/>
  <c r="I3044" i="2"/>
  <c r="I3043" i="2"/>
  <c r="I3042" i="2"/>
  <c r="I3041" i="2"/>
  <c r="I3040" i="2"/>
  <c r="I3024" i="2"/>
  <c r="I3023" i="2"/>
  <c r="I3022" i="2"/>
  <c r="I3021" i="2"/>
  <c r="I3020" i="2"/>
  <c r="I3019" i="2"/>
  <c r="I3003" i="2"/>
  <c r="I3002" i="2"/>
  <c r="I3001" i="2"/>
  <c r="I3000" i="2"/>
  <c r="I2999" i="2"/>
  <c r="I2998" i="2"/>
  <c r="I2982" i="2"/>
  <c r="I2981" i="2"/>
  <c r="I2980" i="2"/>
  <c r="I2979" i="2"/>
  <c r="I2978" i="2"/>
  <c r="I2977" i="2"/>
  <c r="I2961" i="2"/>
  <c r="I2960" i="2"/>
  <c r="I2959" i="2"/>
  <c r="I2958" i="2"/>
  <c r="I2957" i="2"/>
  <c r="I2956" i="2"/>
  <c r="I2940" i="2"/>
  <c r="I2939" i="2"/>
  <c r="I2938" i="2"/>
  <c r="I2937" i="2"/>
  <c r="I2936" i="2"/>
  <c r="I2935" i="2"/>
  <c r="I2919" i="2"/>
  <c r="I2918" i="2"/>
  <c r="I2917" i="2"/>
  <c r="I2916" i="2"/>
  <c r="I2915" i="2"/>
  <c r="I2914" i="2"/>
  <c r="I2898" i="2"/>
  <c r="I2897" i="2"/>
  <c r="I2896" i="2"/>
  <c r="I2895" i="2"/>
  <c r="I2894" i="2"/>
  <c r="I2893" i="2"/>
  <c r="I2877" i="2"/>
  <c r="I2876" i="2"/>
  <c r="I2875" i="2"/>
  <c r="I2874" i="2"/>
  <c r="I2873" i="2"/>
  <c r="I2872" i="2"/>
  <c r="I2856" i="2"/>
  <c r="I2855" i="2"/>
  <c r="I2854" i="2"/>
  <c r="I2853" i="2"/>
  <c r="I2852" i="2"/>
  <c r="I2851" i="2"/>
  <c r="I2835" i="2"/>
  <c r="I2834" i="2"/>
  <c r="I2833" i="2"/>
  <c r="I2832" i="2"/>
  <c r="I2831" i="2"/>
  <c r="I2830" i="2"/>
  <c r="I2814" i="2"/>
  <c r="I2813" i="2"/>
  <c r="I2812" i="2"/>
  <c r="I2811" i="2"/>
  <c r="I2810" i="2"/>
  <c r="I2809" i="2"/>
  <c r="I2793" i="2"/>
  <c r="I2792" i="2"/>
  <c r="I2791" i="2"/>
  <c r="I2790" i="2"/>
  <c r="I2789" i="2"/>
  <c r="I2788" i="2"/>
  <c r="I2772" i="2"/>
  <c r="I2771" i="2"/>
  <c r="I2770" i="2"/>
  <c r="I2769" i="2"/>
  <c r="I2768" i="2"/>
  <c r="I2767" i="2"/>
  <c r="I2751" i="2"/>
  <c r="I2750" i="2"/>
  <c r="I2749" i="2"/>
  <c r="I2748" i="2"/>
  <c r="I2747" i="2"/>
  <c r="I2746" i="2"/>
  <c r="I2730" i="2"/>
  <c r="I2729" i="2"/>
  <c r="I2728" i="2"/>
  <c r="I2727" i="2"/>
  <c r="I2726" i="2"/>
  <c r="I2725" i="2"/>
  <c r="I2709" i="2"/>
  <c r="I2708" i="2"/>
  <c r="I2707" i="2"/>
  <c r="I2706" i="2"/>
  <c r="I2705" i="2"/>
  <c r="I2704" i="2"/>
  <c r="I2688" i="2"/>
  <c r="I2687" i="2"/>
  <c r="I2686" i="2"/>
  <c r="I2685" i="2"/>
  <c r="I2684" i="2"/>
  <c r="I2683" i="2"/>
  <c r="I2667" i="2"/>
  <c r="I2666" i="2"/>
  <c r="I2665" i="2"/>
  <c r="I2664" i="2"/>
  <c r="I2663" i="2"/>
  <c r="I2662" i="2"/>
  <c r="I2646" i="2"/>
  <c r="I2645" i="2"/>
  <c r="I2644" i="2"/>
  <c r="I2643" i="2"/>
  <c r="I2642" i="2"/>
  <c r="I2641" i="2"/>
  <c r="I2625" i="2"/>
  <c r="I2624" i="2"/>
  <c r="I2623" i="2"/>
  <c r="I2622" i="2"/>
  <c r="I2621" i="2"/>
  <c r="I2620" i="2"/>
  <c r="I2604" i="2"/>
  <c r="I2603" i="2"/>
  <c r="I2602" i="2"/>
  <c r="I2601" i="2"/>
  <c r="I2600" i="2"/>
  <c r="I2599" i="2"/>
  <c r="I2583" i="2"/>
  <c r="I2582" i="2"/>
  <c r="I2581" i="2"/>
  <c r="I2580" i="2"/>
  <c r="I2579" i="2"/>
  <c r="I2578" i="2"/>
  <c r="I2562" i="2"/>
  <c r="I2561" i="2"/>
  <c r="I2560" i="2"/>
  <c r="I2559" i="2"/>
  <c r="I2558" i="2"/>
  <c r="I2557" i="2"/>
  <c r="I2541" i="2"/>
  <c r="I2540" i="2"/>
  <c r="I2539" i="2"/>
  <c r="I2538" i="2"/>
  <c r="I2537" i="2"/>
  <c r="I2536" i="2"/>
  <c r="I2520" i="2"/>
  <c r="I2519" i="2"/>
  <c r="I2518" i="2"/>
  <c r="I2517" i="2"/>
  <c r="I2516" i="2"/>
  <c r="I2515" i="2"/>
  <c r="I2499" i="2"/>
  <c r="I2498" i="2"/>
  <c r="I2497" i="2"/>
  <c r="I2496" i="2"/>
  <c r="I2495" i="2"/>
  <c r="I2494" i="2"/>
  <c r="I2478" i="2"/>
  <c r="I2477" i="2"/>
  <c r="I2476" i="2"/>
  <c r="I2475" i="2"/>
  <c r="I2474" i="2"/>
  <c r="I2473" i="2"/>
  <c r="I2457" i="2"/>
  <c r="I2456" i="2"/>
  <c r="I2455" i="2"/>
  <c r="I2454" i="2"/>
  <c r="I2453" i="2"/>
  <c r="I2452" i="2"/>
  <c r="I2436" i="2"/>
  <c r="I2435" i="2"/>
  <c r="I2434" i="2"/>
  <c r="I2433" i="2"/>
  <c r="I2432" i="2"/>
  <c r="I2431" i="2"/>
  <c r="I2415" i="2"/>
  <c r="I2414" i="2"/>
  <c r="I2413" i="2"/>
  <c r="I2412" i="2"/>
  <c r="I2411" i="2"/>
  <c r="I2410" i="2"/>
  <c r="I2394" i="2"/>
  <c r="I2393" i="2"/>
  <c r="I2392" i="2"/>
  <c r="I2391" i="2"/>
  <c r="I2390" i="2"/>
  <c r="I2389" i="2"/>
  <c r="I2373" i="2"/>
  <c r="I2372" i="2"/>
  <c r="I2371" i="2"/>
  <c r="I2370" i="2"/>
  <c r="I2369" i="2"/>
  <c r="I2368" i="2"/>
  <c r="I2352" i="2"/>
  <c r="I2351" i="2"/>
  <c r="I2350" i="2"/>
  <c r="I2349" i="2"/>
  <c r="I2348" i="2"/>
  <c r="I2347" i="2"/>
  <c r="I2331" i="2"/>
  <c r="I2330" i="2"/>
  <c r="I2329" i="2"/>
  <c r="I2328" i="2"/>
  <c r="I2327" i="2"/>
  <c r="I2326" i="2"/>
  <c r="I2310" i="2"/>
  <c r="I2309" i="2"/>
  <c r="I2308" i="2"/>
  <c r="I2307" i="2"/>
  <c r="I2306" i="2"/>
  <c r="I2305" i="2"/>
  <c r="I2289" i="2"/>
  <c r="I2288" i="2"/>
  <c r="I2287" i="2"/>
  <c r="I2286" i="2"/>
  <c r="I2285" i="2"/>
  <c r="I2284" i="2"/>
  <c r="I2268" i="2"/>
  <c r="I2267" i="2"/>
  <c r="I2266" i="2"/>
  <c r="I2265" i="2"/>
  <c r="I2264" i="2"/>
  <c r="I2263" i="2"/>
  <c r="I2247" i="2"/>
  <c r="I2246" i="2"/>
  <c r="I2245" i="2"/>
  <c r="I2244" i="2"/>
  <c r="I2243" i="2"/>
  <c r="I2242" i="2"/>
  <c r="I2226" i="2"/>
  <c r="I2225" i="2"/>
  <c r="I2224" i="2"/>
  <c r="I2223" i="2"/>
  <c r="I2222" i="2"/>
  <c r="I2221" i="2"/>
  <c r="I2205" i="2"/>
  <c r="I2204" i="2"/>
  <c r="I2203" i="2"/>
  <c r="I2202" i="2"/>
  <c r="I2201" i="2"/>
  <c r="I2200" i="2"/>
  <c r="I2184" i="2"/>
  <c r="I2183" i="2"/>
  <c r="I2182" i="2"/>
  <c r="I2181" i="2"/>
  <c r="I2180" i="2"/>
  <c r="I2179" i="2"/>
  <c r="I2163" i="2"/>
  <c r="I2162" i="2"/>
  <c r="I2161" i="2"/>
  <c r="I2160" i="2"/>
  <c r="I2159" i="2"/>
  <c r="I2158" i="2"/>
  <c r="I2142" i="2"/>
  <c r="I2141" i="2"/>
  <c r="I2140" i="2"/>
  <c r="I2139" i="2"/>
  <c r="I2138" i="2"/>
  <c r="I2137" i="2"/>
  <c r="I2121" i="2"/>
  <c r="I2120" i="2"/>
  <c r="I2119" i="2"/>
  <c r="I2118" i="2"/>
  <c r="I2117" i="2"/>
  <c r="I2116" i="2"/>
  <c r="I2100" i="2"/>
  <c r="I2099" i="2"/>
  <c r="I2098" i="2"/>
  <c r="I2097" i="2"/>
  <c r="I2096" i="2"/>
  <c r="I2095" i="2"/>
  <c r="I2079" i="2"/>
  <c r="I2078" i="2"/>
  <c r="I2077" i="2"/>
  <c r="I2076" i="2"/>
  <c r="I2075" i="2"/>
  <c r="I2074" i="2"/>
  <c r="I2058" i="2"/>
  <c r="I2057" i="2"/>
  <c r="I2056" i="2"/>
  <c r="I2055" i="2"/>
  <c r="I2054" i="2"/>
  <c r="I2053" i="2"/>
  <c r="I2037" i="2"/>
  <c r="I2036" i="2"/>
  <c r="I2035" i="2"/>
  <c r="I2034" i="2"/>
  <c r="I2033" i="2"/>
  <c r="I2032" i="2"/>
  <c r="I2016" i="2"/>
  <c r="I2015" i="2"/>
  <c r="I2014" i="2"/>
  <c r="I2013" i="2"/>
  <c r="I2012" i="2"/>
  <c r="I2011" i="2"/>
  <c r="I1995" i="2"/>
  <c r="I1994" i="2"/>
  <c r="I1993" i="2"/>
  <c r="I1992" i="2"/>
  <c r="I1991" i="2"/>
  <c r="I1990" i="2"/>
  <c r="I1974" i="2"/>
  <c r="I1973" i="2"/>
  <c r="I1972" i="2"/>
  <c r="I1971" i="2"/>
  <c r="I1970" i="2"/>
  <c r="I1969" i="2"/>
  <c r="I1953" i="2"/>
  <c r="I1952" i="2"/>
  <c r="I1951" i="2"/>
  <c r="I1950" i="2"/>
  <c r="I1949" i="2"/>
  <c r="I1948" i="2"/>
  <c r="I1932" i="2"/>
  <c r="I1931" i="2"/>
  <c r="I1930" i="2"/>
  <c r="I1929" i="2"/>
  <c r="I1928" i="2"/>
  <c r="I1927" i="2"/>
  <c r="I1911" i="2"/>
  <c r="I1910" i="2"/>
  <c r="I1909" i="2"/>
  <c r="I1908" i="2"/>
  <c r="I1907" i="2"/>
  <c r="I1906" i="2"/>
  <c r="I1890" i="2"/>
  <c r="I1889" i="2"/>
  <c r="I1888" i="2"/>
  <c r="I1887" i="2"/>
  <c r="I1886" i="2"/>
  <c r="I1885" i="2"/>
  <c r="I1869" i="2"/>
  <c r="I1868" i="2"/>
  <c r="I1867" i="2"/>
  <c r="I1866" i="2"/>
  <c r="I1865" i="2"/>
  <c r="I1864" i="2"/>
  <c r="I1848" i="2"/>
  <c r="I1847" i="2"/>
  <c r="I1846" i="2"/>
  <c r="I1845" i="2"/>
  <c r="I1844" i="2"/>
  <c r="I1843" i="2"/>
  <c r="I1827" i="2"/>
  <c r="I1826" i="2"/>
  <c r="I1825" i="2"/>
  <c r="I1824" i="2"/>
  <c r="I1823" i="2"/>
  <c r="I1822" i="2"/>
  <c r="I1806" i="2"/>
  <c r="I1805" i="2"/>
  <c r="I1804" i="2"/>
  <c r="I1803" i="2"/>
  <c r="I1802" i="2"/>
  <c r="I1801" i="2"/>
  <c r="I1785" i="2"/>
  <c r="I1784" i="2"/>
  <c r="I1783" i="2"/>
  <c r="I1782" i="2"/>
  <c r="I1781" i="2"/>
  <c r="I1780" i="2"/>
  <c r="I1764" i="2"/>
  <c r="I1763" i="2"/>
  <c r="I1762" i="2"/>
  <c r="I1761" i="2"/>
  <c r="I1760" i="2"/>
  <c r="I1759" i="2"/>
  <c r="I1743" i="2"/>
  <c r="I1742" i="2"/>
  <c r="I1741" i="2"/>
  <c r="I1740" i="2"/>
  <c r="I1739" i="2"/>
  <c r="I1738" i="2"/>
  <c r="I1722" i="2"/>
  <c r="I1721" i="2"/>
  <c r="I1720" i="2"/>
  <c r="I1719" i="2"/>
  <c r="I1718" i="2"/>
  <c r="I1717" i="2"/>
  <c r="I1701" i="2"/>
  <c r="I1700" i="2"/>
  <c r="I1699" i="2"/>
  <c r="I1698" i="2"/>
  <c r="I1697" i="2"/>
  <c r="I1696" i="2"/>
  <c r="I1680" i="2"/>
  <c r="I1679" i="2"/>
  <c r="I1678" i="2"/>
  <c r="I1677" i="2"/>
  <c r="I1676" i="2"/>
  <c r="I1675" i="2"/>
  <c r="I1659" i="2"/>
  <c r="I1658" i="2"/>
  <c r="I1657" i="2"/>
  <c r="I1656" i="2"/>
  <c r="I1655" i="2"/>
  <c r="I1654" i="2"/>
  <c r="I1638" i="2"/>
  <c r="I1637" i="2"/>
  <c r="I1636" i="2"/>
  <c r="I1635" i="2"/>
  <c r="I1634" i="2"/>
  <c r="I1633" i="2"/>
  <c r="I1617" i="2"/>
  <c r="I1616" i="2"/>
  <c r="I1615" i="2"/>
  <c r="I1614" i="2"/>
  <c r="I1613" i="2"/>
  <c r="I1612" i="2"/>
  <c r="I1596" i="2"/>
  <c r="I1595" i="2"/>
  <c r="I1594" i="2"/>
  <c r="I1593" i="2"/>
  <c r="I1592" i="2"/>
  <c r="I1591" i="2"/>
  <c r="I1575" i="2"/>
  <c r="I1574" i="2"/>
  <c r="I1573" i="2"/>
  <c r="I1572" i="2"/>
  <c r="I1571" i="2"/>
  <c r="I1570" i="2"/>
  <c r="I1554" i="2"/>
  <c r="I1553" i="2"/>
  <c r="I1552" i="2"/>
  <c r="I1551" i="2"/>
  <c r="I1550" i="2"/>
  <c r="I1549" i="2"/>
  <c r="I1533" i="2"/>
  <c r="I1532" i="2"/>
  <c r="I1531" i="2"/>
  <c r="I1530" i="2"/>
  <c r="I1529" i="2"/>
  <c r="I1528" i="2"/>
  <c r="I1512" i="2"/>
  <c r="I1511" i="2"/>
  <c r="I1510" i="2"/>
  <c r="I1509" i="2"/>
  <c r="I1508" i="2"/>
  <c r="I1507" i="2"/>
  <c r="I1491" i="2"/>
  <c r="I1490" i="2"/>
  <c r="I1489" i="2"/>
  <c r="I1488" i="2"/>
  <c r="I1487" i="2"/>
  <c r="I1486" i="2"/>
  <c r="I1470" i="2"/>
  <c r="I1469" i="2"/>
  <c r="I1468" i="2"/>
  <c r="I1467" i="2"/>
  <c r="I1466" i="2"/>
  <c r="I1465" i="2"/>
  <c r="I1449" i="2"/>
  <c r="I1448" i="2"/>
  <c r="I1447" i="2"/>
  <c r="I1446" i="2"/>
  <c r="I1445" i="2"/>
  <c r="I1444" i="2"/>
  <c r="I1428" i="2"/>
  <c r="I1427" i="2"/>
  <c r="I1426" i="2"/>
  <c r="I1425" i="2"/>
  <c r="I1424" i="2"/>
  <c r="I1423" i="2"/>
  <c r="I1407" i="2"/>
  <c r="I1406" i="2"/>
  <c r="I1405" i="2"/>
  <c r="I1404" i="2"/>
  <c r="I1403" i="2"/>
  <c r="I1402" i="2"/>
  <c r="I1386" i="2"/>
  <c r="I1385" i="2"/>
  <c r="I1384" i="2"/>
  <c r="I1383" i="2"/>
  <c r="I1382" i="2"/>
  <c r="I1381" i="2"/>
  <c r="I1365" i="2"/>
  <c r="I1364" i="2"/>
  <c r="I1363" i="2"/>
  <c r="I1362" i="2"/>
  <c r="I1361" i="2"/>
  <c r="I1360" i="2"/>
  <c r="I1344" i="2"/>
  <c r="I1343" i="2"/>
  <c r="I1342" i="2"/>
  <c r="I1341" i="2"/>
  <c r="I1340" i="2"/>
  <c r="I1339" i="2"/>
  <c r="I1323" i="2"/>
  <c r="I1322" i="2"/>
  <c r="I1321" i="2"/>
  <c r="I1320" i="2"/>
  <c r="I1319" i="2"/>
  <c r="I1318" i="2"/>
  <c r="I1302" i="2"/>
  <c r="I1301" i="2"/>
  <c r="I1300" i="2"/>
  <c r="I1299" i="2"/>
  <c r="I1298" i="2"/>
  <c r="I1297" i="2"/>
  <c r="I1281" i="2"/>
  <c r="I1280" i="2"/>
  <c r="I1279" i="2"/>
  <c r="I1278" i="2"/>
  <c r="I1277" i="2"/>
  <c r="I1276" i="2"/>
  <c r="I1260" i="2"/>
  <c r="I1259" i="2"/>
  <c r="I1258" i="2"/>
  <c r="I1257" i="2"/>
  <c r="I1256" i="2"/>
  <c r="I1255" i="2"/>
  <c r="I1239" i="2"/>
  <c r="I1238" i="2"/>
  <c r="I1237" i="2"/>
  <c r="I1236" i="2"/>
  <c r="I1235" i="2"/>
  <c r="I1234" i="2"/>
  <c r="I1218" i="2"/>
  <c r="I1217" i="2"/>
  <c r="I1216" i="2"/>
  <c r="I1215" i="2"/>
  <c r="I1214" i="2"/>
  <c r="I1213" i="2"/>
  <c r="I1197" i="2"/>
  <c r="I1196" i="2"/>
  <c r="I1195" i="2"/>
  <c r="I1194" i="2"/>
  <c r="I1193" i="2"/>
  <c r="I1192" i="2"/>
  <c r="I1176" i="2"/>
  <c r="I1175" i="2"/>
  <c r="I1174" i="2"/>
  <c r="I1173" i="2"/>
  <c r="I1172" i="2"/>
  <c r="I1171" i="2"/>
  <c r="I1155" i="2"/>
  <c r="I1154" i="2"/>
  <c r="I1153" i="2"/>
  <c r="I1152" i="2"/>
  <c r="I1151" i="2"/>
  <c r="I1150" i="2"/>
  <c r="I1134" i="2"/>
  <c r="I1133" i="2"/>
  <c r="I1132" i="2"/>
  <c r="I1131" i="2"/>
  <c r="I1130" i="2"/>
  <c r="I1129" i="2"/>
  <c r="I1113" i="2"/>
  <c r="I1112" i="2"/>
  <c r="I1111" i="2"/>
  <c r="I1110" i="2"/>
  <c r="I1109" i="2"/>
  <c r="I1108" i="2"/>
  <c r="I1092" i="2"/>
  <c r="I1091" i="2"/>
  <c r="I1090" i="2"/>
  <c r="I1089" i="2"/>
  <c r="I1088" i="2"/>
  <c r="I1087" i="2"/>
  <c r="I1071" i="2"/>
  <c r="I1070" i="2"/>
  <c r="I1069" i="2"/>
  <c r="I1068" i="2"/>
  <c r="I1067" i="2"/>
  <c r="I1066" i="2"/>
  <c r="I1050" i="2"/>
  <c r="I1049" i="2"/>
  <c r="I1048" i="2"/>
  <c r="I1047" i="2"/>
  <c r="I1046" i="2"/>
  <c r="I1045" i="2"/>
  <c r="I1029" i="2"/>
  <c r="I1028" i="2"/>
  <c r="I1027" i="2"/>
  <c r="I1026" i="2"/>
  <c r="I1025" i="2"/>
  <c r="I1024" i="2"/>
  <c r="I1008" i="2"/>
  <c r="I1007" i="2"/>
  <c r="I1006" i="2"/>
  <c r="I1005" i="2"/>
  <c r="I1004" i="2"/>
  <c r="I1003" i="2"/>
  <c r="I987" i="2"/>
  <c r="I986" i="2"/>
  <c r="I985" i="2"/>
  <c r="I984" i="2"/>
  <c r="I983" i="2"/>
  <c r="I982" i="2"/>
  <c r="I966" i="2"/>
  <c r="I965" i="2"/>
  <c r="I964" i="2"/>
  <c r="I963" i="2"/>
  <c r="I962" i="2"/>
  <c r="I961" i="2"/>
  <c r="I945" i="2"/>
  <c r="I944" i="2"/>
  <c r="I943" i="2"/>
  <c r="I942" i="2"/>
  <c r="I941" i="2"/>
  <c r="I940" i="2"/>
  <c r="I924" i="2"/>
  <c r="I923" i="2"/>
  <c r="I922" i="2"/>
  <c r="I921" i="2"/>
  <c r="I920" i="2"/>
  <c r="I919" i="2"/>
  <c r="I903" i="2"/>
  <c r="I902" i="2"/>
  <c r="I901" i="2"/>
  <c r="I900" i="2"/>
  <c r="I899" i="2"/>
  <c r="I898" i="2"/>
  <c r="I882" i="2"/>
  <c r="I881" i="2"/>
  <c r="I880" i="2"/>
  <c r="I879" i="2"/>
  <c r="I878" i="2"/>
  <c r="I877" i="2"/>
  <c r="I861" i="2"/>
  <c r="I860" i="2"/>
  <c r="I859" i="2"/>
  <c r="I858" i="2"/>
  <c r="I857" i="2"/>
  <c r="I856" i="2"/>
  <c r="I840" i="2"/>
  <c r="I839" i="2"/>
  <c r="I838" i="2"/>
  <c r="I837" i="2"/>
  <c r="I836" i="2"/>
  <c r="I835" i="2"/>
  <c r="I819" i="2"/>
  <c r="I818" i="2"/>
  <c r="I817" i="2"/>
  <c r="I816" i="2"/>
  <c r="I815" i="2"/>
  <c r="I814" i="2"/>
  <c r="I798" i="2"/>
  <c r="I797" i="2"/>
  <c r="I796" i="2"/>
  <c r="I795" i="2"/>
  <c r="I794" i="2"/>
  <c r="I793" i="2"/>
  <c r="I777" i="2"/>
  <c r="I776" i="2"/>
  <c r="I775" i="2"/>
  <c r="I774" i="2"/>
  <c r="I773" i="2"/>
  <c r="I772" i="2"/>
  <c r="I756" i="2"/>
  <c r="I755" i="2"/>
  <c r="I754" i="2"/>
  <c r="I753" i="2"/>
  <c r="I752" i="2"/>
  <c r="I751" i="2"/>
  <c r="I735" i="2"/>
  <c r="I734" i="2"/>
  <c r="I733" i="2"/>
  <c r="I732" i="2"/>
  <c r="I731" i="2"/>
  <c r="I730" i="2"/>
  <c r="I714" i="2"/>
  <c r="I713" i="2"/>
  <c r="I712" i="2"/>
  <c r="I711" i="2"/>
  <c r="I710" i="2"/>
  <c r="I709" i="2"/>
  <c r="I693" i="2"/>
  <c r="I692" i="2"/>
  <c r="I691" i="2"/>
  <c r="I690" i="2"/>
  <c r="I689" i="2"/>
  <c r="I688" i="2"/>
  <c r="I672" i="2"/>
  <c r="I671" i="2"/>
  <c r="I670" i="2"/>
  <c r="I669" i="2"/>
  <c r="I668" i="2"/>
  <c r="I667" i="2"/>
  <c r="I651" i="2"/>
  <c r="I650" i="2"/>
  <c r="I649" i="2"/>
  <c r="I648" i="2"/>
  <c r="I647" i="2"/>
  <c r="I646" i="2"/>
  <c r="I630" i="2"/>
  <c r="I629" i="2"/>
  <c r="I628" i="2"/>
  <c r="I627" i="2"/>
  <c r="I626" i="2"/>
  <c r="I625" i="2"/>
  <c r="I609" i="2"/>
  <c r="I608" i="2"/>
  <c r="I607" i="2"/>
  <c r="I606" i="2"/>
  <c r="I605" i="2"/>
  <c r="I604" i="2"/>
  <c r="I588" i="2"/>
  <c r="I587" i="2"/>
  <c r="I586" i="2"/>
  <c r="I585" i="2"/>
  <c r="I584" i="2"/>
  <c r="I583" i="2"/>
  <c r="I567" i="2"/>
  <c r="I566" i="2"/>
  <c r="I565" i="2"/>
  <c r="I564" i="2"/>
  <c r="I563" i="2"/>
  <c r="I562" i="2"/>
  <c r="I546" i="2"/>
  <c r="I545" i="2"/>
  <c r="I544" i="2"/>
  <c r="I543" i="2"/>
  <c r="I542" i="2"/>
  <c r="I541" i="2"/>
  <c r="I525" i="2"/>
  <c r="I524" i="2"/>
  <c r="I523" i="2"/>
  <c r="I522" i="2"/>
  <c r="I521" i="2"/>
  <c r="I520" i="2"/>
  <c r="I504" i="2"/>
  <c r="I503" i="2"/>
  <c r="I502" i="2"/>
  <c r="I501" i="2"/>
  <c r="I500" i="2"/>
  <c r="I499" i="2"/>
  <c r="I483" i="2"/>
  <c r="I482" i="2"/>
  <c r="I481" i="2"/>
  <c r="I480" i="2"/>
  <c r="I479" i="2"/>
  <c r="I478" i="2"/>
  <c r="I462" i="2"/>
  <c r="I461" i="2"/>
  <c r="I460" i="2"/>
  <c r="I459" i="2"/>
  <c r="I458" i="2"/>
  <c r="I457" i="2"/>
  <c r="I441" i="2"/>
  <c r="I440" i="2"/>
  <c r="I439" i="2"/>
  <c r="I438" i="2"/>
  <c r="I437" i="2"/>
  <c r="I436" i="2"/>
  <c r="I420" i="2"/>
  <c r="I419" i="2"/>
  <c r="I418" i="2"/>
  <c r="I417" i="2"/>
  <c r="I416" i="2"/>
  <c r="I415" i="2"/>
  <c r="I399" i="2"/>
  <c r="I398" i="2"/>
  <c r="I397" i="2"/>
  <c r="I396" i="2"/>
  <c r="I395" i="2"/>
  <c r="I394" i="2"/>
  <c r="I378" i="2"/>
  <c r="I377" i="2"/>
  <c r="I376" i="2"/>
  <c r="I375" i="2"/>
  <c r="I374" i="2"/>
  <c r="I373" i="2"/>
  <c r="I357" i="2"/>
  <c r="I356" i="2"/>
  <c r="I355" i="2"/>
  <c r="I354" i="2"/>
  <c r="I353" i="2"/>
  <c r="I352" i="2"/>
  <c r="I336" i="2"/>
  <c r="I335" i="2"/>
  <c r="I334" i="2"/>
  <c r="I333" i="2"/>
  <c r="I332" i="2"/>
  <c r="I331" i="2"/>
  <c r="I315" i="2"/>
  <c r="I314" i="2"/>
  <c r="I313" i="2"/>
  <c r="I312" i="2"/>
  <c r="I311" i="2"/>
  <c r="I310" i="2"/>
  <c r="I294" i="2"/>
  <c r="I293" i="2"/>
  <c r="I292" i="2"/>
  <c r="I291" i="2"/>
  <c r="I290" i="2"/>
  <c r="I289" i="2"/>
  <c r="I273" i="2"/>
  <c r="I272" i="2"/>
  <c r="I271" i="2"/>
  <c r="I270" i="2"/>
  <c r="I269" i="2"/>
  <c r="I268" i="2"/>
  <c r="I252" i="2"/>
  <c r="I251" i="2"/>
  <c r="I250" i="2"/>
  <c r="I249" i="2"/>
  <c r="I248" i="2"/>
  <c r="I247" i="2"/>
  <c r="I231" i="2"/>
  <c r="I230" i="2"/>
  <c r="I229" i="2"/>
  <c r="I228" i="2"/>
  <c r="I227" i="2"/>
  <c r="I226" i="2"/>
  <c r="I210" i="2"/>
  <c r="I209" i="2"/>
  <c r="I208" i="2"/>
  <c r="I207" i="2"/>
  <c r="I206" i="2"/>
  <c r="I205" i="2"/>
  <c r="I189" i="2"/>
  <c r="I188" i="2"/>
  <c r="I187" i="2"/>
  <c r="I186" i="2"/>
  <c r="I185" i="2"/>
  <c r="I184" i="2"/>
  <c r="I168" i="2"/>
  <c r="I167" i="2"/>
  <c r="I166" i="2"/>
  <c r="I165" i="2"/>
  <c r="I164" i="2"/>
  <c r="I163" i="2"/>
  <c r="I147" i="2"/>
  <c r="I146" i="2"/>
  <c r="I145" i="2"/>
  <c r="I144" i="2"/>
  <c r="I143" i="2"/>
  <c r="I142" i="2"/>
  <c r="I126" i="2"/>
  <c r="I125" i="2"/>
  <c r="I124" i="2"/>
  <c r="I123" i="2"/>
  <c r="I122" i="2"/>
  <c r="I121" i="2"/>
  <c r="I105" i="2"/>
  <c r="I104" i="2"/>
  <c r="I103" i="2"/>
  <c r="I102" i="2"/>
  <c r="I101" i="2"/>
  <c r="I100" i="2"/>
  <c r="I84" i="2"/>
  <c r="I83" i="2"/>
  <c r="I82" i="2"/>
  <c r="I81" i="2"/>
  <c r="I80" i="2"/>
  <c r="I79" i="2"/>
  <c r="I63" i="2"/>
  <c r="I62" i="2"/>
  <c r="I61" i="2"/>
  <c r="I60" i="2"/>
  <c r="I59" i="2"/>
  <c r="I58" i="2"/>
  <c r="I42" i="2"/>
  <c r="I41" i="2"/>
  <c r="I40" i="2"/>
  <c r="I39" i="2"/>
  <c r="I38" i="2"/>
  <c r="I37" i="2"/>
  <c r="I21" i="2"/>
  <c r="I20" i="2"/>
  <c r="I19" i="2"/>
  <c r="I18" i="2"/>
  <c r="I17" i="2"/>
  <c r="I16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29" i="2"/>
  <c r="C1430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<sst xmlns="http://schemas.openxmlformats.org/spreadsheetml/2006/main" count="1517" uniqueCount="23">
  <si>
    <t>Minimum</t>
  </si>
  <si>
    <t>Maximum</t>
  </si>
  <si>
    <t>Average</t>
  </si>
  <si>
    <t>Standard
deviation</t>
  </si>
  <si>
    <t>Fitness value
improvement
(%)</t>
  </si>
  <si>
    <t>Difference (%)</t>
  </si>
  <si>
    <t>Operands ratio</t>
  </si>
  <si>
    <t>Solution time
(sec)</t>
  </si>
  <si>
    <t>Run time &gt; 6min</t>
  </si>
  <si>
    <t>Count of unique parameter sets</t>
  </si>
  <si>
    <t>Count of runs</t>
  </si>
  <si>
    <t>starting fitness</t>
  </si>
  <si>
    <t>final fitness</t>
  </si>
  <si>
    <t>fitness gain</t>
  </si>
  <si>
    <t>difference value</t>
  </si>
  <si>
    <t>operand ratio</t>
  </si>
  <si>
    <t>run time</t>
  </si>
  <si>
    <t>starting fitness deviation</t>
  </si>
  <si>
    <t>final fitness deviation</t>
  </si>
  <si>
    <t>fitness gain deviation</t>
  </si>
  <si>
    <t>difference deviation</t>
  </si>
  <si>
    <t>operand ratio deviation</t>
  </si>
  <si>
    <t>run time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</si>
</sst>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0" fontId="0" fillId="0" borderId="1" xfId="0" applyBorder="1"/>
    <xf numFmtId="10" fontId="0" fillId="0" borderId="1" xfId="0" applyNumberFormat="1" applyBorder="1"/>
    <xf numFmtId="0" fontId="0" fillId="0" borderId="0" xfId="0" applyNumberFormat="1"/>
    <xf numFmtId="10" fontId="0" fillId="0" borderId="0" xfId="0" applyNumberFormat="1"/>
    <xf numFmtId="0" fontId="0" fillId="0" borderId="1" xfId="0" applyBorder="1" applyAlignment="1">
      <alignment wrapText="1"/>
    </xf>
    <xf numFmtId="172" fontId="0" fillId="0" borderId="1" xfId="1" applyNumberFormat="1" applyFont="1" applyBorder="1"/>
    <xf numFmtId="172" fontId="0" fillId="0" borderId="1" xfId="0" applyNumberFormat="1" applyBorder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1858-023F-4D54-AFAA-8C27630172D6}">
  <dimension ref="B2:G3576"/>
  <sheetViews>
    <sheetView tabSelected="1" workbookViewId="0">
      <selection activeCell="H10" sqref="H10"/>
    </sheetView>
  </sheetViews>
  <sheetFormatPr defaultRowHeight="15" x14ac:dyDescent="0.25"/>
  <cols>
    <col min="2" max="2" width="19.85546875" bestFit="1" customWidth="1"/>
    <col min="3" max="3" width="12.85546875" bestFit="1" customWidth="1"/>
    <col min="4" max="4" width="29.7109375" bestFit="1" customWidth="1"/>
    <col min="5" max="5" width="12" bestFit="1" customWidth="1"/>
    <col min="6" max="6" width="9.42578125" bestFit="1" customWidth="1"/>
  </cols>
  <sheetData>
    <row r="2" spans="2:6" ht="30" x14ac:dyDescent="0.25">
      <c r="B2" s="2"/>
      <c r="C2" s="2" t="s">
        <v>0</v>
      </c>
      <c r="D2" s="2" t="s">
        <v>1</v>
      </c>
      <c r="E2" s="2" t="s">
        <v>2</v>
      </c>
      <c r="F2" s="6" t="s">
        <v>3</v>
      </c>
    </row>
    <row r="3" spans="2:6" ht="45" x14ac:dyDescent="0.25">
      <c r="B3" s="6" t="s">
        <v>4</v>
      </c>
      <c r="C3" s="3">
        <f>MIN(details!C2:C5250)</f>
        <v>1.1175137626474374E-2</v>
      </c>
      <c r="D3" s="3">
        <f>MAX(details!C2:C5250)</f>
        <v>0.14950787401575116</v>
      </c>
      <c r="E3" s="3">
        <f>AVERAGE(details!C2:C5250)</f>
        <v>3.5416624418428626E-2</v>
      </c>
      <c r="F3" s="3">
        <f>SUMIF(details!H2:H5250,"fitness gain deviation",details!I2:I5250)/COUNTIF(details!H2:H5250,"fitness gain deviation")</f>
        <v>5.5301642837100621E-3</v>
      </c>
    </row>
    <row r="4" spans="2:6" x14ac:dyDescent="0.25">
      <c r="B4" s="2" t="s">
        <v>5</v>
      </c>
      <c r="C4" s="8">
        <f>MIN(details!D2:D5250)</f>
        <v>2.1818181818181999</v>
      </c>
      <c r="D4" s="2">
        <f>MAX(details!D2:D5250)</f>
        <v>25.23467230444</v>
      </c>
      <c r="E4" s="2">
        <f>AVERAGE(details!D2:D5250)</f>
        <v>13.444567175971999</v>
      </c>
      <c r="F4" s="7">
        <f>SUMIF(details!H2:H5250,"difference deviation",details!I2:I5250)/COUNTIF(details!H2:H5250,"difference deviation")</f>
        <v>0.16182841828647693</v>
      </c>
    </row>
    <row r="5" spans="2:6" x14ac:dyDescent="0.25">
      <c r="B5" s="2" t="s">
        <v>6</v>
      </c>
      <c r="C5" s="8">
        <f>MIN(details!E2:E5250)</f>
        <v>0.12154489328531</v>
      </c>
      <c r="D5" s="2">
        <f>MAX(details!E2:E5250)</f>
        <v>0.99297993579654997</v>
      </c>
      <c r="E5" s="2">
        <f>AVERAGE(details!E2:E5250)</f>
        <v>0.32321635006001131</v>
      </c>
      <c r="F5" s="7">
        <f>SUMIF(details!H2:H5250,"operand ratio deviation",details!I2:I5250)/COUNTIF(details!H2:H5250,"operand ratio deviation")</f>
        <v>4.9439787217599521E-3</v>
      </c>
    </row>
    <row r="6" spans="2:6" ht="30" x14ac:dyDescent="0.25">
      <c r="B6" s="6" t="s">
        <v>7</v>
      </c>
      <c r="C6" s="8">
        <f>MIN(details!F2:F5250)</f>
        <v>4</v>
      </c>
      <c r="D6" s="8">
        <f>MAX(details!F2:F5250)</f>
        <v>1243</v>
      </c>
      <c r="E6" s="2">
        <f>AVERAGE(details!F2:F5250)</f>
        <v>45.025599999999997</v>
      </c>
      <c r="F6" s="7">
        <f>SUMIF(details!H2:H5250,"run time deviation",details!I2:I5250)/COUNTIF(details!H2:H5250,"run time deviation")</f>
        <v>3.8221785696852644</v>
      </c>
    </row>
    <row r="8" spans="2:6" x14ac:dyDescent="0.25">
      <c r="C8" t="s">
        <v>10</v>
      </c>
      <c r="D8" t="s">
        <v>9</v>
      </c>
    </row>
    <row r="9" spans="2:6" x14ac:dyDescent="0.25">
      <c r="C9" s="4">
        <f>COUNT(details!C2:C5250)</f>
        <v>5000</v>
      </c>
      <c r="D9">
        <f>C9/20</f>
        <v>250</v>
      </c>
    </row>
    <row r="10" spans="2:6" x14ac:dyDescent="0.25">
      <c r="B10" t="s">
        <v>8</v>
      </c>
      <c r="C10">
        <f>COUNTIF(details!F2:F5250,"&gt;360")</f>
        <v>82</v>
      </c>
      <c r="D10">
        <f>C10/20</f>
        <v>4.0999999999999996</v>
      </c>
      <c r="E10" s="5">
        <f>C10/C9</f>
        <v>1.6400000000000001E-2</v>
      </c>
    </row>
    <row r="3576" spans="7:7" x14ac:dyDescent="0.25">
      <c r="G357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6E0C-84C3-4429-B568-C955085B1D1E}">
  <dimension ref="A1:I5250"/>
  <sheetViews>
    <sheetView workbookViewId="0">
      <selection activeCell="H21" sqref="H21"/>
    </sheetView>
  </sheetViews>
  <sheetFormatPr defaultRowHeight="15" x14ac:dyDescent="0.25"/>
  <cols>
    <col min="1" max="1" width="14.28515625" bestFit="1" customWidth="1"/>
    <col min="2" max="2" width="12.5703125" bestFit="1" customWidth="1"/>
    <col min="3" max="3" width="11.140625" bestFit="1" customWidth="1"/>
    <col min="4" max="4" width="15.7109375" bestFit="1" customWidth="1"/>
    <col min="5" max="5" width="13.140625" bestFit="1" customWidth="1"/>
    <col min="6" max="6" width="9.28515625" bestFit="1" customWidth="1"/>
    <col min="8" max="8" width="23.42578125" bestFit="1" customWidth="1"/>
    <col min="9" max="9" width="13.28515625" bestFit="1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9" x14ac:dyDescent="0.25">
      <c r="A2">
        <v>655.22476586889002</v>
      </c>
      <c r="B2">
        <v>688.26430801250001</v>
      </c>
      <c r="C2" s="1">
        <f t="shared" ref="C2:C65" si="0">IFERROR((B2/A2)-1,"")</f>
        <v>5.042474562114041E-2</v>
      </c>
      <c r="D2">
        <v>8.5425700687467003</v>
      </c>
      <c r="E2">
        <v>0.34601722842186999</v>
      </c>
      <c r="F2">
        <v>16</v>
      </c>
    </row>
    <row r="3" spans="1:9" x14ac:dyDescent="0.25">
      <c r="A3">
        <v>653.07700312174995</v>
      </c>
      <c r="B3">
        <v>683.07388137357998</v>
      </c>
      <c r="C3" s="1">
        <f t="shared" si="0"/>
        <v>4.5931610068097761E-2</v>
      </c>
      <c r="D3">
        <v>8.4071919619248998</v>
      </c>
      <c r="E3">
        <v>0.34028246163992998</v>
      </c>
      <c r="F3">
        <v>16</v>
      </c>
    </row>
    <row r="4" spans="1:9" x14ac:dyDescent="0.25">
      <c r="A4">
        <v>662.12591050988999</v>
      </c>
      <c r="B4">
        <v>686.76795005203996</v>
      </c>
      <c r="C4" s="1">
        <f t="shared" si="0"/>
        <v>3.7216546205197876E-2</v>
      </c>
      <c r="D4">
        <v>8.5457429931252999</v>
      </c>
      <c r="E4">
        <v>0.34138006933532999</v>
      </c>
      <c r="F4">
        <v>17</v>
      </c>
    </row>
    <row r="5" spans="1:9" x14ac:dyDescent="0.25">
      <c r="A5">
        <v>660.88865764827995</v>
      </c>
      <c r="B5">
        <v>683.72528616026</v>
      </c>
      <c r="C5" s="1">
        <f t="shared" si="0"/>
        <v>3.4554426449445286E-2</v>
      </c>
      <c r="D5">
        <v>8.2845055526177003</v>
      </c>
      <c r="E5">
        <v>0.32877355225788002</v>
      </c>
      <c r="F5">
        <v>16</v>
      </c>
    </row>
    <row r="6" spans="1:9" x14ac:dyDescent="0.25">
      <c r="A6">
        <v>655.39958376691004</v>
      </c>
      <c r="B6">
        <v>682.37773152966997</v>
      </c>
      <c r="C6" s="1">
        <f t="shared" si="0"/>
        <v>4.116290036027026E-2</v>
      </c>
      <c r="D6">
        <v>8.5383395029084994</v>
      </c>
      <c r="E6">
        <v>0.34579465398242998</v>
      </c>
      <c r="F6">
        <v>17</v>
      </c>
    </row>
    <row r="7" spans="1:9" x14ac:dyDescent="0.25">
      <c r="A7">
        <v>650.26014568157996</v>
      </c>
      <c r="B7">
        <v>671.83766909471001</v>
      </c>
      <c r="C7" s="1">
        <f t="shared" si="0"/>
        <v>3.3182909265511373E-2</v>
      </c>
      <c r="D7">
        <v>8.2919090428345008</v>
      </c>
      <c r="E7">
        <v>0.33615851246986</v>
      </c>
      <c r="F7">
        <v>16</v>
      </c>
    </row>
    <row r="8" spans="1:9" x14ac:dyDescent="0.25">
      <c r="A8">
        <v>660.74505723205004</v>
      </c>
      <c r="B8">
        <v>687.95317377732999</v>
      </c>
      <c r="C8" s="1">
        <f t="shared" si="0"/>
        <v>4.1177934284152506E-2</v>
      </c>
      <c r="D8">
        <v>8.5034373347435004</v>
      </c>
      <c r="E8">
        <v>0.33989462919708002</v>
      </c>
      <c r="F8">
        <v>16</v>
      </c>
    </row>
    <row r="9" spans="1:9" x14ac:dyDescent="0.25">
      <c r="A9">
        <v>654.70759625389996</v>
      </c>
      <c r="B9">
        <v>690.52965660770997</v>
      </c>
      <c r="C9" s="1">
        <f t="shared" si="0"/>
        <v>5.4714594055081056E-2</v>
      </c>
      <c r="D9">
        <v>8.4621893178213003</v>
      </c>
      <c r="E9">
        <v>0.34198888939984001</v>
      </c>
      <c r="F9">
        <v>17</v>
      </c>
    </row>
    <row r="10" spans="1:9" x14ac:dyDescent="0.25">
      <c r="A10">
        <v>657.25078043705003</v>
      </c>
      <c r="B10">
        <v>682.72008324663</v>
      </c>
      <c r="C10" s="1">
        <f t="shared" si="0"/>
        <v>3.8751270546447669E-2</v>
      </c>
      <c r="D10">
        <v>8.5848757271284999</v>
      </c>
      <c r="E10">
        <v>0.34673411773353002</v>
      </c>
      <c r="F10">
        <v>16</v>
      </c>
    </row>
    <row r="11" spans="1:9" x14ac:dyDescent="0.25">
      <c r="A11">
        <v>647.48803329864995</v>
      </c>
      <c r="B11">
        <v>678.93652445371004</v>
      </c>
      <c r="C11" s="1">
        <f t="shared" si="0"/>
        <v>4.8569995950110023E-2</v>
      </c>
      <c r="D11">
        <v>8.3870967741935001</v>
      </c>
      <c r="E11">
        <v>0.34278010253739</v>
      </c>
      <c r="F11">
        <v>17</v>
      </c>
    </row>
    <row r="12" spans="1:9" x14ac:dyDescent="0.25">
      <c r="A12">
        <v>658.18314255983</v>
      </c>
      <c r="B12">
        <v>682.99167533820003</v>
      </c>
      <c r="C12" s="1">
        <f t="shared" si="0"/>
        <v>3.7692446333225327E-2</v>
      </c>
      <c r="D12">
        <v>8.5076679005816995</v>
      </c>
      <c r="E12">
        <v>0.3424241710068</v>
      </c>
      <c r="F12">
        <v>16</v>
      </c>
    </row>
    <row r="13" spans="1:9" x14ac:dyDescent="0.25">
      <c r="A13">
        <v>664.50156087409005</v>
      </c>
      <c r="B13">
        <v>691.29240374611004</v>
      </c>
      <c r="C13" s="1">
        <f t="shared" si="0"/>
        <v>4.0317200815569443E-2</v>
      </c>
      <c r="D13">
        <v>8.6451612903225996</v>
      </c>
      <c r="E13">
        <v>0.34519960130529997</v>
      </c>
      <c r="F13">
        <v>16</v>
      </c>
    </row>
    <row r="14" spans="1:9" x14ac:dyDescent="0.25">
      <c r="A14">
        <v>661.53590010406003</v>
      </c>
      <c r="B14">
        <v>691.92507804371996</v>
      </c>
      <c r="C14" s="1">
        <f t="shared" si="0"/>
        <v>4.5937307309973141E-2</v>
      </c>
      <c r="D14">
        <v>8.6092014806979993</v>
      </c>
      <c r="E14">
        <v>0.34584595477766</v>
      </c>
      <c r="F14">
        <v>17</v>
      </c>
    </row>
    <row r="15" spans="1:9" x14ac:dyDescent="0.25">
      <c r="A15">
        <v>655.64516129031995</v>
      </c>
      <c r="B15">
        <v>686.93860561915994</v>
      </c>
      <c r="C15" s="1">
        <f t="shared" si="0"/>
        <v>4.7729238582732814E-2</v>
      </c>
      <c r="D15">
        <v>8.3934426229508006</v>
      </c>
      <c r="E15">
        <v>0.33795898024741</v>
      </c>
      <c r="F15">
        <v>16</v>
      </c>
    </row>
    <row r="16" spans="1:9" x14ac:dyDescent="0.25">
      <c r="A16">
        <v>655.75026014568004</v>
      </c>
      <c r="B16">
        <v>685.62330905307999</v>
      </c>
      <c r="C16" s="1">
        <f t="shared" si="0"/>
        <v>4.5555527344759872E-2</v>
      </c>
      <c r="D16">
        <v>8.3807509254363008</v>
      </c>
      <c r="E16">
        <v>0.33720436917046998</v>
      </c>
      <c r="F16">
        <v>17</v>
      </c>
      <c r="H16" t="s">
        <v>17</v>
      </c>
      <c r="I16">
        <f>STDEVP(A2:A21)</f>
        <v>4.087349322696002</v>
      </c>
    </row>
    <row r="17" spans="1:9" x14ac:dyDescent="0.25">
      <c r="A17">
        <v>652.75754422476996</v>
      </c>
      <c r="B17">
        <v>675.52861602498001</v>
      </c>
      <c r="C17" s="1">
        <f t="shared" si="0"/>
        <v>3.4884425314844147E-2</v>
      </c>
      <c r="D17">
        <v>8.4843997884717002</v>
      </c>
      <c r="E17">
        <v>0.34456778819863998</v>
      </c>
      <c r="F17">
        <v>16</v>
      </c>
      <c r="H17" t="s">
        <v>18</v>
      </c>
      <c r="I17">
        <f>STDEVP(B2:B21)</f>
        <v>5.0264767756912443</v>
      </c>
    </row>
    <row r="18" spans="1:9" x14ac:dyDescent="0.25">
      <c r="A18">
        <v>658.13735691987995</v>
      </c>
      <c r="B18">
        <v>689.90946930281996</v>
      </c>
      <c r="C18" s="1">
        <f t="shared" si="0"/>
        <v>4.8275807548192162E-2</v>
      </c>
      <c r="D18">
        <v>8.6102591221576006</v>
      </c>
      <c r="E18">
        <v>0.34761951144869002</v>
      </c>
      <c r="F18">
        <v>16</v>
      </c>
      <c r="H18" t="s">
        <v>19</v>
      </c>
      <c r="I18">
        <f>STDEVP(C2:C21)</f>
        <v>5.6921803171791959E-3</v>
      </c>
    </row>
    <row r="19" spans="1:9" x14ac:dyDescent="0.25">
      <c r="A19">
        <v>657.47450572320997</v>
      </c>
      <c r="B19">
        <v>686.64412070761</v>
      </c>
      <c r="C19" s="1">
        <f t="shared" si="0"/>
        <v>4.4366153714681333E-2</v>
      </c>
      <c r="D19">
        <v>8.6208355367530007</v>
      </c>
      <c r="E19">
        <v>0.34882760183002998</v>
      </c>
      <c r="F19">
        <v>17</v>
      </c>
      <c r="H19" t="s">
        <v>20</v>
      </c>
      <c r="I19">
        <f>STDEVP(D2:D21)</f>
        <v>0.10543994467446424</v>
      </c>
    </row>
    <row r="20" spans="1:9" x14ac:dyDescent="0.25">
      <c r="A20">
        <v>654.44849115504996</v>
      </c>
      <c r="B20">
        <v>685.64203954215998</v>
      </c>
      <c r="C20" s="1">
        <f t="shared" si="0"/>
        <v>4.7663870890825688E-2</v>
      </c>
      <c r="D20">
        <v>8.3818085668957991</v>
      </c>
      <c r="E20">
        <v>0.3376177623712</v>
      </c>
      <c r="F20">
        <v>16</v>
      </c>
      <c r="H20" t="s">
        <v>21</v>
      </c>
      <c r="I20">
        <f>STDEVP(E2:E21)</f>
        <v>4.6872568027678477E-3</v>
      </c>
    </row>
    <row r="21" spans="1:9" x14ac:dyDescent="0.25">
      <c r="A21">
        <v>653.11758584808001</v>
      </c>
      <c r="B21">
        <v>681.26014568158996</v>
      </c>
      <c r="C21" s="1">
        <f t="shared" si="0"/>
        <v>4.3089575971172911E-2</v>
      </c>
      <c r="D21">
        <v>8.4272871496562995</v>
      </c>
      <c r="E21">
        <v>0.34119921885637999</v>
      </c>
      <c r="F21">
        <v>17</v>
      </c>
      <c r="H21" t="s">
        <v>22</v>
      </c>
      <c r="I21">
        <f>STDEVP(F2:F21)</f>
        <v>0.48989794855663565</v>
      </c>
    </row>
    <row r="22" spans="1:9" x14ac:dyDescent="0.25">
      <c r="C22" s="1" t="str">
        <f t="shared" si="0"/>
        <v/>
      </c>
    </row>
    <row r="23" spans="1:9" x14ac:dyDescent="0.25">
      <c r="A23">
        <v>910.35102040816002</v>
      </c>
      <c r="B23">
        <v>963.11836734692997</v>
      </c>
      <c r="C23" s="1">
        <f t="shared" si="0"/>
        <v>5.7963736795847653E-2</v>
      </c>
      <c r="D23">
        <v>12.003361344538</v>
      </c>
      <c r="E23">
        <v>0.34600583635894</v>
      </c>
      <c r="F23">
        <v>26</v>
      </c>
    </row>
    <row r="24" spans="1:9" x14ac:dyDescent="0.25">
      <c r="A24">
        <v>937.86938775509998</v>
      </c>
      <c r="B24">
        <v>966.90612244898</v>
      </c>
      <c r="C24" s="1">
        <f t="shared" si="0"/>
        <v>3.0960318220197847E-2</v>
      </c>
      <c r="D24">
        <v>12.440336134454</v>
      </c>
      <c r="E24">
        <v>0.34850238484752999</v>
      </c>
      <c r="F24">
        <v>27</v>
      </c>
    </row>
    <row r="25" spans="1:9" x14ac:dyDescent="0.25">
      <c r="A25">
        <v>909.21632653060999</v>
      </c>
      <c r="B25">
        <v>965.11836734692997</v>
      </c>
      <c r="C25" s="1">
        <f t="shared" si="0"/>
        <v>6.1483762648248064E-2</v>
      </c>
      <c r="D25">
        <v>12.430252100840001</v>
      </c>
      <c r="E25">
        <v>0.36260203676788</v>
      </c>
      <c r="F25">
        <v>27</v>
      </c>
    </row>
    <row r="26" spans="1:9" x14ac:dyDescent="0.25">
      <c r="A26">
        <v>903.42857142856997</v>
      </c>
      <c r="B26">
        <v>956.84897959183002</v>
      </c>
      <c r="C26" s="1">
        <f t="shared" si="0"/>
        <v>5.9130749073817324E-2</v>
      </c>
      <c r="D26">
        <v>12.235294117646999</v>
      </c>
      <c r="E26">
        <v>0.35798876642603</v>
      </c>
      <c r="F26">
        <v>26</v>
      </c>
    </row>
    <row r="27" spans="1:9" x14ac:dyDescent="0.25">
      <c r="A27">
        <v>926.76734693877995</v>
      </c>
      <c r="B27">
        <v>960.75918367346003</v>
      </c>
      <c r="C27" s="1">
        <f t="shared" si="0"/>
        <v>3.6677853235722147E-2</v>
      </c>
      <c r="D27">
        <v>12.174789915966</v>
      </c>
      <c r="E27">
        <v>0.34340487875956999</v>
      </c>
      <c r="F27">
        <v>26</v>
      </c>
    </row>
    <row r="28" spans="1:9" x14ac:dyDescent="0.25">
      <c r="A28">
        <v>912.75102040816</v>
      </c>
      <c r="B28">
        <v>951.14285714284995</v>
      </c>
      <c r="C28" s="1">
        <f t="shared" si="0"/>
        <v>4.2061674954383621E-2</v>
      </c>
      <c r="D28">
        <v>11.956302521008</v>
      </c>
      <c r="E28">
        <v>0.34252934040076999</v>
      </c>
      <c r="F28">
        <v>27</v>
      </c>
    </row>
    <row r="29" spans="1:9" x14ac:dyDescent="0.25">
      <c r="A29">
        <v>910.85714285714005</v>
      </c>
      <c r="B29">
        <v>961.96734693876999</v>
      </c>
      <c r="C29" s="1">
        <f t="shared" si="0"/>
        <v>5.6112206488615257E-2</v>
      </c>
      <c r="D29">
        <v>12.235294117646999</v>
      </c>
      <c r="E29">
        <v>0.35461642642869001</v>
      </c>
      <c r="F29">
        <v>26</v>
      </c>
    </row>
    <row r="30" spans="1:9" x14ac:dyDescent="0.25">
      <c r="A30">
        <v>920.52244897958997</v>
      </c>
      <c r="B30">
        <v>975.74693877550999</v>
      </c>
      <c r="C30" s="1">
        <f t="shared" si="0"/>
        <v>5.9992550814091494E-2</v>
      </c>
      <c r="D30">
        <v>12.21512605042</v>
      </c>
      <c r="E30">
        <v>0.34844482373124003</v>
      </c>
      <c r="F30">
        <v>27</v>
      </c>
    </row>
    <row r="31" spans="1:9" x14ac:dyDescent="0.25">
      <c r="A31">
        <v>923.75510204082002</v>
      </c>
      <c r="B31">
        <v>966.31020408162999</v>
      </c>
      <c r="C31" s="1">
        <f t="shared" si="0"/>
        <v>4.6067515022969241E-2</v>
      </c>
      <c r="D31">
        <v>12.299159663866</v>
      </c>
      <c r="E31">
        <v>0.35017154653024002</v>
      </c>
      <c r="F31">
        <v>26</v>
      </c>
    </row>
    <row r="32" spans="1:9" x14ac:dyDescent="0.25">
      <c r="A32">
        <v>914.35918367347006</v>
      </c>
      <c r="B32">
        <v>974.66938775510005</v>
      </c>
      <c r="C32" s="1">
        <f t="shared" si="0"/>
        <v>6.5958985438667073E-2</v>
      </c>
      <c r="D32">
        <v>12.006722689076</v>
      </c>
      <c r="E32">
        <v>0.34350866885770998</v>
      </c>
      <c r="F32">
        <v>26</v>
      </c>
    </row>
    <row r="33" spans="1:9" x14ac:dyDescent="0.25">
      <c r="A33">
        <v>929.73877551019996</v>
      </c>
      <c r="B33">
        <v>970.87346938774999</v>
      </c>
      <c r="C33" s="1">
        <f t="shared" si="0"/>
        <v>4.424328097424679E-2</v>
      </c>
      <c r="D33">
        <v>12.363025210084</v>
      </c>
      <c r="E33">
        <v>0.35000679704650001</v>
      </c>
      <c r="F33">
        <v>27</v>
      </c>
    </row>
    <row r="34" spans="1:9" x14ac:dyDescent="0.25">
      <c r="A34">
        <v>917.21632653060999</v>
      </c>
      <c r="B34">
        <v>960.75918367347003</v>
      </c>
      <c r="C34" s="1">
        <f t="shared" si="0"/>
        <v>4.7472832616883176E-2</v>
      </c>
      <c r="D34">
        <v>12.194957983193</v>
      </c>
      <c r="E34">
        <v>0.34982527989784001</v>
      </c>
      <c r="F34">
        <v>26</v>
      </c>
    </row>
    <row r="35" spans="1:9" x14ac:dyDescent="0.25">
      <c r="A35">
        <v>919.11020408162994</v>
      </c>
      <c r="B35">
        <v>976.76734693876995</v>
      </c>
      <c r="C35" s="1">
        <f t="shared" si="0"/>
        <v>6.273147942552848E-2</v>
      </c>
      <c r="D35">
        <v>12.198319327730999</v>
      </c>
      <c r="E35">
        <v>0.34900194457686001</v>
      </c>
      <c r="F35">
        <v>26</v>
      </c>
    </row>
    <row r="36" spans="1:9" x14ac:dyDescent="0.25">
      <c r="A36">
        <v>906.07346938775004</v>
      </c>
      <c r="B36">
        <v>958.75102040816</v>
      </c>
      <c r="C36" s="1">
        <f t="shared" si="0"/>
        <v>5.8138277744745226E-2</v>
      </c>
      <c r="D36">
        <v>11.771428571429</v>
      </c>
      <c r="E36">
        <v>0.33839704652564001</v>
      </c>
      <c r="F36">
        <v>27</v>
      </c>
    </row>
    <row r="37" spans="1:9" x14ac:dyDescent="0.25">
      <c r="A37">
        <v>929.18367346938999</v>
      </c>
      <c r="B37">
        <v>962.27755102039998</v>
      </c>
      <c r="C37" s="1">
        <f t="shared" si="0"/>
        <v>3.5616077311651395E-2</v>
      </c>
      <c r="D37">
        <v>12.32268907563</v>
      </c>
      <c r="E37">
        <v>0.34775617773327</v>
      </c>
      <c r="F37">
        <v>26</v>
      </c>
      <c r="H37" t="s">
        <v>17</v>
      </c>
      <c r="I37">
        <f>STDEVP(A23:A42)</f>
        <v>9.1343227204793287</v>
      </c>
    </row>
    <row r="38" spans="1:9" x14ac:dyDescent="0.25">
      <c r="A38">
        <v>907.18367346938999</v>
      </c>
      <c r="B38">
        <v>949.82040816326003</v>
      </c>
      <c r="C38" s="1">
        <f t="shared" si="0"/>
        <v>4.6999010168262911E-2</v>
      </c>
      <c r="D38">
        <v>11.734453781513</v>
      </c>
      <c r="E38">
        <v>0.33648519060342003</v>
      </c>
      <c r="F38">
        <v>27</v>
      </c>
      <c r="H38" t="s">
        <v>18</v>
      </c>
      <c r="I38">
        <f>STDEVP(B23:B42)</f>
        <v>7.3442334701781684</v>
      </c>
    </row>
    <row r="39" spans="1:9" x14ac:dyDescent="0.25">
      <c r="A39">
        <v>911.68163265305998</v>
      </c>
      <c r="B39">
        <v>958.73469387754994</v>
      </c>
      <c r="C39" s="1">
        <f t="shared" si="0"/>
        <v>5.1611285715565058E-2</v>
      </c>
      <c r="D39">
        <v>11.89243697479</v>
      </c>
      <c r="E39">
        <v>0.34016921283790003</v>
      </c>
      <c r="F39">
        <v>25</v>
      </c>
      <c r="H39" t="s">
        <v>19</v>
      </c>
      <c r="I39">
        <f>STDEVP(C23:C42)</f>
        <v>9.8477148455442375E-3</v>
      </c>
    </row>
    <row r="40" spans="1:9" x14ac:dyDescent="0.25">
      <c r="A40">
        <v>920.94693877551003</v>
      </c>
      <c r="B40">
        <v>970.66122448979002</v>
      </c>
      <c r="C40" s="1">
        <f t="shared" si="0"/>
        <v>5.398170472272823E-2</v>
      </c>
      <c r="D40">
        <v>12.342857142857</v>
      </c>
      <c r="E40">
        <v>0.35338368149461002</v>
      </c>
      <c r="F40">
        <v>26</v>
      </c>
      <c r="H40" t="s">
        <v>20</v>
      </c>
      <c r="I40">
        <f>STDEVP(D23:D42)</f>
        <v>0.20283834407741802</v>
      </c>
    </row>
    <row r="41" spans="1:9" x14ac:dyDescent="0.25">
      <c r="A41">
        <v>926.91428571429003</v>
      </c>
      <c r="B41">
        <v>971.06938775510002</v>
      </c>
      <c r="C41" s="1">
        <f t="shared" si="0"/>
        <v>4.7636661470573438E-2</v>
      </c>
      <c r="D41">
        <v>12.235294117646999</v>
      </c>
      <c r="E41">
        <v>0.34601917132756999</v>
      </c>
      <c r="F41">
        <v>27</v>
      </c>
      <c r="H41" t="s">
        <v>21</v>
      </c>
      <c r="I41">
        <f>STDEVP(E23:E42)</f>
        <v>6.2154566309980692E-3</v>
      </c>
    </row>
    <row r="42" spans="1:9" x14ac:dyDescent="0.25">
      <c r="A42">
        <v>909.41224489796002</v>
      </c>
      <c r="B42">
        <v>967.18367346937998</v>
      </c>
      <c r="C42" s="1">
        <f t="shared" si="0"/>
        <v>6.3526116890918027E-2</v>
      </c>
      <c r="D42">
        <v>11.96974789916</v>
      </c>
      <c r="E42">
        <v>0.34482699808731998</v>
      </c>
      <c r="F42">
        <v>26</v>
      </c>
      <c r="H42" t="s">
        <v>22</v>
      </c>
      <c r="I42">
        <f>STDEVP(F23:F42)</f>
        <v>0.57227615711297997</v>
      </c>
    </row>
    <row r="43" spans="1:9" x14ac:dyDescent="0.25">
      <c r="C43" s="1" t="str">
        <f t="shared" si="0"/>
        <v/>
      </c>
    </row>
    <row r="44" spans="1:9" x14ac:dyDescent="0.25">
      <c r="A44">
        <v>845.80102040815996</v>
      </c>
      <c r="B44">
        <v>877.19387755103003</v>
      </c>
      <c r="C44" s="1">
        <f t="shared" si="0"/>
        <v>3.7116125879962603E-2</v>
      </c>
      <c r="D44">
        <v>13.02987012987</v>
      </c>
      <c r="E44">
        <v>0.43542893882081002</v>
      </c>
      <c r="F44">
        <v>14</v>
      </c>
    </row>
    <row r="45" spans="1:9" x14ac:dyDescent="0.25">
      <c r="A45">
        <v>841.58673469387998</v>
      </c>
      <c r="B45">
        <v>879.79591836735995</v>
      </c>
      <c r="C45" s="1">
        <f t="shared" si="0"/>
        <v>4.5401361616492553E-2</v>
      </c>
      <c r="D45">
        <v>12.92987012987</v>
      </c>
      <c r="E45">
        <v>0.43401795331794002</v>
      </c>
      <c r="F45">
        <v>14</v>
      </c>
    </row>
    <row r="46" spans="1:9" x14ac:dyDescent="0.25">
      <c r="A46">
        <v>844.17346938775995</v>
      </c>
      <c r="B46">
        <v>877.13265306124003</v>
      </c>
      <c r="C46" s="1">
        <f t="shared" si="0"/>
        <v>3.9043140857510927E-2</v>
      </c>
      <c r="D46">
        <v>13.096103896103999</v>
      </c>
      <c r="E46">
        <v>0.43983694815601998</v>
      </c>
      <c r="F46">
        <v>14</v>
      </c>
    </row>
    <row r="47" spans="1:9" x14ac:dyDescent="0.25">
      <c r="A47">
        <v>852.98469387754994</v>
      </c>
      <c r="B47">
        <v>884.31122448981</v>
      </c>
      <c r="C47" s="1">
        <f t="shared" si="0"/>
        <v>3.6725782815461683E-2</v>
      </c>
      <c r="D47">
        <v>13.279220779220999</v>
      </c>
      <c r="E47">
        <v>0.44213788502544998</v>
      </c>
      <c r="F47">
        <v>15</v>
      </c>
    </row>
    <row r="48" spans="1:9" x14ac:dyDescent="0.25">
      <c r="A48">
        <v>848.31632653061001</v>
      </c>
      <c r="B48">
        <v>876.27040816327997</v>
      </c>
      <c r="C48" s="1">
        <f t="shared" si="0"/>
        <v>3.2952426775746169E-2</v>
      </c>
      <c r="D48">
        <v>13.177922077922</v>
      </c>
      <c r="E48">
        <v>0.44077885190664001</v>
      </c>
      <c r="F48">
        <v>14</v>
      </c>
    </row>
    <row r="49" spans="1:9" x14ac:dyDescent="0.25">
      <c r="A49">
        <v>843.95918367346997</v>
      </c>
      <c r="B49">
        <v>873.45918367347997</v>
      </c>
      <c r="C49" s="1">
        <f t="shared" si="0"/>
        <v>3.4954297045037608E-2</v>
      </c>
      <c r="D49">
        <v>12.923376623377001</v>
      </c>
      <c r="E49">
        <v>0.43218383943533001</v>
      </c>
      <c r="F49">
        <v>14</v>
      </c>
    </row>
    <row r="50" spans="1:9" x14ac:dyDescent="0.25">
      <c r="A50">
        <v>839.74489795917998</v>
      </c>
      <c r="B50">
        <v>882.12244897961</v>
      </c>
      <c r="C50" s="1">
        <f t="shared" si="0"/>
        <v>5.0464791299619227E-2</v>
      </c>
      <c r="D50">
        <v>12.832467532468</v>
      </c>
      <c r="E50">
        <v>0.43054650664283001</v>
      </c>
      <c r="F50">
        <v>15</v>
      </c>
    </row>
    <row r="51" spans="1:9" x14ac:dyDescent="0.25">
      <c r="A51">
        <v>846.45408163264995</v>
      </c>
      <c r="B51">
        <v>877.16581632654004</v>
      </c>
      <c r="C51" s="1">
        <f t="shared" si="0"/>
        <v>3.628281245292464E-2</v>
      </c>
      <c r="D51">
        <v>13.174025974026</v>
      </c>
      <c r="E51">
        <v>0.44240758191843998</v>
      </c>
      <c r="F51">
        <v>14</v>
      </c>
    </row>
    <row r="52" spans="1:9" x14ac:dyDescent="0.25">
      <c r="A52">
        <v>850.90816326531001</v>
      </c>
      <c r="B52">
        <v>883.88775510205005</v>
      </c>
      <c r="C52" s="1">
        <f t="shared" si="0"/>
        <v>3.87581095828049E-2</v>
      </c>
      <c r="D52">
        <v>12.92987012987</v>
      </c>
      <c r="E52">
        <v>0.42757605164299001</v>
      </c>
      <c r="F52">
        <v>14</v>
      </c>
    </row>
    <row r="53" spans="1:9" x14ac:dyDescent="0.25">
      <c r="A53">
        <v>837.71428571428999</v>
      </c>
      <c r="B53">
        <v>872.33673469388998</v>
      </c>
      <c r="C53" s="1">
        <f t="shared" si="0"/>
        <v>4.1329662833765157E-2</v>
      </c>
      <c r="D53">
        <v>12.7</v>
      </c>
      <c r="E53">
        <v>0.42584114455040001</v>
      </c>
      <c r="F53">
        <v>15</v>
      </c>
    </row>
    <row r="54" spans="1:9" x14ac:dyDescent="0.25">
      <c r="A54">
        <v>850.76020408163004</v>
      </c>
      <c r="B54">
        <v>881.49744897959999</v>
      </c>
      <c r="C54" s="1">
        <f t="shared" si="0"/>
        <v>3.6129152198826509E-2</v>
      </c>
      <c r="D54">
        <v>13.044155844156</v>
      </c>
      <c r="E54">
        <v>0.43233802557156997</v>
      </c>
      <c r="F54">
        <v>14</v>
      </c>
    </row>
    <row r="55" spans="1:9" x14ac:dyDescent="0.25">
      <c r="A55">
        <v>840.45918367346997</v>
      </c>
      <c r="B55">
        <v>873.77551020409999</v>
      </c>
      <c r="C55" s="1">
        <f t="shared" si="0"/>
        <v>3.9640624051499262E-2</v>
      </c>
      <c r="D55">
        <v>13.005194805195</v>
      </c>
      <c r="E55">
        <v>0.43792978158647</v>
      </c>
      <c r="F55">
        <v>14</v>
      </c>
    </row>
    <row r="56" spans="1:9" x14ac:dyDescent="0.25">
      <c r="A56">
        <v>842.25510204082002</v>
      </c>
      <c r="B56">
        <v>868.92602040816996</v>
      </c>
      <c r="C56" s="1">
        <f t="shared" si="0"/>
        <v>3.1666081099093635E-2</v>
      </c>
      <c r="D56">
        <v>12.603896103896</v>
      </c>
      <c r="E56">
        <v>0.41811516546054001</v>
      </c>
      <c r="F56">
        <v>14</v>
      </c>
    </row>
    <row r="57" spans="1:9" x14ac:dyDescent="0.25">
      <c r="A57">
        <v>847.5</v>
      </c>
      <c r="B57">
        <v>878.35969387755995</v>
      </c>
      <c r="C57" s="1">
        <f t="shared" si="0"/>
        <v>3.6412618144613607E-2</v>
      </c>
      <c r="D57">
        <v>12.909090909091001</v>
      </c>
      <c r="E57">
        <v>0.42870898730519003</v>
      </c>
      <c r="F57">
        <v>15</v>
      </c>
    </row>
    <row r="58" spans="1:9" x14ac:dyDescent="0.25">
      <c r="A58">
        <v>847.1887755102</v>
      </c>
      <c r="B58">
        <v>883.63775510205005</v>
      </c>
      <c r="C58" s="1">
        <f t="shared" si="0"/>
        <v>4.3023444886766127E-2</v>
      </c>
      <c r="D58">
        <v>13.044155844156</v>
      </c>
      <c r="E58">
        <v>0.43456420071576002</v>
      </c>
      <c r="F58">
        <v>14</v>
      </c>
      <c r="H58" t="s">
        <v>17</v>
      </c>
      <c r="I58">
        <f t="shared" ref="I58" si="1">STDEVP(A44:A63)</f>
        <v>5.0561744151344499</v>
      </c>
    </row>
    <row r="59" spans="1:9" x14ac:dyDescent="0.25">
      <c r="A59">
        <v>855.09693877551001</v>
      </c>
      <c r="B59">
        <v>881.63775510205005</v>
      </c>
      <c r="C59" s="1">
        <f t="shared" si="0"/>
        <v>3.1038371350675442E-2</v>
      </c>
      <c r="D59">
        <v>13.164935064934999</v>
      </c>
      <c r="E59">
        <v>0.43525324211596</v>
      </c>
      <c r="F59">
        <v>14</v>
      </c>
      <c r="H59" t="s">
        <v>18</v>
      </c>
      <c r="I59">
        <f t="shared" ref="I59" si="2">STDEVP(B44:B63)</f>
        <v>5.115521048592143</v>
      </c>
    </row>
    <row r="60" spans="1:9" x14ac:dyDescent="0.25">
      <c r="A60">
        <v>853.39285714285995</v>
      </c>
      <c r="B60">
        <v>886.11989795919999</v>
      </c>
      <c r="C60" s="1">
        <f t="shared" si="0"/>
        <v>3.8349325919962984E-2</v>
      </c>
      <c r="D60">
        <v>13.090909090908999</v>
      </c>
      <c r="E60">
        <v>0.43345021388515997</v>
      </c>
      <c r="F60">
        <v>14</v>
      </c>
      <c r="H60" t="s">
        <v>19</v>
      </c>
      <c r="I60">
        <f t="shared" ref="I60" si="3">STDEVP(C44:C63)</f>
        <v>5.2123734553403958E-3</v>
      </c>
    </row>
    <row r="61" spans="1:9" x14ac:dyDescent="0.25">
      <c r="A61">
        <v>838.13775510204005</v>
      </c>
      <c r="B61">
        <v>867.70663265306996</v>
      </c>
      <c r="C61" s="1">
        <f t="shared" si="0"/>
        <v>3.5279257342881509E-2</v>
      </c>
      <c r="D61">
        <v>12.787012987013</v>
      </c>
      <c r="E61">
        <v>0.42930460199699</v>
      </c>
      <c r="F61">
        <v>15</v>
      </c>
      <c r="H61" t="s">
        <v>20</v>
      </c>
      <c r="I61">
        <f t="shared" ref="I61" si="4">STDEVP(D44:D63)</f>
        <v>0.16918494402836512</v>
      </c>
    </row>
    <row r="62" spans="1:9" x14ac:dyDescent="0.25">
      <c r="A62">
        <v>848.73979591836996</v>
      </c>
      <c r="B62">
        <v>871.45408163265995</v>
      </c>
      <c r="C62" s="1">
        <f t="shared" si="0"/>
        <v>2.6762366774274016E-2</v>
      </c>
      <c r="D62">
        <v>13.146753246753001</v>
      </c>
      <c r="E62">
        <v>0.43884911391589998</v>
      </c>
      <c r="F62">
        <v>14</v>
      </c>
      <c r="H62" t="s">
        <v>21</v>
      </c>
      <c r="I62">
        <f t="shared" ref="I62" si="5">STDEVP(E44:E63)</f>
        <v>6.2559840204472845E-3</v>
      </c>
    </row>
    <row r="63" spans="1:9" x14ac:dyDescent="0.25">
      <c r="A63">
        <v>841.43367346938999</v>
      </c>
      <c r="B63">
        <v>877.66581632654004</v>
      </c>
      <c r="C63" s="1">
        <f t="shared" si="0"/>
        <v>4.3060010550514338E-2</v>
      </c>
      <c r="D63">
        <v>13.131168831168999</v>
      </c>
      <c r="E63">
        <v>0.44374079021608998</v>
      </c>
      <c r="F63">
        <v>14</v>
      </c>
      <c r="H63" t="s">
        <v>22</v>
      </c>
      <c r="I63">
        <f t="shared" ref="I63" si="6">STDEVP(F44:F63)</f>
        <v>0.4330127018922193</v>
      </c>
    </row>
    <row r="64" spans="1:9" x14ac:dyDescent="0.25">
      <c r="C64" s="1" t="str">
        <f t="shared" si="0"/>
        <v/>
      </c>
    </row>
    <row r="65" spans="1:9" x14ac:dyDescent="0.25">
      <c r="A65">
        <v>1445.3179012346</v>
      </c>
      <c r="B65">
        <v>1472.7854938272001</v>
      </c>
      <c r="C65" s="1">
        <f t="shared" si="0"/>
        <v>1.9004533583329319E-2</v>
      </c>
      <c r="D65">
        <v>14.189358372457001</v>
      </c>
      <c r="E65">
        <v>0.2405107257404</v>
      </c>
      <c r="F65">
        <v>41</v>
      </c>
    </row>
    <row r="66" spans="1:9" x14ac:dyDescent="0.25">
      <c r="A66">
        <v>1442.7160493827</v>
      </c>
      <c r="B66">
        <v>1481.1003086420001</v>
      </c>
      <c r="C66" s="1">
        <f t="shared" ref="C66:C129" si="7">IFERROR((B66/A66)-1,"")</f>
        <v>2.6605553653973546E-2</v>
      </c>
      <c r="D66">
        <v>13.884194053208001</v>
      </c>
      <c r="E66">
        <v>0.23464583399705</v>
      </c>
      <c r="F66">
        <v>42</v>
      </c>
    </row>
    <row r="67" spans="1:9" x14ac:dyDescent="0.25">
      <c r="A67">
        <v>1437.5246913579999</v>
      </c>
      <c r="B67">
        <v>1474.8503086420001</v>
      </c>
      <c r="C67" s="1">
        <f t="shared" si="7"/>
        <v>2.5965200812473999E-2</v>
      </c>
      <c r="D67">
        <v>14.026604068857999</v>
      </c>
      <c r="E67">
        <v>0.23864121985587</v>
      </c>
      <c r="F67">
        <v>41</v>
      </c>
    </row>
    <row r="68" spans="1:9" x14ac:dyDescent="0.25">
      <c r="A68">
        <v>1453.5833333333001</v>
      </c>
      <c r="B68">
        <v>1490.5586419752999</v>
      </c>
      <c r="C68" s="1">
        <f t="shared" si="7"/>
        <v>2.5437350438801243E-2</v>
      </c>
      <c r="D68">
        <v>14.43661971831</v>
      </c>
      <c r="E68">
        <v>0.24401923722370999</v>
      </c>
      <c r="F68">
        <v>40</v>
      </c>
    </row>
    <row r="69" spans="1:9" x14ac:dyDescent="0.25">
      <c r="A69">
        <v>1441.9660493827</v>
      </c>
      <c r="B69">
        <v>1485.9151234568001</v>
      </c>
      <c r="C69" s="1">
        <f t="shared" si="7"/>
        <v>3.0478577559377662E-2</v>
      </c>
      <c r="D69">
        <v>14.243348982785999</v>
      </c>
      <c r="E69">
        <v>0.24225370269037</v>
      </c>
      <c r="F69">
        <v>46</v>
      </c>
    </row>
    <row r="70" spans="1:9" x14ac:dyDescent="0.25">
      <c r="A70">
        <v>1454.2962962962999</v>
      </c>
      <c r="B70">
        <v>1490.1311728395001</v>
      </c>
      <c r="C70" s="1">
        <f t="shared" si="7"/>
        <v>2.4640698483838541E-2</v>
      </c>
      <c r="D70">
        <v>14.24882629108</v>
      </c>
      <c r="E70">
        <v>0.23998424028434001</v>
      </c>
      <c r="F70">
        <v>42</v>
      </c>
    </row>
    <row r="71" spans="1:9" x14ac:dyDescent="0.25">
      <c r="A71">
        <v>1437.7839506173</v>
      </c>
      <c r="B71">
        <v>1474.7808641976001</v>
      </c>
      <c r="C71" s="1">
        <f t="shared" si="7"/>
        <v>2.5731900515662209E-2</v>
      </c>
      <c r="D71">
        <v>14.143974960875999</v>
      </c>
      <c r="E71">
        <v>0.24104004755997999</v>
      </c>
      <c r="F71">
        <v>43</v>
      </c>
    </row>
    <row r="72" spans="1:9" x14ac:dyDescent="0.25">
      <c r="A72">
        <v>1428.2870370369999</v>
      </c>
      <c r="B72">
        <v>1460.5941358025</v>
      </c>
      <c r="C72" s="1">
        <f t="shared" si="7"/>
        <v>2.2619472086312209E-2</v>
      </c>
      <c r="D72">
        <v>14.039906103286</v>
      </c>
      <c r="E72">
        <v>0.24089039873307999</v>
      </c>
      <c r="F72">
        <v>40</v>
      </c>
    </row>
    <row r="73" spans="1:9" x14ac:dyDescent="0.25">
      <c r="A73">
        <v>1430.7438271604999</v>
      </c>
      <c r="B73">
        <v>1474.9861111110999</v>
      </c>
      <c r="C73" s="1">
        <f t="shared" si="7"/>
        <v>3.0922575453919521E-2</v>
      </c>
      <c r="D73">
        <v>14.130672926448</v>
      </c>
      <c r="E73">
        <v>0.24224864561910001</v>
      </c>
      <c r="F73">
        <v>41</v>
      </c>
    </row>
    <row r="74" spans="1:9" x14ac:dyDescent="0.25">
      <c r="A74">
        <v>1441.1203703704</v>
      </c>
      <c r="B74">
        <v>1478.7993827160999</v>
      </c>
      <c r="C74" s="1">
        <f t="shared" si="7"/>
        <v>2.6145638574254226E-2</v>
      </c>
      <c r="D74">
        <v>14.06103286385</v>
      </c>
      <c r="E74">
        <v>0.23873982502426999</v>
      </c>
      <c r="F74">
        <v>41</v>
      </c>
    </row>
    <row r="75" spans="1:9" x14ac:dyDescent="0.25">
      <c r="A75">
        <v>1441.8364197531</v>
      </c>
      <c r="B75">
        <v>1476.387345679</v>
      </c>
      <c r="C75" s="1">
        <f t="shared" si="7"/>
        <v>2.3963138572832277E-2</v>
      </c>
      <c r="D75">
        <v>14.029733959311001</v>
      </c>
      <c r="E75">
        <v>0.23797637081528999</v>
      </c>
      <c r="F75">
        <v>40</v>
      </c>
    </row>
    <row r="76" spans="1:9" x14ac:dyDescent="0.25">
      <c r="A76">
        <v>1448.6296296296</v>
      </c>
      <c r="B76">
        <v>1482.7422839506</v>
      </c>
      <c r="C76" s="1">
        <f t="shared" si="7"/>
        <v>2.3548223523304879E-2</v>
      </c>
      <c r="D76">
        <v>14.079812206572999</v>
      </c>
      <c r="E76">
        <v>0.23751947314864999</v>
      </c>
      <c r="F76">
        <v>42</v>
      </c>
    </row>
    <row r="77" spans="1:9" x14ac:dyDescent="0.25">
      <c r="A77">
        <v>1442.6141975308999</v>
      </c>
      <c r="B77">
        <v>1481.9521604938</v>
      </c>
      <c r="C77" s="1">
        <f t="shared" si="7"/>
        <v>2.7268526145263872E-2</v>
      </c>
      <c r="D77">
        <v>14.262128325509</v>
      </c>
      <c r="E77">
        <v>0.24243850998319</v>
      </c>
      <c r="F77">
        <v>40</v>
      </c>
    </row>
    <row r="78" spans="1:9" x14ac:dyDescent="0.25">
      <c r="A78">
        <v>1438.7037037037001</v>
      </c>
      <c r="B78">
        <v>1481.1388888889001</v>
      </c>
      <c r="C78" s="1">
        <f t="shared" si="7"/>
        <v>2.9495430557353597E-2</v>
      </c>
      <c r="D78">
        <v>14.286384976526</v>
      </c>
      <c r="E78">
        <v>0.24391077508829001</v>
      </c>
      <c r="F78">
        <v>42</v>
      </c>
    </row>
    <row r="79" spans="1:9" x14ac:dyDescent="0.25">
      <c r="A79">
        <v>1439.4753086420001</v>
      </c>
      <c r="B79">
        <v>1477.5046296297</v>
      </c>
      <c r="C79" s="1">
        <f t="shared" si="7"/>
        <v>2.6418876905625277E-2</v>
      </c>
      <c r="D79">
        <v>14.219874804382</v>
      </c>
      <c r="E79">
        <v>0.24236527245957001</v>
      </c>
      <c r="F79">
        <v>43</v>
      </c>
      <c r="H79" t="s">
        <v>17</v>
      </c>
      <c r="I79">
        <f t="shared" ref="I79" si="8">STDEVP(A65:A84)</f>
        <v>6.3139209022876548</v>
      </c>
    </row>
    <row r="80" spans="1:9" x14ac:dyDescent="0.25">
      <c r="A80">
        <v>1440.8240740741001</v>
      </c>
      <c r="B80">
        <v>1478.5216049383</v>
      </c>
      <c r="C80" s="1">
        <f t="shared" si="7"/>
        <v>2.6163867985357747E-2</v>
      </c>
      <c r="D80">
        <v>14.276995305164</v>
      </c>
      <c r="E80">
        <v>0.24327397182703001</v>
      </c>
      <c r="F80">
        <v>39</v>
      </c>
      <c r="H80" t="s">
        <v>18</v>
      </c>
      <c r="I80">
        <f t="shared" ref="I80" si="9">STDEVP(B65:B84)</f>
        <v>6.7602668028786246</v>
      </c>
    </row>
    <row r="81" spans="1:9" x14ac:dyDescent="0.25">
      <c r="A81">
        <v>1446.8055555556</v>
      </c>
      <c r="B81">
        <v>1484.6095679012999</v>
      </c>
      <c r="C81" s="1">
        <f t="shared" si="7"/>
        <v>2.6129297195836676E-2</v>
      </c>
      <c r="D81">
        <v>14.218309859154999</v>
      </c>
      <c r="E81">
        <v>0.24075565155205</v>
      </c>
      <c r="F81">
        <v>41</v>
      </c>
      <c r="H81" t="s">
        <v>19</v>
      </c>
      <c r="I81">
        <f t="shared" ref="I81" si="10">STDEVP(C65:C84)</f>
        <v>2.7689861955813768E-3</v>
      </c>
    </row>
    <row r="82" spans="1:9" x14ac:dyDescent="0.25">
      <c r="A82">
        <v>1440.5833333333001</v>
      </c>
      <c r="B82">
        <v>1472.0447530864001</v>
      </c>
      <c r="C82" s="1">
        <f t="shared" si="7"/>
        <v>2.183936119842711E-2</v>
      </c>
      <c r="D82">
        <v>14.091549295775</v>
      </c>
      <c r="E82">
        <v>0.23949270771195999</v>
      </c>
      <c r="F82">
        <v>42</v>
      </c>
      <c r="H82" t="s">
        <v>20</v>
      </c>
      <c r="I82">
        <f t="shared" ref="I82" si="11">STDEVP(D65:D84)</f>
        <v>0.13091898038865693</v>
      </c>
    </row>
    <row r="83" spans="1:9" x14ac:dyDescent="0.25">
      <c r="A83">
        <v>1435.1944444444</v>
      </c>
      <c r="B83">
        <v>1474.8780864198</v>
      </c>
      <c r="C83" s="1">
        <f t="shared" si="7"/>
        <v>2.7650359245058542E-2</v>
      </c>
      <c r="D83">
        <v>14.161971830985999</v>
      </c>
      <c r="E83">
        <v>0.24204912009817001</v>
      </c>
      <c r="F83">
        <v>44</v>
      </c>
      <c r="H83" t="s">
        <v>21</v>
      </c>
      <c r="I83">
        <f t="shared" ref="I83" si="12">STDEVP(E65:E84)</f>
        <v>2.4816152464447803E-3</v>
      </c>
    </row>
    <row r="84" spans="1:9" x14ac:dyDescent="0.25">
      <c r="A84">
        <v>1437.1265432099001</v>
      </c>
      <c r="B84">
        <v>1471.7885802469</v>
      </c>
      <c r="C84" s="1">
        <f t="shared" si="7"/>
        <v>2.4118987434175621E-2</v>
      </c>
      <c r="D84">
        <v>13.916275430360001</v>
      </c>
      <c r="E84">
        <v>0.23627329293714</v>
      </c>
      <c r="F84">
        <v>41</v>
      </c>
      <c r="H84" t="s">
        <v>22</v>
      </c>
      <c r="I84">
        <f t="shared" ref="I84" si="13">STDEVP(F65:F84)</f>
        <v>1.5644487847162014</v>
      </c>
    </row>
    <row r="85" spans="1:9" x14ac:dyDescent="0.25">
      <c r="C85" s="1" t="str">
        <f t="shared" si="7"/>
        <v/>
      </c>
    </row>
    <row r="86" spans="1:9" x14ac:dyDescent="0.25">
      <c r="A86">
        <v>1432.5065398335</v>
      </c>
      <c r="B86">
        <v>1470.1569560047999</v>
      </c>
      <c r="C86" s="1">
        <f t="shared" si="7"/>
        <v>2.6282893044017763E-2</v>
      </c>
      <c r="D86">
        <v>15.790683605566</v>
      </c>
      <c r="E86">
        <v>0.27716974386516002</v>
      </c>
      <c r="F86">
        <v>23</v>
      </c>
    </row>
    <row r="87" spans="1:9" x14ac:dyDescent="0.25">
      <c r="A87">
        <v>1434.2615933413001</v>
      </c>
      <c r="B87">
        <v>1484.2211652794999</v>
      </c>
      <c r="C87" s="1">
        <f t="shared" si="7"/>
        <v>3.4832956672717241E-2</v>
      </c>
      <c r="D87">
        <v>15.872958257713</v>
      </c>
      <c r="E87">
        <v>0.27878429428031998</v>
      </c>
      <c r="F87">
        <v>22</v>
      </c>
    </row>
    <row r="88" spans="1:9" x14ac:dyDescent="0.25">
      <c r="A88">
        <v>1419.9393579073001</v>
      </c>
      <c r="B88">
        <v>1466.5326991677</v>
      </c>
      <c r="C88" s="1">
        <f t="shared" si="7"/>
        <v>3.2813613483514414E-2</v>
      </c>
      <c r="D88">
        <v>15.78463399879</v>
      </c>
      <c r="E88">
        <v>0.28022769148629001</v>
      </c>
      <c r="F88">
        <v>23</v>
      </c>
    </row>
    <row r="89" spans="1:9" x14ac:dyDescent="0.25">
      <c r="A89">
        <v>1428.1688466112</v>
      </c>
      <c r="B89">
        <v>1475.6848989299001</v>
      </c>
      <c r="C89" s="1">
        <f t="shared" si="7"/>
        <v>3.3270612526976384E-2</v>
      </c>
      <c r="D89">
        <v>15.941923774955001</v>
      </c>
      <c r="E89">
        <v>0.28169455271548</v>
      </c>
      <c r="F89">
        <v>23</v>
      </c>
    </row>
    <row r="90" spans="1:9" x14ac:dyDescent="0.25">
      <c r="A90">
        <v>1426.3424494649</v>
      </c>
      <c r="B90">
        <v>1472.1474435196999</v>
      </c>
      <c r="C90" s="1">
        <f t="shared" si="7"/>
        <v>3.2113602222231918E-2</v>
      </c>
      <c r="D90">
        <v>15.680580762250001</v>
      </c>
      <c r="E90">
        <v>0.27611507049335998</v>
      </c>
      <c r="F90">
        <v>23</v>
      </c>
    </row>
    <row r="91" spans="1:9" x14ac:dyDescent="0.25">
      <c r="A91">
        <v>1439.8668252081</v>
      </c>
      <c r="B91">
        <v>1483.8168846612</v>
      </c>
      <c r="C91" s="1">
        <f t="shared" si="7"/>
        <v>3.0523697527893301E-2</v>
      </c>
      <c r="D91">
        <v>16.042347247428999</v>
      </c>
      <c r="E91">
        <v>0.28111720954953001</v>
      </c>
      <c r="F91">
        <v>23</v>
      </c>
    </row>
    <row r="92" spans="1:9" x14ac:dyDescent="0.25">
      <c r="A92">
        <v>1429.4149821640999</v>
      </c>
      <c r="B92">
        <v>1476.8989298455001</v>
      </c>
      <c r="C92" s="1">
        <f t="shared" si="7"/>
        <v>3.3219147884899547E-2</v>
      </c>
      <c r="D92">
        <v>15.879007864488999</v>
      </c>
      <c r="E92">
        <v>0.28014995436480999</v>
      </c>
      <c r="F92">
        <v>23</v>
      </c>
    </row>
    <row r="93" spans="1:9" x14ac:dyDescent="0.25">
      <c r="A93">
        <v>1445.3590963139</v>
      </c>
      <c r="B93">
        <v>1487.3139120095</v>
      </c>
      <c r="C93" s="1">
        <f t="shared" si="7"/>
        <v>2.9027260977979363E-2</v>
      </c>
      <c r="D93">
        <v>16.091954022989</v>
      </c>
      <c r="E93">
        <v>0.28070214721056003</v>
      </c>
      <c r="F93">
        <v>23</v>
      </c>
    </row>
    <row r="94" spans="1:9" x14ac:dyDescent="0.25">
      <c r="A94">
        <v>1438.1200951247999</v>
      </c>
      <c r="B94">
        <v>1481.2746730084</v>
      </c>
      <c r="C94" s="1">
        <f t="shared" si="7"/>
        <v>3.0007631511369093E-2</v>
      </c>
      <c r="D94">
        <v>15.885057471264</v>
      </c>
      <c r="E94">
        <v>0.27794819712009999</v>
      </c>
      <c r="F94">
        <v>23</v>
      </c>
    </row>
    <row r="95" spans="1:9" x14ac:dyDescent="0.25">
      <c r="A95">
        <v>1422.1272294887001</v>
      </c>
      <c r="B95">
        <v>1466.9001189061</v>
      </c>
      <c r="C95" s="1">
        <f t="shared" si="7"/>
        <v>3.1483040679487706E-2</v>
      </c>
      <c r="D95">
        <v>15.615245009074</v>
      </c>
      <c r="E95">
        <v>0.2757739494059</v>
      </c>
      <c r="F95">
        <v>23</v>
      </c>
    </row>
    <row r="96" spans="1:9" x14ac:dyDescent="0.25">
      <c r="A96">
        <v>1431.2818073722001</v>
      </c>
      <c r="B96">
        <v>1476.2544589774</v>
      </c>
      <c r="C96" s="1">
        <f t="shared" si="7"/>
        <v>3.1421241696468316E-2</v>
      </c>
      <c r="D96">
        <v>15.816091954022999</v>
      </c>
      <c r="E96">
        <v>0.27805449201239002</v>
      </c>
      <c r="F96">
        <v>23</v>
      </c>
    </row>
    <row r="97" spans="1:9" x14ac:dyDescent="0.25">
      <c r="A97">
        <v>1424.8561236623</v>
      </c>
      <c r="B97">
        <v>1468.4661117717001</v>
      </c>
      <c r="C97" s="1">
        <f t="shared" si="7"/>
        <v>3.0606590648120768E-2</v>
      </c>
      <c r="D97">
        <v>15.797943133696</v>
      </c>
      <c r="E97">
        <v>0.27927668411100998</v>
      </c>
      <c r="F97">
        <v>23</v>
      </c>
    </row>
    <row r="98" spans="1:9" x14ac:dyDescent="0.25">
      <c r="A98">
        <v>1419.9298454221</v>
      </c>
      <c r="B98">
        <v>1463.3317479192001</v>
      </c>
      <c r="C98" s="1">
        <f t="shared" si="7"/>
        <v>3.0566230181743981E-2</v>
      </c>
      <c r="D98">
        <v>15.489413188143001</v>
      </c>
      <c r="E98">
        <v>0.27348849186707003</v>
      </c>
      <c r="F98">
        <v>23</v>
      </c>
    </row>
    <row r="99" spans="1:9" x14ac:dyDescent="0.25">
      <c r="A99">
        <v>1444.9369797859999</v>
      </c>
      <c r="B99">
        <v>1477.6575505351</v>
      </c>
      <c r="C99" s="1">
        <f t="shared" si="7"/>
        <v>2.2644981204610115E-2</v>
      </c>
      <c r="D99">
        <v>16.202056866304002</v>
      </c>
      <c r="E99">
        <v>0.28318161697979999</v>
      </c>
      <c r="F99">
        <v>23</v>
      </c>
    </row>
    <row r="100" spans="1:9" x14ac:dyDescent="0.25">
      <c r="A100">
        <v>1436.1569560047999</v>
      </c>
      <c r="B100">
        <v>1476.4328180738</v>
      </c>
      <c r="C100" s="1">
        <f t="shared" si="7"/>
        <v>2.8044192454452999E-2</v>
      </c>
      <c r="D100">
        <v>16.099213551119</v>
      </c>
      <c r="E100">
        <v>0.28346922553518999</v>
      </c>
      <c r="F100">
        <v>23</v>
      </c>
      <c r="H100" t="s">
        <v>17</v>
      </c>
      <c r="I100">
        <f t="shared" ref="I100" si="14">STDEVP(A86:A105)</f>
        <v>7.8815097415113247</v>
      </c>
    </row>
    <row r="101" spans="1:9" x14ac:dyDescent="0.25">
      <c r="A101">
        <v>1419.9548156956</v>
      </c>
      <c r="B101">
        <v>1466.6135552914</v>
      </c>
      <c r="C101" s="1">
        <f t="shared" si="7"/>
        <v>3.2859312902110194E-2</v>
      </c>
      <c r="D101">
        <v>15.509981851179999</v>
      </c>
      <c r="E101">
        <v>0.27393911760999001</v>
      </c>
      <c r="F101">
        <v>23</v>
      </c>
      <c r="H101" t="s">
        <v>18</v>
      </c>
      <c r="I101">
        <f t="shared" ref="I101" si="15">STDEVP(B86:B105)</f>
        <v>6.4709654522707893</v>
      </c>
    </row>
    <row r="102" spans="1:9" x14ac:dyDescent="0.25">
      <c r="A102">
        <v>1427.4898929845001</v>
      </c>
      <c r="B102">
        <v>1473.2604042807</v>
      </c>
      <c r="C102" s="1">
        <f t="shared" si="7"/>
        <v>3.2063632479040427E-2</v>
      </c>
      <c r="D102">
        <v>15.835450695704999</v>
      </c>
      <c r="E102">
        <v>0.27937110965869</v>
      </c>
      <c r="F102">
        <v>23</v>
      </c>
      <c r="H102" t="s">
        <v>19</v>
      </c>
      <c r="I102">
        <f t="shared" ref="I102" si="16">STDEVP(C86:C105)</f>
        <v>3.0343534160826007E-3</v>
      </c>
    </row>
    <row r="103" spans="1:9" x14ac:dyDescent="0.25">
      <c r="A103">
        <v>1425.7586206896999</v>
      </c>
      <c r="B103">
        <v>1468.8478002377999</v>
      </c>
      <c r="C103" s="1">
        <f t="shared" si="7"/>
        <v>3.0221931624902831E-2</v>
      </c>
      <c r="D103">
        <v>15.754385964912</v>
      </c>
      <c r="E103">
        <v>0.27802041237643998</v>
      </c>
      <c r="F103">
        <v>23</v>
      </c>
      <c r="H103" t="s">
        <v>20</v>
      </c>
      <c r="I103">
        <f t="shared" ref="I103" si="17">STDEVP(D86:D105)</f>
        <v>0.18350482749760719</v>
      </c>
    </row>
    <row r="104" spans="1:9" x14ac:dyDescent="0.25">
      <c r="A104">
        <v>1440.7645659929001</v>
      </c>
      <c r="B104">
        <v>1478.322235434</v>
      </c>
      <c r="C104" s="1">
        <f t="shared" si="7"/>
        <v>2.6067874188186346E-2</v>
      </c>
      <c r="D104">
        <v>15.816091954022999</v>
      </c>
      <c r="E104">
        <v>0.27552701459408002</v>
      </c>
      <c r="F104">
        <v>23</v>
      </c>
      <c r="H104" t="s">
        <v>21</v>
      </c>
      <c r="I104">
        <f t="shared" ref="I104" si="18">STDEVP(E86:E105)</f>
        <v>2.7697477327379384E-3</v>
      </c>
    </row>
    <row r="105" spans="1:9" x14ac:dyDescent="0.25">
      <c r="A105">
        <v>1435.7728894173999</v>
      </c>
      <c r="B105">
        <v>1472.0963139119999</v>
      </c>
      <c r="C105" s="1">
        <f t="shared" si="7"/>
        <v>2.5298864996217585E-2</v>
      </c>
      <c r="D105">
        <v>16.021778584391999</v>
      </c>
      <c r="E105">
        <v>0.28148269519784003</v>
      </c>
      <c r="F105">
        <v>23</v>
      </c>
      <c r="H105" t="s">
        <v>22</v>
      </c>
      <c r="I105">
        <f t="shared" ref="I105" si="19">STDEVP(F86:F105)</f>
        <v>0.21794494717703364</v>
      </c>
    </row>
    <row r="106" spans="1:9" x14ac:dyDescent="0.25">
      <c r="C106" s="1" t="str">
        <f t="shared" si="7"/>
        <v/>
      </c>
    </row>
    <row r="107" spans="1:9" x14ac:dyDescent="0.25">
      <c r="A107">
        <v>1939.044982699</v>
      </c>
      <c r="B107">
        <v>2042.5743944636999</v>
      </c>
      <c r="C107" s="1">
        <f t="shared" si="7"/>
        <v>5.3391959798990918E-2</v>
      </c>
      <c r="D107">
        <v>17.911764705882</v>
      </c>
      <c r="E107">
        <v>0.21069640623620001</v>
      </c>
      <c r="F107">
        <v>22</v>
      </c>
    </row>
    <row r="108" spans="1:9" x14ac:dyDescent="0.25">
      <c r="A108">
        <v>1945.9031141869</v>
      </c>
      <c r="B108">
        <v>2031.9446366781999</v>
      </c>
      <c r="C108" s="1">
        <f t="shared" si="7"/>
        <v>4.4216755635982707E-2</v>
      </c>
      <c r="D108">
        <v>17.382352941175998</v>
      </c>
      <c r="E108">
        <v>0.20248028845168001</v>
      </c>
      <c r="F108">
        <v>22</v>
      </c>
    </row>
    <row r="109" spans="1:9" x14ac:dyDescent="0.25">
      <c r="A109">
        <v>1957.7508650519001</v>
      </c>
      <c r="B109">
        <v>2037.4671280277</v>
      </c>
      <c r="C109" s="1">
        <f t="shared" si="7"/>
        <v>4.0718287703929379E-2</v>
      </c>
      <c r="D109">
        <v>17.411764705882</v>
      </c>
      <c r="E109">
        <v>0.20141599716920999</v>
      </c>
      <c r="F109">
        <v>23</v>
      </c>
    </row>
    <row r="110" spans="1:9" x14ac:dyDescent="0.25">
      <c r="A110">
        <v>1958.4775086505001</v>
      </c>
      <c r="B110">
        <v>2023.1487889273999</v>
      </c>
      <c r="C110" s="1">
        <f t="shared" si="7"/>
        <v>3.3021201413470314E-2</v>
      </c>
      <c r="D110">
        <v>18.044117647059</v>
      </c>
      <c r="E110">
        <v>0.21016390131661</v>
      </c>
      <c r="F110">
        <v>22</v>
      </c>
    </row>
    <row r="111" spans="1:9" x14ac:dyDescent="0.25">
      <c r="A111">
        <v>1940.6297577855</v>
      </c>
      <c r="B111">
        <v>2019.5709342560999</v>
      </c>
      <c r="C111" s="1">
        <f t="shared" si="7"/>
        <v>4.0678123250403875E-2</v>
      </c>
      <c r="D111">
        <v>17.014705882352999</v>
      </c>
      <c r="E111">
        <v>0.19780509552493999</v>
      </c>
      <c r="F111">
        <v>23</v>
      </c>
    </row>
    <row r="112" spans="1:9" x14ac:dyDescent="0.25">
      <c r="A112">
        <v>1912.0968858131</v>
      </c>
      <c r="B112">
        <v>2035.7093425605999</v>
      </c>
      <c r="C112" s="1">
        <f t="shared" si="7"/>
        <v>6.464759064493486E-2</v>
      </c>
      <c r="D112">
        <v>17.617647058824002</v>
      </c>
      <c r="E112">
        <v>0.21007456382532</v>
      </c>
      <c r="F112">
        <v>22</v>
      </c>
    </row>
    <row r="113" spans="1:9" x14ac:dyDescent="0.25">
      <c r="A113">
        <v>1948.5121107266</v>
      </c>
      <c r="B113">
        <v>2016.4982698962001</v>
      </c>
      <c r="C113" s="1">
        <f t="shared" si="7"/>
        <v>3.4891319789769337E-2</v>
      </c>
      <c r="D113">
        <v>18.014705882352999</v>
      </c>
      <c r="E113">
        <v>0.21095346512511001</v>
      </c>
      <c r="F113">
        <v>23</v>
      </c>
    </row>
    <row r="114" spans="1:9" x14ac:dyDescent="0.25">
      <c r="A114">
        <v>1922.5328719723</v>
      </c>
      <c r="B114">
        <v>2028.6851211072999</v>
      </c>
      <c r="C114" s="1">
        <f t="shared" si="7"/>
        <v>5.521479017734543E-2</v>
      </c>
      <c r="D114">
        <v>17.147058823529001</v>
      </c>
      <c r="E114">
        <v>0.20184409058620001</v>
      </c>
      <c r="F114">
        <v>22</v>
      </c>
    </row>
    <row r="115" spans="1:9" x14ac:dyDescent="0.25">
      <c r="A115">
        <v>1925.6262975779</v>
      </c>
      <c r="B115">
        <v>2015.4878892734</v>
      </c>
      <c r="C115" s="1">
        <f t="shared" si="7"/>
        <v>4.6666163527435245E-2</v>
      </c>
      <c r="D115">
        <v>17.617647058824002</v>
      </c>
      <c r="E115">
        <v>0.20814619727590999</v>
      </c>
      <c r="F115">
        <v>23</v>
      </c>
    </row>
    <row r="116" spans="1:9" x14ac:dyDescent="0.25">
      <c r="A116">
        <v>1934.2906574394001</v>
      </c>
      <c r="B116">
        <v>1992.2629757786001</v>
      </c>
      <c r="C116" s="1">
        <f t="shared" si="7"/>
        <v>2.997084130879446E-2</v>
      </c>
      <c r="D116">
        <v>17.602941176470999</v>
      </c>
      <c r="E116">
        <v>0.20675942161811001</v>
      </c>
      <c r="F116">
        <v>22</v>
      </c>
    </row>
    <row r="117" spans="1:9" x14ac:dyDescent="0.25">
      <c r="A117">
        <v>1954.5813148789</v>
      </c>
      <c r="B117">
        <v>2022.6712802768</v>
      </c>
      <c r="C117" s="1">
        <f t="shared" si="7"/>
        <v>3.4836087339819244E-2</v>
      </c>
      <c r="D117">
        <v>17.705882352941</v>
      </c>
      <c r="E117">
        <v>0.20563692867944999</v>
      </c>
      <c r="F117">
        <v>22</v>
      </c>
    </row>
    <row r="118" spans="1:9" x14ac:dyDescent="0.25">
      <c r="A118">
        <v>1940.0484429066</v>
      </c>
      <c r="B118">
        <v>2018.1314878892999</v>
      </c>
      <c r="C118" s="1">
        <f t="shared" si="7"/>
        <v>4.024798724392431E-2</v>
      </c>
      <c r="D118">
        <v>18.308823529411999</v>
      </c>
      <c r="E118">
        <v>0.21625771215931</v>
      </c>
      <c r="F118">
        <v>23</v>
      </c>
    </row>
    <row r="119" spans="1:9" x14ac:dyDescent="0.25">
      <c r="A119">
        <v>1947.9446366781999</v>
      </c>
      <c r="B119">
        <v>2026.5674740484999</v>
      </c>
      <c r="C119" s="1">
        <f t="shared" si="7"/>
        <v>4.0361946582000652E-2</v>
      </c>
      <c r="D119">
        <v>17.647058823529001</v>
      </c>
      <c r="E119">
        <v>0.20562684594285</v>
      </c>
      <c r="F119">
        <v>22</v>
      </c>
    </row>
    <row r="120" spans="1:9" x14ac:dyDescent="0.25">
      <c r="A120">
        <v>1961.9238754324999</v>
      </c>
      <c r="B120">
        <v>2033.5570934256</v>
      </c>
      <c r="C120" s="1">
        <f t="shared" si="7"/>
        <v>3.6511721423089671E-2</v>
      </c>
      <c r="D120">
        <v>18.014705882352999</v>
      </c>
      <c r="E120">
        <v>0.20933173351337001</v>
      </c>
      <c r="F120">
        <v>23</v>
      </c>
    </row>
    <row r="121" spans="1:9" x14ac:dyDescent="0.25">
      <c r="A121">
        <v>1934.3183391002999</v>
      </c>
      <c r="B121">
        <v>2022.4498269896001</v>
      </c>
      <c r="C121" s="1">
        <f t="shared" si="7"/>
        <v>4.5562039147233779E-2</v>
      </c>
      <c r="D121">
        <v>17.529411764706001</v>
      </c>
      <c r="E121">
        <v>0.20575604672961001</v>
      </c>
      <c r="F121">
        <v>22</v>
      </c>
      <c r="H121" t="s">
        <v>17</v>
      </c>
      <c r="I121">
        <f t="shared" ref="I121" si="20">STDEVP(A107:A126)</f>
        <v>14.525437458240654</v>
      </c>
    </row>
    <row r="122" spans="1:9" x14ac:dyDescent="0.25">
      <c r="A122">
        <v>1930.9896193771999</v>
      </c>
      <c r="B122">
        <v>2032.7197231834</v>
      </c>
      <c r="C122" s="1">
        <f t="shared" si="7"/>
        <v>5.2682884871753544E-2</v>
      </c>
      <c r="D122">
        <v>17.558823529411999</v>
      </c>
      <c r="E122">
        <v>0.20684202613312999</v>
      </c>
      <c r="F122">
        <v>22</v>
      </c>
      <c r="H122" t="s">
        <v>18</v>
      </c>
      <c r="I122">
        <f t="shared" ref="I122" si="21">STDEVP(B107:B126)</f>
        <v>10.768434853120453</v>
      </c>
    </row>
    <row r="123" spans="1:9" x14ac:dyDescent="0.25">
      <c r="A123">
        <v>1952.76816609</v>
      </c>
      <c r="B123">
        <v>2032.4567474048999</v>
      </c>
      <c r="C123" s="1">
        <f t="shared" si="7"/>
        <v>4.0808009214150287E-2</v>
      </c>
      <c r="D123">
        <v>17.897058823529001</v>
      </c>
      <c r="E123">
        <v>0.20864818606041</v>
      </c>
      <c r="F123">
        <v>23</v>
      </c>
      <c r="H123" t="s">
        <v>19</v>
      </c>
      <c r="I123">
        <f t="shared" ref="I123" si="22">STDEVP(C107:C126)</f>
        <v>8.5839175138123173E-3</v>
      </c>
    </row>
    <row r="124" spans="1:9" x14ac:dyDescent="0.25">
      <c r="A124">
        <v>1973.5640138408</v>
      </c>
      <c r="B124">
        <v>2037.6539792388</v>
      </c>
      <c r="C124" s="1">
        <f t="shared" si="7"/>
        <v>3.2474226804162676E-2</v>
      </c>
      <c r="D124">
        <v>17.970588235293999</v>
      </c>
      <c r="E124">
        <v>0.20698478594073999</v>
      </c>
      <c r="F124">
        <v>22</v>
      </c>
      <c r="H124" t="s">
        <v>20</v>
      </c>
      <c r="I124">
        <f t="shared" ref="I124" si="23">STDEVP(D107:D126)</f>
        <v>0.31771513431754567</v>
      </c>
    </row>
    <row r="125" spans="1:9" x14ac:dyDescent="0.25">
      <c r="A125">
        <v>1943.8961937716001</v>
      </c>
      <c r="B125">
        <v>2030.8719723183999</v>
      </c>
      <c r="C125" s="1">
        <f t="shared" si="7"/>
        <v>4.4743016023940596E-2</v>
      </c>
      <c r="D125">
        <v>17.588235294118</v>
      </c>
      <c r="E125">
        <v>0.20541545728877</v>
      </c>
      <c r="F125">
        <v>23</v>
      </c>
      <c r="H125" t="s">
        <v>21</v>
      </c>
      <c r="I125">
        <f t="shared" ref="I125" si="24">STDEVP(E107:E126)</f>
        <v>4.0368137759393789E-3</v>
      </c>
    </row>
    <row r="126" spans="1:9" x14ac:dyDescent="0.25">
      <c r="A126">
        <v>1929.6955017301</v>
      </c>
      <c r="B126">
        <v>2025.6332179931001</v>
      </c>
      <c r="C126" s="1">
        <f t="shared" si="7"/>
        <v>4.9716505105072528E-2</v>
      </c>
      <c r="D126">
        <v>17.308823529411999</v>
      </c>
      <c r="E126">
        <v>0.20339030142035999</v>
      </c>
      <c r="F126">
        <v>22</v>
      </c>
      <c r="H126" t="s">
        <v>22</v>
      </c>
      <c r="I126">
        <f t="shared" ref="I126" si="25">STDEVP(F107:F126)</f>
        <v>0.48989794855663565</v>
      </c>
    </row>
    <row r="127" spans="1:9" x14ac:dyDescent="0.25">
      <c r="C127" s="1" t="str">
        <f t="shared" si="7"/>
        <v/>
      </c>
    </row>
    <row r="128" spans="1:9" x14ac:dyDescent="0.25">
      <c r="A128">
        <v>507.70817554020999</v>
      </c>
      <c r="B128">
        <v>529.56382267766003</v>
      </c>
      <c r="C128" s="1">
        <f t="shared" si="7"/>
        <v>4.3047656489272113E-2</v>
      </c>
      <c r="D128">
        <v>10.053369516056</v>
      </c>
      <c r="E128">
        <v>0.64728541923690996</v>
      </c>
      <c r="F128">
        <v>14</v>
      </c>
    </row>
    <row r="129" spans="1:9" x14ac:dyDescent="0.25">
      <c r="A129">
        <v>498.74225885497998</v>
      </c>
      <c r="B129">
        <v>519.06749832926005</v>
      </c>
      <c r="C129" s="1">
        <f t="shared" si="7"/>
        <v>4.0752992379156083E-2</v>
      </c>
      <c r="D129">
        <v>9.9800995024875991</v>
      </c>
      <c r="E129">
        <v>0.65684287565277</v>
      </c>
      <c r="F129">
        <v>14</v>
      </c>
    </row>
    <row r="130" spans="1:9" x14ac:dyDescent="0.25">
      <c r="A130">
        <v>511.21229672533002</v>
      </c>
      <c r="B130">
        <v>532.38271329917995</v>
      </c>
      <c r="C130" s="1">
        <f t="shared" ref="C130:C193" si="26">IFERROR((B130/A130)-1,"")</f>
        <v>4.1412181806778081E-2</v>
      </c>
      <c r="D130">
        <v>10.238805970149</v>
      </c>
      <c r="E130">
        <v>0.65745107693022997</v>
      </c>
      <c r="F130">
        <v>14</v>
      </c>
    </row>
    <row r="131" spans="1:9" x14ac:dyDescent="0.25">
      <c r="A131">
        <v>511.00423256850002</v>
      </c>
      <c r="B131">
        <v>531.40565827578996</v>
      </c>
      <c r="C131" s="1">
        <f t="shared" si="26"/>
        <v>3.9924181458820263E-2</v>
      </c>
      <c r="D131">
        <v>10.047942107643999</v>
      </c>
      <c r="E131">
        <v>0.63825091479900997</v>
      </c>
      <c r="F131">
        <v>14</v>
      </c>
    </row>
    <row r="132" spans="1:9" x14ac:dyDescent="0.25">
      <c r="A132">
        <v>499.94208064156999</v>
      </c>
      <c r="B132">
        <v>525.48585431054005</v>
      </c>
      <c r="C132" s="1">
        <f t="shared" si="26"/>
        <v>5.1093465939474392E-2</v>
      </c>
      <c r="D132">
        <v>10.042514699231001</v>
      </c>
      <c r="E132">
        <v>0.66010919787321998</v>
      </c>
      <c r="F132">
        <v>14</v>
      </c>
    </row>
    <row r="133" spans="1:9" x14ac:dyDescent="0.25">
      <c r="A133">
        <v>501.08843840498997</v>
      </c>
      <c r="B133">
        <v>520.40008910670997</v>
      </c>
      <c r="C133" s="1">
        <f t="shared" si="26"/>
        <v>3.8539405864542964E-2</v>
      </c>
      <c r="D133">
        <v>9.9810040705563008</v>
      </c>
      <c r="E133">
        <v>0.65117174951784995</v>
      </c>
      <c r="F133">
        <v>15</v>
      </c>
    </row>
    <row r="134" spans="1:9" x14ac:dyDescent="0.25">
      <c r="A134">
        <v>508.56270884384003</v>
      </c>
      <c r="B134">
        <v>531.44130095790001</v>
      </c>
      <c r="C134" s="1">
        <f t="shared" si="26"/>
        <v>4.4986767051937271E-2</v>
      </c>
      <c r="D134">
        <v>10.045228403436999</v>
      </c>
      <c r="E134">
        <v>0.64319649145931002</v>
      </c>
      <c r="F134">
        <v>14</v>
      </c>
    </row>
    <row r="135" spans="1:9" x14ac:dyDescent="0.25">
      <c r="A135">
        <v>512.05970149253994</v>
      </c>
      <c r="B135">
        <v>535.55669414123997</v>
      </c>
      <c r="C135" s="1">
        <f t="shared" si="26"/>
        <v>4.5887213112477898E-2</v>
      </c>
      <c r="D135">
        <v>10.121212121212</v>
      </c>
      <c r="E135">
        <v>0.64491175180111004</v>
      </c>
      <c r="F135">
        <v>14</v>
      </c>
    </row>
    <row r="136" spans="1:9" x14ac:dyDescent="0.25">
      <c r="A136">
        <v>511.82624192471002</v>
      </c>
      <c r="B136">
        <v>532.48785921140995</v>
      </c>
      <c r="C136" s="1">
        <f t="shared" si="26"/>
        <v>4.0368421144258759E-2</v>
      </c>
      <c r="D136">
        <v>10.127544097693001</v>
      </c>
      <c r="E136">
        <v>0.64350889835628</v>
      </c>
      <c r="F136">
        <v>14</v>
      </c>
    </row>
    <row r="137" spans="1:9" x14ac:dyDescent="0.25">
      <c r="A137">
        <v>505.75272889284997</v>
      </c>
      <c r="B137">
        <v>527.08576520383997</v>
      </c>
      <c r="C137" s="1">
        <f t="shared" si="26"/>
        <v>4.2180763626704421E-2</v>
      </c>
      <c r="D137">
        <v>9.9647218453189002</v>
      </c>
      <c r="E137">
        <v>0.63978165244965002</v>
      </c>
      <c r="F137">
        <v>14</v>
      </c>
    </row>
    <row r="138" spans="1:9" x14ac:dyDescent="0.25">
      <c r="A138">
        <v>506.83582089551999</v>
      </c>
      <c r="B138">
        <v>533.54600133660995</v>
      </c>
      <c r="C138" s="1">
        <f t="shared" si="26"/>
        <v>5.2699867175718174E-2</v>
      </c>
      <c r="D138">
        <v>9.9393939393939004</v>
      </c>
      <c r="E138">
        <v>0.63597741779564998</v>
      </c>
      <c r="F138">
        <v>15</v>
      </c>
    </row>
    <row r="139" spans="1:9" x14ac:dyDescent="0.25">
      <c r="A139">
        <v>510.79171307641002</v>
      </c>
      <c r="B139">
        <v>529.65337491647006</v>
      </c>
      <c r="C139" s="1">
        <f t="shared" si="26"/>
        <v>3.692632702762455E-2</v>
      </c>
      <c r="D139">
        <v>10.084124830393</v>
      </c>
      <c r="E139">
        <v>0.6414830432459</v>
      </c>
      <c r="F139">
        <v>14</v>
      </c>
    </row>
    <row r="140" spans="1:9" x14ac:dyDescent="0.25">
      <c r="A140">
        <v>511.17620850969001</v>
      </c>
      <c r="B140">
        <v>532.36310982401994</v>
      </c>
      <c r="C140" s="1">
        <f t="shared" si="26"/>
        <v>4.1447354085784482E-2</v>
      </c>
      <c r="D140">
        <v>10.120307553143</v>
      </c>
      <c r="E140">
        <v>0.64531001510120001</v>
      </c>
      <c r="F140">
        <v>14</v>
      </c>
    </row>
    <row r="141" spans="1:9" x14ac:dyDescent="0.25">
      <c r="A141">
        <v>506.79750501224999</v>
      </c>
      <c r="B141">
        <v>524.82735575852996</v>
      </c>
      <c r="C141" s="1">
        <f t="shared" si="26"/>
        <v>3.5576044806779672E-2</v>
      </c>
      <c r="D141">
        <v>10.025327905925</v>
      </c>
      <c r="E141">
        <v>0.64404210069314005</v>
      </c>
      <c r="F141">
        <v>14</v>
      </c>
    </row>
    <row r="142" spans="1:9" x14ac:dyDescent="0.25">
      <c r="A142">
        <v>510.08821563823</v>
      </c>
      <c r="B142">
        <v>539.29204722656004</v>
      </c>
      <c r="C142" s="1">
        <f t="shared" si="26"/>
        <v>5.72525118067857E-2</v>
      </c>
      <c r="D142">
        <v>10.134780642242999</v>
      </c>
      <c r="E142">
        <v>0.64909186733225999</v>
      </c>
      <c r="F142">
        <v>14</v>
      </c>
      <c r="H142" t="s">
        <v>17</v>
      </c>
      <c r="I142">
        <f t="shared" ref="I142" si="27">STDEVP(A128:A147)</f>
        <v>4.2113603467659395</v>
      </c>
    </row>
    <row r="143" spans="1:9" x14ac:dyDescent="0.25">
      <c r="A143">
        <v>510.88928491869001</v>
      </c>
      <c r="B143">
        <v>528.64736021386</v>
      </c>
      <c r="C143" s="1">
        <f t="shared" si="26"/>
        <v>3.4759146099523797E-2</v>
      </c>
      <c r="D143">
        <v>10.063319764812</v>
      </c>
      <c r="E143">
        <v>0.64015188458879002</v>
      </c>
      <c r="F143">
        <v>15</v>
      </c>
      <c r="H143" t="s">
        <v>18</v>
      </c>
      <c r="I143">
        <f t="shared" ref="I143" si="28">STDEVP(B128:B147)</f>
        <v>4.7367357327996977</v>
      </c>
    </row>
    <row r="144" spans="1:9" x14ac:dyDescent="0.25">
      <c r="A144">
        <v>506.31588327022001</v>
      </c>
      <c r="B144">
        <v>530.81488081979001</v>
      </c>
      <c r="C144" s="1">
        <f t="shared" si="26"/>
        <v>4.8386784533273053E-2</v>
      </c>
      <c r="D144">
        <v>10.005427408412</v>
      </c>
      <c r="E144">
        <v>0.64270005119422002</v>
      </c>
      <c r="F144">
        <v>14</v>
      </c>
      <c r="H144" t="s">
        <v>19</v>
      </c>
      <c r="I144">
        <f t="shared" ref="I144" si="29">STDEVP(C128:C147)</f>
        <v>6.8371915780519538E-3</v>
      </c>
    </row>
    <row r="145" spans="1:9" x14ac:dyDescent="0.25">
      <c r="A145">
        <v>499.90510135888002</v>
      </c>
      <c r="B145">
        <v>530.42192024950998</v>
      </c>
      <c r="C145" s="1">
        <f t="shared" si="26"/>
        <v>6.1045223998868581E-2</v>
      </c>
      <c r="D145">
        <v>9.9330619629126993</v>
      </c>
      <c r="E145">
        <v>0.64825131182285001</v>
      </c>
      <c r="F145">
        <v>14</v>
      </c>
      <c r="H145" t="s">
        <v>20</v>
      </c>
      <c r="I145">
        <f t="shared" ref="I145" si="30">STDEVP(D128:D147)</f>
        <v>7.6078691909833129E-2</v>
      </c>
    </row>
    <row r="146" spans="1:9" x14ac:dyDescent="0.25">
      <c r="A146">
        <v>506.76899086655999</v>
      </c>
      <c r="B146">
        <v>527.39630207174002</v>
      </c>
      <c r="C146" s="1">
        <f t="shared" si="26"/>
        <v>4.0703578113388428E-2</v>
      </c>
      <c r="D146">
        <v>9.9511533242877004</v>
      </c>
      <c r="E146">
        <v>0.63693429643447996</v>
      </c>
      <c r="F146">
        <v>14</v>
      </c>
      <c r="H146" t="s">
        <v>21</v>
      </c>
      <c r="I146">
        <f t="shared" ref="I146" si="31">STDEVP(E128:E147)</f>
        <v>6.7342461726213531E-3</v>
      </c>
    </row>
    <row r="147" spans="1:9" x14ac:dyDescent="0.25">
      <c r="A147">
        <v>504.29137892625999</v>
      </c>
      <c r="B147">
        <v>524.55736244153002</v>
      </c>
      <c r="C147" s="1">
        <f t="shared" si="26"/>
        <v>4.0187051300421661E-2</v>
      </c>
      <c r="D147">
        <v>10.072365445499999</v>
      </c>
      <c r="E147">
        <v>0.65305791871612995</v>
      </c>
      <c r="F147">
        <v>14</v>
      </c>
      <c r="H147" t="s">
        <v>22</v>
      </c>
      <c r="I147">
        <f t="shared" ref="I147" si="32">STDEVP(F128:F147)</f>
        <v>0.35707142142714249</v>
      </c>
    </row>
    <row r="148" spans="1:9" x14ac:dyDescent="0.25">
      <c r="C148" s="1" t="str">
        <f t="shared" si="26"/>
        <v/>
      </c>
    </row>
    <row r="149" spans="1:9" x14ac:dyDescent="0.25">
      <c r="A149">
        <v>1246.7170035672</v>
      </c>
      <c r="B149">
        <v>1284.8121284186</v>
      </c>
      <c r="C149" s="1">
        <f t="shared" si="26"/>
        <v>3.0556352999437264E-2</v>
      </c>
      <c r="D149">
        <v>13.989110707804</v>
      </c>
      <c r="E149">
        <v>0.28340676977916002</v>
      </c>
      <c r="F149">
        <v>130</v>
      </c>
    </row>
    <row r="150" spans="1:9" x14ac:dyDescent="0.25">
      <c r="A150">
        <v>1247.5434007133999</v>
      </c>
      <c r="B150">
        <v>1290.1200951249</v>
      </c>
      <c r="C150" s="1">
        <f t="shared" si="26"/>
        <v>3.4128427425573094E-2</v>
      </c>
      <c r="D150">
        <v>14.425892316999001</v>
      </c>
      <c r="E150">
        <v>0.29468020235545</v>
      </c>
      <c r="F150">
        <v>149</v>
      </c>
    </row>
    <row r="151" spans="1:9" x14ac:dyDescent="0.25">
      <c r="A151">
        <v>1243.5529131986</v>
      </c>
      <c r="B151">
        <v>1287.8252080856</v>
      </c>
      <c r="C151" s="1">
        <f t="shared" si="26"/>
        <v>3.5601456453610236E-2</v>
      </c>
      <c r="D151">
        <v>14.370235934664001</v>
      </c>
      <c r="E151">
        <v>0.29415893174493002</v>
      </c>
      <c r="F151">
        <v>141</v>
      </c>
    </row>
    <row r="152" spans="1:9" x14ac:dyDescent="0.25">
      <c r="A152">
        <v>1242.6432818073999</v>
      </c>
      <c r="B152">
        <v>1294.0404280619</v>
      </c>
      <c r="C152" s="1">
        <f t="shared" si="26"/>
        <v>4.1361142821086938E-2</v>
      </c>
      <c r="D152">
        <v>13.876588021779</v>
      </c>
      <c r="E152">
        <v>0.28169479962878002</v>
      </c>
      <c r="F152">
        <v>166</v>
      </c>
    </row>
    <row r="153" spans="1:9" x14ac:dyDescent="0.25">
      <c r="A153">
        <v>1224.451843044</v>
      </c>
      <c r="B153">
        <v>1273.2247324614</v>
      </c>
      <c r="C153" s="1">
        <f t="shared" si="26"/>
        <v>3.9832427624225675E-2</v>
      </c>
      <c r="D153">
        <v>13.847549909255999</v>
      </c>
      <c r="E153">
        <v>0.28609695428939003</v>
      </c>
      <c r="F153">
        <v>152</v>
      </c>
    </row>
    <row r="154" spans="1:9" x14ac:dyDescent="0.25">
      <c r="A154">
        <v>1249.7538644471001</v>
      </c>
      <c r="B154">
        <v>1303.8061831154</v>
      </c>
      <c r="C154" s="1">
        <f t="shared" si="26"/>
        <v>4.3250371297882007E-2</v>
      </c>
      <c r="D154">
        <v>14.062915910466</v>
      </c>
      <c r="E154">
        <v>0.28433435199356999</v>
      </c>
      <c r="F154">
        <v>124</v>
      </c>
    </row>
    <row r="155" spans="1:9" x14ac:dyDescent="0.25">
      <c r="A155">
        <v>1229.5279429251</v>
      </c>
      <c r="B155">
        <v>1279.8121284186</v>
      </c>
      <c r="C155" s="1">
        <f t="shared" si="26"/>
        <v>4.089714738314254E-2</v>
      </c>
      <c r="D155">
        <v>13.753176043557</v>
      </c>
      <c r="E155">
        <v>0.28202997715338002</v>
      </c>
      <c r="F155">
        <v>151</v>
      </c>
    </row>
    <row r="156" spans="1:9" x14ac:dyDescent="0.25">
      <c r="A156">
        <v>1259.3555291319999</v>
      </c>
      <c r="B156">
        <v>1299.4542211652999</v>
      </c>
      <c r="C156" s="1">
        <f t="shared" si="26"/>
        <v>3.1840644762911152E-2</v>
      </c>
      <c r="D156">
        <v>14.735632183908001</v>
      </c>
      <c r="E156">
        <v>0.29931822035539002</v>
      </c>
      <c r="F156">
        <v>156</v>
      </c>
    </row>
    <row r="157" spans="1:9" x14ac:dyDescent="0.25">
      <c r="A157">
        <v>1247.7170035672</v>
      </c>
      <c r="B157">
        <v>1286.6361474435</v>
      </c>
      <c r="C157" s="1">
        <f t="shared" si="26"/>
        <v>3.1192284600619402E-2</v>
      </c>
      <c r="D157">
        <v>14.375075620084999</v>
      </c>
      <c r="E157">
        <v>0.29342610658864998</v>
      </c>
      <c r="F157">
        <v>149</v>
      </c>
    </row>
    <row r="158" spans="1:9" x14ac:dyDescent="0.25">
      <c r="A158">
        <v>1244.7562425684</v>
      </c>
      <c r="B158">
        <v>1307.1854934602</v>
      </c>
      <c r="C158" s="1">
        <f t="shared" si="26"/>
        <v>5.0153796186621191E-2</v>
      </c>
      <c r="D158">
        <v>14.171808832426001</v>
      </c>
      <c r="E158">
        <v>0.28910954983338</v>
      </c>
      <c r="F158">
        <v>143</v>
      </c>
    </row>
    <row r="159" spans="1:9" x14ac:dyDescent="0.25">
      <c r="A159">
        <v>1251.0772889417001</v>
      </c>
      <c r="B159">
        <v>1298.2033293698</v>
      </c>
      <c r="C159" s="1">
        <f t="shared" si="26"/>
        <v>3.766836856895095E-2</v>
      </c>
      <c r="D159">
        <v>14.626739261948</v>
      </c>
      <c r="E159">
        <v>0.29872641827041002</v>
      </c>
      <c r="F159">
        <v>136</v>
      </c>
    </row>
    <row r="160" spans="1:9" x14ac:dyDescent="0.25">
      <c r="A160">
        <v>1248.5862068966001</v>
      </c>
      <c r="B160">
        <v>1292.4161712248001</v>
      </c>
      <c r="C160" s="1">
        <f t="shared" si="26"/>
        <v>3.5103674929375384E-2</v>
      </c>
      <c r="D160">
        <v>14.456140350877</v>
      </c>
      <c r="E160">
        <v>0.29516610975468999</v>
      </c>
      <c r="F160">
        <v>149</v>
      </c>
    </row>
    <row r="161" spans="1:9" x14ac:dyDescent="0.25">
      <c r="A161">
        <v>1245.790725327</v>
      </c>
      <c r="B161">
        <v>1289.4149821640999</v>
      </c>
      <c r="C161" s="1">
        <f t="shared" si="26"/>
        <v>3.5017323496006281E-2</v>
      </c>
      <c r="D161">
        <v>14.277071990321</v>
      </c>
      <c r="E161">
        <v>0.29120782544515</v>
      </c>
      <c r="F161">
        <v>146</v>
      </c>
    </row>
    <row r="162" spans="1:9" x14ac:dyDescent="0.25">
      <c r="A162">
        <v>1244.2271105826001</v>
      </c>
      <c r="B162">
        <v>1292.8727705112999</v>
      </c>
      <c r="C162" s="1">
        <f t="shared" si="26"/>
        <v>3.9097090486898134E-2</v>
      </c>
      <c r="D162">
        <v>14.434361766485001</v>
      </c>
      <c r="E162">
        <v>0.29570918661176998</v>
      </c>
      <c r="F162">
        <v>150</v>
      </c>
    </row>
    <row r="163" spans="1:9" x14ac:dyDescent="0.25">
      <c r="A163">
        <v>1249.9453032105</v>
      </c>
      <c r="B163">
        <v>1289.2734839477</v>
      </c>
      <c r="C163" s="1">
        <f t="shared" si="26"/>
        <v>3.1463921370147307E-2</v>
      </c>
      <c r="D163">
        <v>14.372655777374</v>
      </c>
      <c r="E163">
        <v>0.29285307821862999</v>
      </c>
      <c r="F163">
        <v>141</v>
      </c>
      <c r="H163" t="s">
        <v>17</v>
      </c>
      <c r="I163">
        <f t="shared" ref="I163" si="33">STDEVP(A149:A168)</f>
        <v>7.4724358740306132</v>
      </c>
    </row>
    <row r="164" spans="1:9" x14ac:dyDescent="0.25">
      <c r="A164">
        <v>1238.5029726516</v>
      </c>
      <c r="B164">
        <v>1288.6099881094001</v>
      </c>
      <c r="C164" s="1">
        <f t="shared" si="26"/>
        <v>4.0457727243498276E-2</v>
      </c>
      <c r="D164">
        <v>14.223835450696001</v>
      </c>
      <c r="E164">
        <v>0.29203472852992002</v>
      </c>
      <c r="F164">
        <v>128</v>
      </c>
      <c r="H164" t="s">
        <v>18</v>
      </c>
      <c r="I164">
        <f t="shared" ref="I164" si="34">STDEVP(B149:B168)</f>
        <v>7.5025613014301085</v>
      </c>
    </row>
    <row r="165" spans="1:9" x14ac:dyDescent="0.25">
      <c r="A165">
        <v>1246.1843043995</v>
      </c>
      <c r="B165">
        <v>1293.7740784780001</v>
      </c>
      <c r="C165" s="1">
        <f t="shared" si="26"/>
        <v>3.8188391484702766E-2</v>
      </c>
      <c r="D165">
        <v>14.088324258923</v>
      </c>
      <c r="E165">
        <v>0.28639455400972003</v>
      </c>
      <c r="F165">
        <v>141</v>
      </c>
      <c r="H165" t="s">
        <v>19</v>
      </c>
      <c r="I165">
        <f t="shared" ref="I165" si="35">STDEVP(C149:C168)</f>
        <v>4.975726605749394E-3</v>
      </c>
    </row>
    <row r="166" spans="1:9" x14ac:dyDescent="0.25">
      <c r="A166">
        <v>1245.8941736029001</v>
      </c>
      <c r="B166">
        <v>1297.3043995244</v>
      </c>
      <c r="C166" s="1">
        <f t="shared" si="26"/>
        <v>4.126371806750706E-2</v>
      </c>
      <c r="D166">
        <v>14.592861464005001</v>
      </c>
      <c r="E166">
        <v>0.29926027448393</v>
      </c>
      <c r="F166">
        <v>141</v>
      </c>
      <c r="H166" t="s">
        <v>20</v>
      </c>
      <c r="I166">
        <f t="shared" ref="I166" si="36">STDEVP(D149:D168)</f>
        <v>0.25819877635312427</v>
      </c>
    </row>
    <row r="167" spans="1:9" x14ac:dyDescent="0.25">
      <c r="A167">
        <v>1245.1747919144</v>
      </c>
      <c r="B167">
        <v>1291.3103448275999</v>
      </c>
      <c r="C167" s="1">
        <f t="shared" si="26"/>
        <v>3.7051467161705487E-2</v>
      </c>
      <c r="D167">
        <v>14.284331518450999</v>
      </c>
      <c r="E167">
        <v>0.29161204758824999</v>
      </c>
      <c r="F167">
        <v>143</v>
      </c>
      <c r="H167" t="s">
        <v>21</v>
      </c>
      <c r="I167">
        <f t="shared" ref="I167" si="37">STDEVP(E149:E168)</f>
        <v>5.4354372172333073E-3</v>
      </c>
    </row>
    <row r="168" spans="1:9" x14ac:dyDescent="0.25">
      <c r="A168">
        <v>1254.1414982163999</v>
      </c>
      <c r="B168">
        <v>1291.2532699168</v>
      </c>
      <c r="C168" s="1">
        <f t="shared" si="26"/>
        <v>2.9591375258038566E-2</v>
      </c>
      <c r="D168">
        <v>14.303690260132999</v>
      </c>
      <c r="E168">
        <v>0.28959762261866001</v>
      </c>
      <c r="F168">
        <v>127</v>
      </c>
      <c r="H168" t="s">
        <v>22</v>
      </c>
      <c r="I168">
        <f t="shared" ref="I168" si="38">STDEVP(F149:F168)</f>
        <v>10.209187039132939</v>
      </c>
    </row>
    <row r="169" spans="1:9" x14ac:dyDescent="0.25">
      <c r="C169" s="1" t="str">
        <f t="shared" si="26"/>
        <v/>
      </c>
    </row>
    <row r="170" spans="1:9" x14ac:dyDescent="0.25">
      <c r="A170">
        <v>593.61728395062005</v>
      </c>
      <c r="B170">
        <v>623.01851851851995</v>
      </c>
      <c r="C170" s="1">
        <f t="shared" si="26"/>
        <v>4.9528939542039518E-2</v>
      </c>
      <c r="D170">
        <v>10.060317460317</v>
      </c>
      <c r="E170">
        <v>0.49480852261988001</v>
      </c>
      <c r="F170">
        <v>12</v>
      </c>
    </row>
    <row r="171" spans="1:9" x14ac:dyDescent="0.25">
      <c r="A171">
        <v>597.54320987654</v>
      </c>
      <c r="B171">
        <v>624.75925925926003</v>
      </c>
      <c r="C171" s="1">
        <f t="shared" si="26"/>
        <v>4.5546579616130511E-2</v>
      </c>
      <c r="D171">
        <v>10.250793650794</v>
      </c>
      <c r="E171">
        <v>0.50279998452913</v>
      </c>
      <c r="F171">
        <v>12</v>
      </c>
    </row>
    <row r="172" spans="1:9" x14ac:dyDescent="0.25">
      <c r="A172">
        <v>590.51851851851995</v>
      </c>
      <c r="B172">
        <v>623.97530864196995</v>
      </c>
      <c r="C172" s="1">
        <f t="shared" si="26"/>
        <v>5.6656631543724689E-2</v>
      </c>
      <c r="D172">
        <v>10.438095238095</v>
      </c>
      <c r="E172">
        <v>0.52559829788376999</v>
      </c>
      <c r="F172">
        <v>12</v>
      </c>
    </row>
    <row r="173" spans="1:9" x14ac:dyDescent="0.25">
      <c r="A173">
        <v>592.20987654321004</v>
      </c>
      <c r="B173">
        <v>615.52469135802005</v>
      </c>
      <c r="C173" s="1">
        <f t="shared" si="26"/>
        <v>3.9369175926110778E-2</v>
      </c>
      <c r="D173">
        <v>10.193650793651001</v>
      </c>
      <c r="E173">
        <v>0.50518971912793997</v>
      </c>
      <c r="F173">
        <v>12</v>
      </c>
    </row>
    <row r="174" spans="1:9" x14ac:dyDescent="0.25">
      <c r="A174">
        <v>578.81481481481001</v>
      </c>
      <c r="B174">
        <v>614.90123456790002</v>
      </c>
      <c r="C174" s="1">
        <f t="shared" si="26"/>
        <v>6.2345363023639466E-2</v>
      </c>
      <c r="D174">
        <v>10.047619047618999</v>
      </c>
      <c r="E174">
        <v>0.51232804983407998</v>
      </c>
      <c r="F174">
        <v>12</v>
      </c>
    </row>
    <row r="175" spans="1:9" x14ac:dyDescent="0.25">
      <c r="A175">
        <v>599.95679012346</v>
      </c>
      <c r="B175">
        <v>629.76543209876002</v>
      </c>
      <c r="C175" s="1">
        <f t="shared" si="26"/>
        <v>4.9684648071348425E-2</v>
      </c>
      <c r="D175">
        <v>10.434920634920999</v>
      </c>
      <c r="E175">
        <v>0.51386992942848997</v>
      </c>
      <c r="F175">
        <v>12</v>
      </c>
    </row>
    <row r="176" spans="1:9" x14ac:dyDescent="0.25">
      <c r="A176">
        <v>586.64197530863999</v>
      </c>
      <c r="B176">
        <v>618.08641975308001</v>
      </c>
      <c r="C176" s="1">
        <f t="shared" si="26"/>
        <v>5.3600740771910571E-2</v>
      </c>
      <c r="D176">
        <v>10.130158730159</v>
      </c>
      <c r="E176">
        <v>0.50875945850390003</v>
      </c>
      <c r="F176">
        <v>12</v>
      </c>
    </row>
    <row r="177" spans="1:9" x14ac:dyDescent="0.25">
      <c r="A177">
        <v>602.51234567900997</v>
      </c>
      <c r="B177">
        <v>631.49382716049001</v>
      </c>
      <c r="C177" s="1">
        <f t="shared" si="26"/>
        <v>4.8101058325732637E-2</v>
      </c>
      <c r="D177">
        <v>10.377777777778</v>
      </c>
      <c r="E177">
        <v>0.50638350798151999</v>
      </c>
      <c r="F177">
        <v>12</v>
      </c>
    </row>
    <row r="178" spans="1:9" x14ac:dyDescent="0.25">
      <c r="A178">
        <v>589.81481481481001</v>
      </c>
      <c r="B178">
        <v>628.14197530863999</v>
      </c>
      <c r="C178" s="1">
        <f t="shared" si="26"/>
        <v>6.4981684981690213E-2</v>
      </c>
      <c r="D178">
        <v>10.219047619048</v>
      </c>
      <c r="E178">
        <v>0.51112649236315999</v>
      </c>
      <c r="F178">
        <v>12</v>
      </c>
    </row>
    <row r="179" spans="1:9" x14ac:dyDescent="0.25">
      <c r="A179">
        <v>598.64197530863999</v>
      </c>
      <c r="B179">
        <v>626.55555555554997</v>
      </c>
      <c r="C179" s="1">
        <f t="shared" si="26"/>
        <v>4.6628170756851217E-2</v>
      </c>
      <c r="D179">
        <v>9.9873015873015998</v>
      </c>
      <c r="E179">
        <v>0.48468921201250997</v>
      </c>
      <c r="F179">
        <v>12</v>
      </c>
    </row>
    <row r="180" spans="1:9" x14ac:dyDescent="0.25">
      <c r="A180">
        <v>594.80246913580004</v>
      </c>
      <c r="B180">
        <v>624.46913580246996</v>
      </c>
      <c r="C180" s="1">
        <f t="shared" si="26"/>
        <v>4.9876502210512319E-2</v>
      </c>
      <c r="D180">
        <v>10.269841269841001</v>
      </c>
      <c r="E180">
        <v>0.50750741774089003</v>
      </c>
      <c r="F180">
        <v>12</v>
      </c>
    </row>
    <row r="181" spans="1:9" x14ac:dyDescent="0.25">
      <c r="A181">
        <v>588.61728395062005</v>
      </c>
      <c r="B181">
        <v>617.43209876543006</v>
      </c>
      <c r="C181" s="1">
        <f t="shared" si="26"/>
        <v>4.8953395696119895E-2</v>
      </c>
      <c r="D181">
        <v>10.460317460317</v>
      </c>
      <c r="E181">
        <v>0.53033981840017996</v>
      </c>
      <c r="F181">
        <v>13</v>
      </c>
    </row>
    <row r="182" spans="1:9" x14ac:dyDescent="0.25">
      <c r="A182">
        <v>589.5</v>
      </c>
      <c r="B182">
        <v>618.32098765431999</v>
      </c>
      <c r="C182" s="1">
        <f t="shared" si="26"/>
        <v>4.889056429910088E-2</v>
      </c>
      <c r="D182">
        <v>10.142857142857</v>
      </c>
      <c r="E182">
        <v>0.50557815590857003</v>
      </c>
      <c r="F182">
        <v>12</v>
      </c>
    </row>
    <row r="183" spans="1:9" x14ac:dyDescent="0.25">
      <c r="A183">
        <v>599.5</v>
      </c>
      <c r="B183">
        <v>629.59259259258999</v>
      </c>
      <c r="C183" s="1">
        <f t="shared" si="26"/>
        <v>5.0196151113578003E-2</v>
      </c>
      <c r="D183">
        <v>10.485714285714</v>
      </c>
      <c r="E183">
        <v>0.51925661251053001</v>
      </c>
      <c r="F183">
        <v>12</v>
      </c>
    </row>
    <row r="184" spans="1:9" x14ac:dyDescent="0.25">
      <c r="A184">
        <v>587.30246913580004</v>
      </c>
      <c r="B184">
        <v>615.57407407407004</v>
      </c>
      <c r="C184" s="1">
        <f t="shared" si="26"/>
        <v>4.8138065858757351E-2</v>
      </c>
      <c r="D184">
        <v>10.098412698413</v>
      </c>
      <c r="E184">
        <v>0.50509946348106005</v>
      </c>
      <c r="F184">
        <v>12</v>
      </c>
      <c r="H184" t="s">
        <v>17</v>
      </c>
      <c r="I184">
        <f t="shared" ref="I184" si="39">STDEVP(A170:A189)</f>
        <v>5.7261342122158725</v>
      </c>
    </row>
    <row r="185" spans="1:9" x14ac:dyDescent="0.25">
      <c r="A185">
        <v>596.12345679012003</v>
      </c>
      <c r="B185">
        <v>627.39506172839003</v>
      </c>
      <c r="C185" s="1">
        <f t="shared" si="26"/>
        <v>5.2458269477692943E-2</v>
      </c>
      <c r="D185">
        <v>10.406349206349001</v>
      </c>
      <c r="E185">
        <v>0.51669241648859998</v>
      </c>
      <c r="F185">
        <v>12</v>
      </c>
      <c r="H185" t="s">
        <v>18</v>
      </c>
      <c r="I185">
        <f t="shared" ref="I185" si="40">STDEVP(B170:B189)</f>
        <v>5.323311441174555</v>
      </c>
    </row>
    <row r="186" spans="1:9" x14ac:dyDescent="0.25">
      <c r="A186">
        <v>589.55555555555998</v>
      </c>
      <c r="B186">
        <v>616.70987654321004</v>
      </c>
      <c r="C186" s="1">
        <f t="shared" si="26"/>
        <v>4.6058968882180418E-2</v>
      </c>
      <c r="D186">
        <v>10.285714285714</v>
      </c>
      <c r="E186">
        <v>0.51710234289644996</v>
      </c>
      <c r="F186">
        <v>12</v>
      </c>
      <c r="H186" t="s">
        <v>19</v>
      </c>
      <c r="I186">
        <f t="shared" ref="I186" si="41">STDEVP(C170:C189)</f>
        <v>6.1575138911817099E-3</v>
      </c>
    </row>
    <row r="187" spans="1:9" x14ac:dyDescent="0.25">
      <c r="A187">
        <v>591.52469135802005</v>
      </c>
      <c r="B187">
        <v>616.71604938271003</v>
      </c>
      <c r="C187" s="1">
        <f t="shared" si="26"/>
        <v>4.258716228202708E-2</v>
      </c>
      <c r="D187">
        <v>10.355555555556</v>
      </c>
      <c r="E187">
        <v>0.51831048917379996</v>
      </c>
      <c r="F187">
        <v>12</v>
      </c>
      <c r="H187" t="s">
        <v>20</v>
      </c>
      <c r="I187">
        <f t="shared" ref="I187" si="42">STDEVP(D170:D189)</f>
        <v>0.16347017884038462</v>
      </c>
    </row>
    <row r="188" spans="1:9" x14ac:dyDescent="0.25">
      <c r="A188">
        <v>583.74691358024995</v>
      </c>
      <c r="B188">
        <v>618.73456790122998</v>
      </c>
      <c r="C188" s="1">
        <f t="shared" si="26"/>
        <v>5.9936341429872364E-2</v>
      </c>
      <c r="D188">
        <v>9.9269841269841006</v>
      </c>
      <c r="E188">
        <v>0.49707721763186002</v>
      </c>
      <c r="F188">
        <v>12</v>
      </c>
      <c r="H188" t="s">
        <v>21</v>
      </c>
      <c r="I188">
        <f t="shared" ref="I188" si="43">STDEVP(E170:E189)</f>
        <v>1.038334806664465E-2</v>
      </c>
    </row>
    <row r="189" spans="1:9" x14ac:dyDescent="0.25">
      <c r="A189">
        <v>592.61111111110995</v>
      </c>
      <c r="B189">
        <v>623.96296296295998</v>
      </c>
      <c r="C189" s="1">
        <f t="shared" si="26"/>
        <v>5.2904596731349063E-2</v>
      </c>
      <c r="D189">
        <v>10.342857142857</v>
      </c>
      <c r="E189">
        <v>0.51705925224326998</v>
      </c>
      <c r="F189">
        <v>12</v>
      </c>
      <c r="H189" t="s">
        <v>22</v>
      </c>
      <c r="I189">
        <f t="shared" ref="I189" si="44">STDEVP(F170:F189)</f>
        <v>0.21794494717703367</v>
      </c>
    </row>
    <row r="190" spans="1:9" x14ac:dyDescent="0.25">
      <c r="C190" s="1" t="str">
        <f t="shared" si="26"/>
        <v/>
      </c>
    </row>
    <row r="191" spans="1:9" x14ac:dyDescent="0.25">
      <c r="A191">
        <v>2891.7465564738</v>
      </c>
      <c r="B191">
        <v>2975.6308539943998</v>
      </c>
      <c r="C191" s="1">
        <f t="shared" si="26"/>
        <v>2.9008177543362823E-2</v>
      </c>
      <c r="D191">
        <v>20.818181818182001</v>
      </c>
      <c r="E191">
        <v>0.16241349462783999</v>
      </c>
      <c r="F191">
        <v>29</v>
      </c>
    </row>
    <row r="192" spans="1:9" x14ac:dyDescent="0.25">
      <c r="A192">
        <v>2942.7970615242998</v>
      </c>
      <c r="B192">
        <v>3001.3847566574</v>
      </c>
      <c r="C192" s="1">
        <f t="shared" si="26"/>
        <v>1.9908846552522119E-2</v>
      </c>
      <c r="D192">
        <v>21.609848484848001</v>
      </c>
      <c r="E192">
        <v>0.16614623281374</v>
      </c>
      <c r="F192">
        <v>29</v>
      </c>
    </row>
    <row r="193" spans="1:9" x14ac:dyDescent="0.25">
      <c r="A193">
        <v>2911.9118457300001</v>
      </c>
      <c r="B193">
        <v>2991.2433425160002</v>
      </c>
      <c r="C193" s="1">
        <f t="shared" si="26"/>
        <v>2.724378380558834E-2</v>
      </c>
      <c r="D193">
        <v>21.170454545455001</v>
      </c>
      <c r="E193">
        <v>0.16426086607956</v>
      </c>
      <c r="F193">
        <v>29</v>
      </c>
    </row>
    <row r="194" spans="1:9" x14ac:dyDescent="0.25">
      <c r="A194">
        <v>2888.9182736455</v>
      </c>
      <c r="B194">
        <v>2975.0982552800001</v>
      </c>
      <c r="C194" s="1">
        <f t="shared" ref="C194:C257" si="45">IFERROR((B194/A194)-1,"")</f>
        <v>2.9831228671536758E-2</v>
      </c>
      <c r="D194">
        <v>21.234848484848001</v>
      </c>
      <c r="E194">
        <v>0.16645434800942999</v>
      </c>
      <c r="F194">
        <v>29</v>
      </c>
    </row>
    <row r="195" spans="1:9" x14ac:dyDescent="0.25">
      <c r="A195">
        <v>2921.9632690541998</v>
      </c>
      <c r="B195">
        <v>2998.4224058769</v>
      </c>
      <c r="C195" s="1">
        <f t="shared" si="45"/>
        <v>2.6167042423996367E-2</v>
      </c>
      <c r="D195">
        <v>21.185606060605998</v>
      </c>
      <c r="E195">
        <v>0.16370438487271999</v>
      </c>
      <c r="F195">
        <v>29</v>
      </c>
    </row>
    <row r="196" spans="1:9" x14ac:dyDescent="0.25">
      <c r="A196">
        <v>2913.2708907254</v>
      </c>
      <c r="B196">
        <v>2986.5105601468999</v>
      </c>
      <c r="C196" s="1">
        <f t="shared" si="45"/>
        <v>2.5140013465504873E-2</v>
      </c>
      <c r="D196">
        <v>21.053030303029999</v>
      </c>
      <c r="E196">
        <v>0.16310689486478999</v>
      </c>
      <c r="F196">
        <v>29</v>
      </c>
    </row>
    <row r="197" spans="1:9" x14ac:dyDescent="0.25">
      <c r="A197">
        <v>2927.6822773186</v>
      </c>
      <c r="B197">
        <v>3005.9283746555998</v>
      </c>
      <c r="C197" s="1">
        <f t="shared" si="45"/>
        <v>2.6726294018715624E-2</v>
      </c>
      <c r="D197">
        <v>21.799242424241999</v>
      </c>
      <c r="E197">
        <v>0.16897509717878001</v>
      </c>
      <c r="F197">
        <v>30</v>
      </c>
    </row>
    <row r="198" spans="1:9" x14ac:dyDescent="0.25">
      <c r="A198">
        <v>2926.8907254361998</v>
      </c>
      <c r="B198">
        <v>3031.6602387511002</v>
      </c>
      <c r="C198" s="1">
        <f t="shared" si="45"/>
        <v>3.5795498753813826E-2</v>
      </c>
      <c r="D198">
        <v>21.655303030302999</v>
      </c>
      <c r="E198">
        <v>0.16763818817317</v>
      </c>
      <c r="F198">
        <v>29</v>
      </c>
    </row>
    <row r="199" spans="1:9" x14ac:dyDescent="0.25">
      <c r="A199">
        <v>2915.7373737374</v>
      </c>
      <c r="B199">
        <v>3002.6354453627</v>
      </c>
      <c r="C199" s="1">
        <f t="shared" si="45"/>
        <v>2.9803120270024186E-2</v>
      </c>
      <c r="D199">
        <v>20.958333333333002</v>
      </c>
      <c r="E199">
        <v>0.16214164215905999</v>
      </c>
      <c r="F199">
        <v>29</v>
      </c>
    </row>
    <row r="200" spans="1:9" x14ac:dyDescent="0.25">
      <c r="A200">
        <v>2910.2277318641</v>
      </c>
      <c r="B200">
        <v>2982.4628099173001</v>
      </c>
      <c r="C200" s="1">
        <f t="shared" si="45"/>
        <v>2.4821108417838911E-2</v>
      </c>
      <c r="D200">
        <v>20.924242424241999</v>
      </c>
      <c r="E200">
        <v>0.16222272579071001</v>
      </c>
      <c r="F200">
        <v>29</v>
      </c>
    </row>
    <row r="201" spans="1:9" x14ac:dyDescent="0.25">
      <c r="A201">
        <v>2914.7897153352001</v>
      </c>
      <c r="B201">
        <v>2983.4343434343</v>
      </c>
      <c r="C201" s="1">
        <f t="shared" si="45"/>
        <v>2.355045639757436E-2</v>
      </c>
      <c r="D201">
        <v>21.196969696970001</v>
      </c>
      <c r="E201">
        <v>0.16429964295260999</v>
      </c>
      <c r="F201">
        <v>29</v>
      </c>
    </row>
    <row r="202" spans="1:9" x14ac:dyDescent="0.25">
      <c r="A202">
        <v>2907.3480257116998</v>
      </c>
      <c r="B202">
        <v>2995.8328741965001</v>
      </c>
      <c r="C202" s="1">
        <f t="shared" si="45"/>
        <v>3.0434900707540846E-2</v>
      </c>
      <c r="D202">
        <v>21.450757575758001</v>
      </c>
      <c r="E202">
        <v>0.16713333524754001</v>
      </c>
      <c r="F202">
        <v>30</v>
      </c>
    </row>
    <row r="203" spans="1:9" x14ac:dyDescent="0.25">
      <c r="A203">
        <v>2904.233241506</v>
      </c>
      <c r="B203">
        <v>3002.8907254361002</v>
      </c>
      <c r="C203" s="1">
        <f t="shared" si="45"/>
        <v>3.3970234387559417E-2</v>
      </c>
      <c r="D203">
        <v>21.265151515151999</v>
      </c>
      <c r="E203">
        <v>0.16564013071177999</v>
      </c>
      <c r="F203">
        <v>29</v>
      </c>
    </row>
    <row r="204" spans="1:9" x14ac:dyDescent="0.25">
      <c r="A204">
        <v>2894.9164370982999</v>
      </c>
      <c r="B204">
        <v>2983.9100091826999</v>
      </c>
      <c r="C204" s="1">
        <f t="shared" si="45"/>
        <v>3.0741326742267594E-2</v>
      </c>
      <c r="D204">
        <v>21.412878787878999</v>
      </c>
      <c r="E204">
        <v>0.16763872189779999</v>
      </c>
      <c r="F204">
        <v>30</v>
      </c>
    </row>
    <row r="205" spans="1:9" x14ac:dyDescent="0.25">
      <c r="A205">
        <v>2928.8062442608002</v>
      </c>
      <c r="B205">
        <v>2998.9550045913002</v>
      </c>
      <c r="C205" s="1">
        <f t="shared" si="45"/>
        <v>2.3951314795221279E-2</v>
      </c>
      <c r="D205">
        <v>21.844696969697001</v>
      </c>
      <c r="E205">
        <v>0.16923061951818</v>
      </c>
      <c r="F205">
        <v>29</v>
      </c>
      <c r="H205" t="s">
        <v>17</v>
      </c>
      <c r="I205">
        <f t="shared" ref="I205" si="46">STDEVP(A191:A210)</f>
        <v>15.544528076344454</v>
      </c>
    </row>
    <row r="206" spans="1:9" x14ac:dyDescent="0.25">
      <c r="A206">
        <v>2894.0275482093998</v>
      </c>
      <c r="B206">
        <v>2972.1910009182002</v>
      </c>
      <c r="C206" s="1">
        <f t="shared" si="45"/>
        <v>2.7008537896317408E-2</v>
      </c>
      <c r="D206">
        <v>20.829545454544999</v>
      </c>
      <c r="E206">
        <v>0.16225412634927</v>
      </c>
      <c r="F206">
        <v>29</v>
      </c>
      <c r="H206" t="s">
        <v>18</v>
      </c>
      <c r="I206">
        <f t="shared" ref="I206" si="47">STDEVP(B191:B210)</f>
        <v>14.174093699733406</v>
      </c>
    </row>
    <row r="207" spans="1:9" x14ac:dyDescent="0.25">
      <c r="A207">
        <v>2932.3562901744999</v>
      </c>
      <c r="B207">
        <v>2995.8438934802002</v>
      </c>
      <c r="C207" s="1">
        <f t="shared" si="45"/>
        <v>2.1650712608979106E-2</v>
      </c>
      <c r="D207">
        <v>21.712121212121001</v>
      </c>
      <c r="E207">
        <v>0.16774531458622</v>
      </c>
      <c r="F207">
        <v>29</v>
      </c>
      <c r="H207" t="s">
        <v>19</v>
      </c>
      <c r="I207">
        <f t="shared" ref="I207" si="48">STDEVP(C191:C210)</f>
        <v>3.8914467238856756E-3</v>
      </c>
    </row>
    <row r="208" spans="1:9" x14ac:dyDescent="0.25">
      <c r="A208">
        <v>2909.9797979798</v>
      </c>
      <c r="B208">
        <v>2981.1919191919001</v>
      </c>
      <c r="C208" s="1">
        <f t="shared" si="45"/>
        <v>2.447168920606857E-2</v>
      </c>
      <c r="D208">
        <v>21.333333333333002</v>
      </c>
      <c r="E208">
        <v>0.16586150627405999</v>
      </c>
      <c r="F208">
        <v>29</v>
      </c>
      <c r="H208" t="s">
        <v>20</v>
      </c>
      <c r="I208">
        <f t="shared" ref="I208" si="49">STDEVP(D191:D210)</f>
        <v>0.32397348836938888</v>
      </c>
    </row>
    <row r="209" spans="1:9" x14ac:dyDescent="0.25">
      <c r="A209">
        <v>2919.7281910009001</v>
      </c>
      <c r="B209">
        <v>2991.5831037649</v>
      </c>
      <c r="C209" s="1">
        <f t="shared" si="45"/>
        <v>2.4610137678386934E-2</v>
      </c>
      <c r="D209">
        <v>21.598484848485</v>
      </c>
      <c r="E209">
        <v>0.16764812531314</v>
      </c>
      <c r="F209">
        <v>30</v>
      </c>
      <c r="H209" t="s">
        <v>21</v>
      </c>
      <c r="I209">
        <f t="shared" ref="I209" si="50">STDEVP(E191:E210)</f>
        <v>2.3272640159721571E-3</v>
      </c>
    </row>
    <row r="210" spans="1:9" x14ac:dyDescent="0.25">
      <c r="A210">
        <v>2882.1616161615998</v>
      </c>
      <c r="B210">
        <v>2969.6859504131999</v>
      </c>
      <c r="C210" s="1">
        <f t="shared" si="45"/>
        <v>3.0367601095237395E-2</v>
      </c>
      <c r="D210">
        <v>20.833333333333002</v>
      </c>
      <c r="E210">
        <v>0.16312280124486001</v>
      </c>
      <c r="F210">
        <v>29</v>
      </c>
      <c r="H210" t="s">
        <v>22</v>
      </c>
      <c r="I210">
        <f t="shared" ref="I210" si="51">STDEVP(F191:F210)</f>
        <v>0.39999999999999997</v>
      </c>
    </row>
    <row r="211" spans="1:9" x14ac:dyDescent="0.25">
      <c r="C211" s="1" t="str">
        <f t="shared" si="45"/>
        <v/>
      </c>
    </row>
    <row r="212" spans="1:9" x14ac:dyDescent="0.25">
      <c r="A212">
        <v>385.97959183672998</v>
      </c>
      <c r="B212">
        <v>415.26530612245</v>
      </c>
      <c r="C212" s="1">
        <f t="shared" si="45"/>
        <v>7.5873737640791861E-2</v>
      </c>
      <c r="D212">
        <v>8.3174603174603003</v>
      </c>
      <c r="E212">
        <v>0.72178512779255999</v>
      </c>
      <c r="F212">
        <v>8</v>
      </c>
    </row>
    <row r="213" spans="1:9" x14ac:dyDescent="0.25">
      <c r="A213">
        <v>388.67346938776001</v>
      </c>
      <c r="B213">
        <v>415.41836734693999</v>
      </c>
      <c r="C213" s="1">
        <f t="shared" si="45"/>
        <v>6.8810711472817143E-2</v>
      </c>
      <c r="D213">
        <v>8.3386243386242995</v>
      </c>
      <c r="E213">
        <v>0.71767931536178997</v>
      </c>
      <c r="F213">
        <v>8</v>
      </c>
    </row>
    <row r="214" spans="1:9" x14ac:dyDescent="0.25">
      <c r="A214">
        <v>383.82653061223999</v>
      </c>
      <c r="B214">
        <v>410.13265306122997</v>
      </c>
      <c r="C214" s="1">
        <f t="shared" si="45"/>
        <v>6.853648810317825E-2</v>
      </c>
      <c r="D214">
        <v>8.1798941798942</v>
      </c>
      <c r="E214">
        <v>0.70152187606742</v>
      </c>
      <c r="F214">
        <v>8</v>
      </c>
    </row>
    <row r="215" spans="1:9" x14ac:dyDescent="0.25">
      <c r="A215">
        <v>386.32653061225</v>
      </c>
      <c r="B215">
        <v>418.5306122449</v>
      </c>
      <c r="C215" s="1">
        <f t="shared" si="45"/>
        <v>8.3359746434222393E-2</v>
      </c>
      <c r="D215">
        <v>8.3280423280423008</v>
      </c>
      <c r="E215">
        <v>0.71668199543280997</v>
      </c>
      <c r="F215">
        <v>8</v>
      </c>
    </row>
    <row r="216" spans="1:9" x14ac:dyDescent="0.25">
      <c r="A216">
        <v>394.30612244897998</v>
      </c>
      <c r="B216">
        <v>414.63265306122997</v>
      </c>
      <c r="C216" s="1">
        <f t="shared" si="45"/>
        <v>5.1550126805043783E-2</v>
      </c>
      <c r="D216">
        <v>8.3862433862434003</v>
      </c>
      <c r="E216">
        <v>0.70637739636711006</v>
      </c>
      <c r="F216">
        <v>8</v>
      </c>
    </row>
    <row r="217" spans="1:9" x14ac:dyDescent="0.25">
      <c r="A217">
        <v>383.9387755102</v>
      </c>
      <c r="B217">
        <v>407.76530612245</v>
      </c>
      <c r="C217" s="1">
        <f t="shared" si="45"/>
        <v>6.2058151278385321E-2</v>
      </c>
      <c r="D217">
        <v>8.2116402116401996</v>
      </c>
      <c r="E217">
        <v>0.70768461696441998</v>
      </c>
      <c r="F217">
        <v>8</v>
      </c>
    </row>
    <row r="218" spans="1:9" x14ac:dyDescent="0.25">
      <c r="A218">
        <v>389.51020408162998</v>
      </c>
      <c r="B218">
        <v>421.17346938776001</v>
      </c>
      <c r="C218" s="1">
        <f t="shared" si="45"/>
        <v>8.1289950749260376E-2</v>
      </c>
      <c r="D218">
        <v>8.3597883597884</v>
      </c>
      <c r="E218">
        <v>0.71212179373786</v>
      </c>
      <c r="F218">
        <v>8</v>
      </c>
    </row>
    <row r="219" spans="1:9" x14ac:dyDescent="0.25">
      <c r="A219">
        <v>382.29591836735</v>
      </c>
      <c r="B219">
        <v>412.86734693877997</v>
      </c>
      <c r="C219" s="1">
        <f t="shared" si="45"/>
        <v>7.9967970105434771E-2</v>
      </c>
      <c r="D219">
        <v>8.3227513227512997</v>
      </c>
      <c r="E219">
        <v>0.73090613465801002</v>
      </c>
      <c r="F219">
        <v>8</v>
      </c>
    </row>
    <row r="220" spans="1:9" x14ac:dyDescent="0.25">
      <c r="A220">
        <v>388.26530612245</v>
      </c>
      <c r="B220">
        <v>419.0306122449</v>
      </c>
      <c r="C220" s="1">
        <f t="shared" si="45"/>
        <v>7.9237844940869717E-2</v>
      </c>
      <c r="D220">
        <v>8.4656084656085007</v>
      </c>
      <c r="E220">
        <v>0.73532521308476995</v>
      </c>
      <c r="F220">
        <v>8</v>
      </c>
    </row>
    <row r="221" spans="1:9" x14ac:dyDescent="0.25">
      <c r="A221">
        <v>398.14285714286001</v>
      </c>
      <c r="B221">
        <v>422.44897959183999</v>
      </c>
      <c r="C221" s="1">
        <f t="shared" si="45"/>
        <v>6.1048746732278003E-2</v>
      </c>
      <c r="D221">
        <v>8.3703703703704004</v>
      </c>
      <c r="E221">
        <v>0.69294704663424</v>
      </c>
      <c r="F221">
        <v>8</v>
      </c>
    </row>
    <row r="222" spans="1:9" x14ac:dyDescent="0.25">
      <c r="A222">
        <v>389.85714285713999</v>
      </c>
      <c r="B222">
        <v>419.75510204082002</v>
      </c>
      <c r="C222" s="1">
        <f t="shared" si="45"/>
        <v>7.6689525205482445E-2</v>
      </c>
      <c r="D222">
        <v>8.3703703703704004</v>
      </c>
      <c r="E222">
        <v>0.71466145090692001</v>
      </c>
      <c r="F222">
        <v>8</v>
      </c>
    </row>
    <row r="223" spans="1:9" x14ac:dyDescent="0.25">
      <c r="A223">
        <v>392.30612244897998</v>
      </c>
      <c r="B223">
        <v>414.91836734693999</v>
      </c>
      <c r="C223" s="1">
        <f t="shared" si="45"/>
        <v>5.763928627165571E-2</v>
      </c>
      <c r="D223">
        <v>8.3862433862434003</v>
      </c>
      <c r="E223">
        <v>0.70681321571267997</v>
      </c>
      <c r="F223">
        <v>8</v>
      </c>
    </row>
    <row r="224" spans="1:9" x14ac:dyDescent="0.25">
      <c r="A224">
        <v>397.16326530612002</v>
      </c>
      <c r="B224">
        <v>415.51020408162998</v>
      </c>
      <c r="C224" s="1">
        <f t="shared" si="45"/>
        <v>4.6194954010584821E-2</v>
      </c>
      <c r="D224">
        <v>8.3492063492063</v>
      </c>
      <c r="E224">
        <v>0.68913533533087001</v>
      </c>
      <c r="F224">
        <v>8</v>
      </c>
    </row>
    <row r="225" spans="1:9" x14ac:dyDescent="0.25">
      <c r="A225">
        <v>396.71428571428999</v>
      </c>
      <c r="B225">
        <v>417.90816326531001</v>
      </c>
      <c r="C225" s="1">
        <f t="shared" si="45"/>
        <v>5.342353001697453E-2</v>
      </c>
      <c r="D225">
        <v>8.4814814814815005</v>
      </c>
      <c r="E225">
        <v>0.70962337815509002</v>
      </c>
      <c r="F225">
        <v>8</v>
      </c>
    </row>
    <row r="226" spans="1:9" x14ac:dyDescent="0.25">
      <c r="A226">
        <v>391.23469387755</v>
      </c>
      <c r="B226">
        <v>415.73469387755</v>
      </c>
      <c r="C226" s="1">
        <f t="shared" si="45"/>
        <v>6.2622258157064348E-2</v>
      </c>
      <c r="D226">
        <v>8.6084656084656004</v>
      </c>
      <c r="E226">
        <v>0.74215949438124995</v>
      </c>
      <c r="F226">
        <v>8</v>
      </c>
      <c r="H226" t="s">
        <v>17</v>
      </c>
      <c r="I226">
        <f t="shared" ref="I226" si="52">STDEVP(A212:A231)</f>
        <v>5.2357449117910058</v>
      </c>
    </row>
    <row r="227" spans="1:9" x14ac:dyDescent="0.25">
      <c r="A227">
        <v>383.98979591837002</v>
      </c>
      <c r="B227">
        <v>421.97959183673998</v>
      </c>
      <c r="C227" s="1">
        <f t="shared" si="45"/>
        <v>9.893438920039932E-2</v>
      </c>
      <c r="D227">
        <v>8.0105820105820005</v>
      </c>
      <c r="E227">
        <v>0.68149636051122997</v>
      </c>
      <c r="F227">
        <v>8</v>
      </c>
      <c r="H227" t="s">
        <v>18</v>
      </c>
      <c r="I227">
        <f t="shared" ref="I227" si="53">STDEVP(B212:B231)</f>
        <v>4.1698796996685932</v>
      </c>
    </row>
    <row r="228" spans="1:9" x14ac:dyDescent="0.25">
      <c r="A228">
        <v>380.31632653061001</v>
      </c>
      <c r="B228">
        <v>418.41836734693999</v>
      </c>
      <c r="C228" s="1">
        <f t="shared" si="45"/>
        <v>0.10018513053044886</v>
      </c>
      <c r="D228">
        <v>8.1904761904762005</v>
      </c>
      <c r="E228">
        <v>0.71777420863676</v>
      </c>
      <c r="F228">
        <v>8</v>
      </c>
      <c r="H228" t="s">
        <v>19</v>
      </c>
      <c r="I228">
        <f t="shared" ref="I228" si="54">STDEVP(C212:C231)</f>
        <v>1.5968919925897135E-2</v>
      </c>
    </row>
    <row r="229" spans="1:9" x14ac:dyDescent="0.25">
      <c r="A229">
        <v>381.65306122448999</v>
      </c>
      <c r="B229">
        <v>416.40816326531001</v>
      </c>
      <c r="C229" s="1">
        <f t="shared" si="45"/>
        <v>9.1064648949263693E-2</v>
      </c>
      <c r="D229">
        <v>8.2116402116401996</v>
      </c>
      <c r="E229">
        <v>0.71438808299333001</v>
      </c>
      <c r="F229">
        <v>8</v>
      </c>
      <c r="H229" t="s">
        <v>20</v>
      </c>
      <c r="I229">
        <f t="shared" ref="I229" si="55">STDEVP(D212:D231)</f>
        <v>0.12428119804120809</v>
      </c>
    </row>
    <row r="230" spans="1:9" x14ac:dyDescent="0.25">
      <c r="A230">
        <v>390.51020408162998</v>
      </c>
      <c r="B230">
        <v>425.44897959183999</v>
      </c>
      <c r="C230" s="1">
        <f t="shared" si="45"/>
        <v>8.9469558400852023E-2</v>
      </c>
      <c r="D230">
        <v>8.3227513227512997</v>
      </c>
      <c r="E230">
        <v>0.70470575635823995</v>
      </c>
      <c r="F230">
        <v>8</v>
      </c>
      <c r="H230" t="s">
        <v>21</v>
      </c>
      <c r="I230">
        <f t="shared" ref="I230" si="56">STDEVP(E212:E231)</f>
        <v>1.4271426092718528E-2</v>
      </c>
    </row>
    <row r="231" spans="1:9" x14ac:dyDescent="0.25">
      <c r="A231">
        <v>393.74489795917998</v>
      </c>
      <c r="B231">
        <v>412.61224489796001</v>
      </c>
      <c r="C231" s="1">
        <f t="shared" si="45"/>
        <v>4.7917692487118968E-2</v>
      </c>
      <c r="D231">
        <v>8.4126984126984006</v>
      </c>
      <c r="E231">
        <v>0.70944502393577002</v>
      </c>
      <c r="F231">
        <v>8</v>
      </c>
      <c r="H231" t="s">
        <v>22</v>
      </c>
      <c r="I231">
        <f t="shared" ref="I231" si="57">STDEVP(F212:F231)</f>
        <v>0</v>
      </c>
    </row>
    <row r="232" spans="1:9" x14ac:dyDescent="0.25">
      <c r="C232" s="1" t="str">
        <f t="shared" si="45"/>
        <v/>
      </c>
    </row>
    <row r="233" spans="1:9" x14ac:dyDescent="0.25">
      <c r="A233">
        <v>2397.9723183391002</v>
      </c>
      <c r="B233">
        <v>2484.9930795846999</v>
      </c>
      <c r="C233" s="1">
        <f t="shared" si="45"/>
        <v>3.6289310172634703E-2</v>
      </c>
      <c r="D233">
        <v>17.889483065954</v>
      </c>
      <c r="E233">
        <v>0.16944247755896999</v>
      </c>
      <c r="F233">
        <v>640</v>
      </c>
    </row>
    <row r="234" spans="1:9" x14ac:dyDescent="0.25">
      <c r="A234">
        <v>2370.5501730104002</v>
      </c>
      <c r="B234">
        <v>2432.4429065743998</v>
      </c>
      <c r="C234" s="1">
        <f t="shared" si="45"/>
        <v>2.6109016492741555E-2</v>
      </c>
      <c r="D234">
        <v>18.188948306595002</v>
      </c>
      <c r="E234">
        <v>0.17518874205251</v>
      </c>
      <c r="F234">
        <v>665</v>
      </c>
    </row>
    <row r="235" spans="1:9" x14ac:dyDescent="0.25">
      <c r="A235">
        <v>2391.1107266436002</v>
      </c>
      <c r="B235">
        <v>2448.2664359861001</v>
      </c>
      <c r="C235" s="1">
        <f t="shared" si="45"/>
        <v>2.3903413884445834E-2</v>
      </c>
      <c r="D235">
        <v>18.563279857398001</v>
      </c>
      <c r="E235">
        <v>0.17754071226776999</v>
      </c>
      <c r="F235">
        <v>658</v>
      </c>
    </row>
    <row r="236" spans="1:9" x14ac:dyDescent="0.25">
      <c r="A236">
        <v>2402.1730103805999</v>
      </c>
      <c r="B236">
        <v>2452.6435986158999</v>
      </c>
      <c r="C236" s="1">
        <f t="shared" si="45"/>
        <v>2.1010388517895828E-2</v>
      </c>
      <c r="D236">
        <v>18.584670231729</v>
      </c>
      <c r="E236">
        <v>0.17687480362883001</v>
      </c>
      <c r="F236">
        <v>571</v>
      </c>
    </row>
    <row r="237" spans="1:9" x14ac:dyDescent="0.25">
      <c r="A237">
        <v>2416.8373702422</v>
      </c>
      <c r="B237">
        <v>2475.1107266436002</v>
      </c>
      <c r="C237" s="1">
        <f t="shared" si="45"/>
        <v>2.4111409861045097E-2</v>
      </c>
      <c r="D237">
        <v>18.509803921568999</v>
      </c>
      <c r="E237">
        <v>0.17479466585230999</v>
      </c>
      <c r="F237">
        <v>654</v>
      </c>
    </row>
    <row r="238" spans="1:9" x14ac:dyDescent="0.25">
      <c r="A238">
        <v>2387.9826989619</v>
      </c>
      <c r="B238">
        <v>2454.1695501730001</v>
      </c>
      <c r="C238" s="1">
        <f t="shared" si="45"/>
        <v>2.7716637662355215E-2</v>
      </c>
      <c r="D238">
        <v>17.953654188948001</v>
      </c>
      <c r="E238">
        <v>0.17095690329197</v>
      </c>
      <c r="F238">
        <v>661</v>
      </c>
    </row>
    <row r="239" spans="1:9" x14ac:dyDescent="0.25">
      <c r="A239">
        <v>2391.4809688580999</v>
      </c>
      <c r="B239">
        <v>2465.0761245673998</v>
      </c>
      <c r="C239" s="1">
        <f t="shared" si="45"/>
        <v>3.0773883073985209E-2</v>
      </c>
      <c r="D239">
        <v>18.367201426025002</v>
      </c>
      <c r="E239">
        <v>0.17537723139642</v>
      </c>
      <c r="F239">
        <v>494</v>
      </c>
    </row>
    <row r="240" spans="1:9" x14ac:dyDescent="0.25">
      <c r="A240">
        <v>2402.6505190311</v>
      </c>
      <c r="B240">
        <v>2473.8650519030998</v>
      </c>
      <c r="C240" s="1">
        <f t="shared" si="45"/>
        <v>2.963998813307156E-2</v>
      </c>
      <c r="D240">
        <v>18.445632798574</v>
      </c>
      <c r="E240">
        <v>0.17534268058284999</v>
      </c>
      <c r="F240">
        <v>595</v>
      </c>
    </row>
    <row r="241" spans="1:9" x14ac:dyDescent="0.25">
      <c r="A241">
        <v>2379.9411764706001</v>
      </c>
      <c r="B241">
        <v>2443.3840830448999</v>
      </c>
      <c r="C241" s="1">
        <f t="shared" si="45"/>
        <v>2.6657342291284802E-2</v>
      </c>
      <c r="D241">
        <v>18.303030303029999</v>
      </c>
      <c r="E241">
        <v>0.17564313682016999</v>
      </c>
      <c r="F241">
        <v>714</v>
      </c>
    </row>
    <row r="242" spans="1:9" x14ac:dyDescent="0.25">
      <c r="A242">
        <v>2386.8996539792001</v>
      </c>
      <c r="B242">
        <v>2462.5951557092999</v>
      </c>
      <c r="C242" s="1">
        <f t="shared" si="45"/>
        <v>3.1712896519930256E-2</v>
      </c>
      <c r="D242">
        <v>18.409982174688</v>
      </c>
      <c r="E242">
        <v>0.17622226640461</v>
      </c>
      <c r="F242">
        <v>644</v>
      </c>
    </row>
    <row r="243" spans="1:9" x14ac:dyDescent="0.25">
      <c r="A243">
        <v>2403.2456747404999</v>
      </c>
      <c r="B243">
        <v>2463.0899653979</v>
      </c>
      <c r="C243" s="1">
        <f t="shared" si="45"/>
        <v>2.490144527727578E-2</v>
      </c>
      <c r="D243">
        <v>18.488413547236998</v>
      </c>
      <c r="E243">
        <v>0.17566301205566001</v>
      </c>
      <c r="F243">
        <v>908</v>
      </c>
    </row>
    <row r="244" spans="1:9" x14ac:dyDescent="0.25">
      <c r="A244">
        <v>2386.4567474047999</v>
      </c>
      <c r="B244">
        <v>2446.8096885813002</v>
      </c>
      <c r="C244" s="1">
        <f t="shared" si="45"/>
        <v>2.5289769547314211E-2</v>
      </c>
      <c r="D244">
        <v>18.217468805704002</v>
      </c>
      <c r="E244">
        <v>0.17404617592154001</v>
      </c>
      <c r="F244">
        <v>609</v>
      </c>
    </row>
    <row r="245" spans="1:9" x14ac:dyDescent="0.25">
      <c r="A245">
        <v>2405.8131487889</v>
      </c>
      <c r="B245">
        <v>2457.46366782</v>
      </c>
      <c r="C245" s="1">
        <f t="shared" si="45"/>
        <v>2.1469048440898808E-2</v>
      </c>
      <c r="D245">
        <v>18.481283422459999</v>
      </c>
      <c r="E245">
        <v>0.17539949443634001</v>
      </c>
      <c r="F245">
        <v>517</v>
      </c>
    </row>
    <row r="246" spans="1:9" x14ac:dyDescent="0.25">
      <c r="A246">
        <v>2371.7197231834002</v>
      </c>
      <c r="B246">
        <v>2443.0657439445999</v>
      </c>
      <c r="C246" s="1">
        <f t="shared" si="45"/>
        <v>3.0081978095386708E-2</v>
      </c>
      <c r="D246">
        <v>17.964349376114001</v>
      </c>
      <c r="E246">
        <v>0.17250249292903</v>
      </c>
      <c r="F246">
        <v>625</v>
      </c>
    </row>
    <row r="247" spans="1:9" x14ac:dyDescent="0.25">
      <c r="A247">
        <v>2385.5743944637002</v>
      </c>
      <c r="B247">
        <v>2450.4532871972001</v>
      </c>
      <c r="C247" s="1">
        <f t="shared" si="45"/>
        <v>2.7196340170345223E-2</v>
      </c>
      <c r="D247">
        <v>18.156862745098</v>
      </c>
      <c r="E247">
        <v>0.1734079512875</v>
      </c>
      <c r="F247">
        <v>846</v>
      </c>
      <c r="H247" t="s">
        <v>17</v>
      </c>
      <c r="I247">
        <f t="shared" ref="I247" si="58">STDEVP(A233:A252)</f>
        <v>12.468811780840936</v>
      </c>
    </row>
    <row r="248" spans="1:9" x14ac:dyDescent="0.25">
      <c r="A248">
        <v>2399.7543252595001</v>
      </c>
      <c r="B248">
        <v>2461.6124567473998</v>
      </c>
      <c r="C248" s="1">
        <f t="shared" si="45"/>
        <v>2.5776860088047027E-2</v>
      </c>
      <c r="D248">
        <v>18.481283422459999</v>
      </c>
      <c r="E248">
        <v>0.17609396003912001</v>
      </c>
      <c r="F248">
        <v>598</v>
      </c>
      <c r="H248" t="s">
        <v>18</v>
      </c>
      <c r="I248">
        <f t="shared" ref="I248" si="59">STDEVP(B233:B252)</f>
        <v>12.249748586856557</v>
      </c>
    </row>
    <row r="249" spans="1:9" x14ac:dyDescent="0.25">
      <c r="A249">
        <v>2373.1903114186998</v>
      </c>
      <c r="B249">
        <v>2456.2352941176</v>
      </c>
      <c r="C249" s="1">
        <f t="shared" si="45"/>
        <v>3.4992972244714649E-2</v>
      </c>
      <c r="D249">
        <v>17.843137254902</v>
      </c>
      <c r="E249">
        <v>0.17098795311230999</v>
      </c>
      <c r="F249">
        <v>655</v>
      </c>
      <c r="H249" t="s">
        <v>19</v>
      </c>
      <c r="I249">
        <f t="shared" ref="I249" si="60">STDEVP(C233:C252)</f>
        <v>4.0465762390112592E-3</v>
      </c>
    </row>
    <row r="250" spans="1:9" x14ac:dyDescent="0.25">
      <c r="A250">
        <v>2380.2076124567002</v>
      </c>
      <c r="B250">
        <v>2442.6089965398</v>
      </c>
      <c r="C250" s="1">
        <f t="shared" si="45"/>
        <v>2.6216781996883487E-2</v>
      </c>
      <c r="D250">
        <v>17.586452762922999</v>
      </c>
      <c r="E250">
        <v>0.16757363968276001</v>
      </c>
      <c r="F250">
        <v>715</v>
      </c>
      <c r="H250" t="s">
        <v>20</v>
      </c>
      <c r="I250">
        <f t="shared" ref="I250" si="61">STDEVP(D233:D252)</f>
        <v>0.26955944528118159</v>
      </c>
    </row>
    <row r="251" spans="1:9" x14ac:dyDescent="0.25">
      <c r="A251">
        <v>2390.3217993080002</v>
      </c>
      <c r="B251">
        <v>2453.5224913493998</v>
      </c>
      <c r="C251" s="1">
        <f t="shared" si="45"/>
        <v>2.6440244179547934E-2</v>
      </c>
      <c r="D251">
        <v>18.171122994651999</v>
      </c>
      <c r="E251">
        <v>0.17327827706314</v>
      </c>
      <c r="F251">
        <v>585</v>
      </c>
      <c r="H251" t="s">
        <v>21</v>
      </c>
      <c r="I251">
        <f t="shared" ref="I251" si="62">STDEVP(E233:E252)</f>
        <v>2.5712026452504298E-3</v>
      </c>
    </row>
    <row r="252" spans="1:9" x14ac:dyDescent="0.25">
      <c r="A252">
        <v>2407.446366782</v>
      </c>
      <c r="B252">
        <v>2459.4913494809002</v>
      </c>
      <c r="C252" s="1">
        <f t="shared" si="45"/>
        <v>2.1618335268863254E-2</v>
      </c>
      <c r="D252">
        <v>18.153297682708999</v>
      </c>
      <c r="E252">
        <v>0.17162979564174999</v>
      </c>
      <c r="F252">
        <v>560</v>
      </c>
      <c r="H252" t="s">
        <v>22</v>
      </c>
      <c r="I252">
        <f t="shared" ref="I252" si="63">STDEVP(F233:F252)</f>
        <v>95.431703327563</v>
      </c>
    </row>
    <row r="253" spans="1:9" x14ac:dyDescent="0.25">
      <c r="C253" s="1" t="str">
        <f t="shared" si="45"/>
        <v/>
      </c>
    </row>
    <row r="254" spans="1:9" x14ac:dyDescent="0.25">
      <c r="A254">
        <v>2055.3384889946001</v>
      </c>
      <c r="B254">
        <v>2110.0047590720001</v>
      </c>
      <c r="C254" s="1">
        <f t="shared" si="45"/>
        <v>2.6597210323318077E-2</v>
      </c>
      <c r="D254">
        <v>19.356097560976</v>
      </c>
      <c r="E254">
        <v>0.22546558793588001</v>
      </c>
      <c r="F254">
        <v>42</v>
      </c>
    </row>
    <row r="255" spans="1:9" x14ac:dyDescent="0.25">
      <c r="A255">
        <v>2023.496728138</v>
      </c>
      <c r="B255">
        <v>2090.6710291493</v>
      </c>
      <c r="C255" s="1">
        <f t="shared" si="45"/>
        <v>3.3197138437240259E-2</v>
      </c>
      <c r="D255">
        <v>18.831707317073</v>
      </c>
      <c r="E255">
        <v>0.22203306253718999</v>
      </c>
      <c r="F255">
        <v>42</v>
      </c>
    </row>
    <row r="256" spans="1:9" x14ac:dyDescent="0.25">
      <c r="A256">
        <v>2041.6335514575001</v>
      </c>
      <c r="B256">
        <v>2107.4550862582</v>
      </c>
      <c r="C256" s="1">
        <f t="shared" si="45"/>
        <v>3.2239642003194291E-2</v>
      </c>
      <c r="D256">
        <v>19.051219512195001</v>
      </c>
      <c r="E256">
        <v>0.22296223705146001</v>
      </c>
      <c r="F256">
        <v>41</v>
      </c>
    </row>
    <row r="257" spans="1:9" x14ac:dyDescent="0.25">
      <c r="A257">
        <v>2021.6621058894</v>
      </c>
      <c r="B257">
        <v>2093.3218322427001</v>
      </c>
      <c r="C257" s="1">
        <f t="shared" si="45"/>
        <v>3.5445946256075445E-2</v>
      </c>
      <c r="D257">
        <v>18.892682926829</v>
      </c>
      <c r="E257">
        <v>0.22315779042518999</v>
      </c>
      <c r="F257">
        <v>42</v>
      </c>
    </row>
    <row r="258" spans="1:9" x14ac:dyDescent="0.25">
      <c r="A258">
        <v>2032.3842950625001</v>
      </c>
      <c r="B258">
        <v>2111.1171921475002</v>
      </c>
      <c r="C258" s="1">
        <f t="shared" ref="C258:C321" si="64">IFERROR((B258/A258)-1,"")</f>
        <v>3.8739178056174994E-2</v>
      </c>
      <c r="D258">
        <v>19.512195121950999</v>
      </c>
      <c r="E258">
        <v>0.23067001875863999</v>
      </c>
      <c r="F258">
        <v>43</v>
      </c>
    </row>
    <row r="259" spans="1:9" x14ac:dyDescent="0.25">
      <c r="A259">
        <v>2030.3509815586001</v>
      </c>
      <c r="B259">
        <v>2091.7049375371998</v>
      </c>
      <c r="C259" s="1">
        <f t="shared" si="64"/>
        <v>3.0218398954599213E-2</v>
      </c>
      <c r="D259">
        <v>18.980487804877999</v>
      </c>
      <c r="E259">
        <v>0.22334639907233</v>
      </c>
      <c r="F259">
        <v>41</v>
      </c>
    </row>
    <row r="260" spans="1:9" x14ac:dyDescent="0.25">
      <c r="A260">
        <v>2036.8923259963999</v>
      </c>
      <c r="B260">
        <v>2104.8590124926</v>
      </c>
      <c r="C260" s="1">
        <f t="shared" si="64"/>
        <v>3.3367834729777446E-2</v>
      </c>
      <c r="D260">
        <v>18.970731707317</v>
      </c>
      <c r="E260">
        <v>0.22225066260271001</v>
      </c>
      <c r="F260">
        <v>42</v>
      </c>
    </row>
    <row r="261" spans="1:9" x14ac:dyDescent="0.25">
      <c r="A261">
        <v>2040.4985127899999</v>
      </c>
      <c r="B261">
        <v>2102.9506246281999</v>
      </c>
      <c r="C261" s="1">
        <f t="shared" si="64"/>
        <v>3.0606301081204101E-2</v>
      </c>
      <c r="D261">
        <v>19.078048780488</v>
      </c>
      <c r="E261">
        <v>0.22333672713287001</v>
      </c>
      <c r="F261">
        <v>43</v>
      </c>
    </row>
    <row r="262" spans="1:9" x14ac:dyDescent="0.25">
      <c r="A262">
        <v>2041.8607971445999</v>
      </c>
      <c r="B262">
        <v>2115.1826293873</v>
      </c>
      <c r="C262" s="1">
        <f t="shared" si="64"/>
        <v>3.5909319746593615E-2</v>
      </c>
      <c r="D262">
        <v>18.685365853659</v>
      </c>
      <c r="E262">
        <v>0.21742490147704999</v>
      </c>
      <c r="F262">
        <v>41</v>
      </c>
    </row>
    <row r="263" spans="1:9" x14ac:dyDescent="0.25">
      <c r="A263">
        <v>2046.5306365259</v>
      </c>
      <c r="B263">
        <v>2109.2956573468</v>
      </c>
      <c r="C263" s="1">
        <f t="shared" si="64"/>
        <v>3.0668986674661891E-2</v>
      </c>
      <c r="D263">
        <v>19.312195121951</v>
      </c>
      <c r="E263">
        <v>0.22594769516214999</v>
      </c>
      <c r="F263">
        <v>42</v>
      </c>
    </row>
    <row r="264" spans="1:9" x14ac:dyDescent="0.25">
      <c r="A264">
        <v>2054.5544318858001</v>
      </c>
      <c r="B264">
        <v>2117.2135633552002</v>
      </c>
      <c r="C264" s="1">
        <f t="shared" si="64"/>
        <v>3.0497674092716753E-2</v>
      </c>
      <c r="D264">
        <v>19.863414634146</v>
      </c>
      <c r="E264">
        <v>0.23281349164438001</v>
      </c>
      <c r="F264">
        <v>42</v>
      </c>
    </row>
    <row r="265" spans="1:9" x14ac:dyDescent="0.25">
      <c r="A265">
        <v>2038.5377751338001</v>
      </c>
      <c r="B265">
        <v>2097.5966686495999</v>
      </c>
      <c r="C265" s="1">
        <f t="shared" si="64"/>
        <v>2.8971203887513619E-2</v>
      </c>
      <c r="D265">
        <v>19.097560975610001</v>
      </c>
      <c r="E265">
        <v>0.22383927426299999</v>
      </c>
      <c r="F265">
        <v>42</v>
      </c>
    </row>
    <row r="266" spans="1:9" x14ac:dyDescent="0.25">
      <c r="A266">
        <v>2034.4283164783001</v>
      </c>
      <c r="B266">
        <v>2093.8774538964999</v>
      </c>
      <c r="C266" s="1">
        <f t="shared" si="64"/>
        <v>2.922154441947078E-2</v>
      </c>
      <c r="D266">
        <v>19.321951219511998</v>
      </c>
      <c r="E266">
        <v>0.22768590990566001</v>
      </c>
      <c r="F266">
        <v>43</v>
      </c>
    </row>
    <row r="267" spans="1:9" x14ac:dyDescent="0.25">
      <c r="A267">
        <v>2029.50743605</v>
      </c>
      <c r="B267">
        <v>2106.8935157644</v>
      </c>
      <c r="C267" s="1">
        <f t="shared" si="64"/>
        <v>3.8130473601523329E-2</v>
      </c>
      <c r="D267">
        <v>18.909756097561001</v>
      </c>
      <c r="E267">
        <v>0.22260959786580001</v>
      </c>
      <c r="F267">
        <v>44</v>
      </c>
    </row>
    <row r="268" spans="1:9" x14ac:dyDescent="0.25">
      <c r="A268">
        <v>2034.511600238</v>
      </c>
      <c r="B268">
        <v>2100.8744794764998</v>
      </c>
      <c r="C268" s="1">
        <f t="shared" si="64"/>
        <v>3.2618579923917146E-2</v>
      </c>
      <c r="D268">
        <v>19.251219512195</v>
      </c>
      <c r="E268">
        <v>0.22660137515260001</v>
      </c>
      <c r="F268">
        <v>44</v>
      </c>
      <c r="H268" t="s">
        <v>17</v>
      </c>
      <c r="I268">
        <f t="shared" ref="I268" si="65">STDEVP(A254:A273)</f>
        <v>10.530103902531284</v>
      </c>
    </row>
    <row r="269" spans="1:9" x14ac:dyDescent="0.25">
      <c r="A269">
        <v>2036.6983938132</v>
      </c>
      <c r="B269">
        <v>2110.7198096370998</v>
      </c>
      <c r="C269" s="1">
        <f t="shared" si="64"/>
        <v>3.634382785823953E-2</v>
      </c>
      <c r="D269">
        <v>19.268292682927001</v>
      </c>
      <c r="E269">
        <v>0.22657779378185</v>
      </c>
      <c r="F269">
        <v>42</v>
      </c>
      <c r="H269" t="s">
        <v>18</v>
      </c>
      <c r="I269">
        <f t="shared" ref="I269" si="66">STDEVP(B254:B273)</f>
        <v>7.7765480822528135</v>
      </c>
    </row>
    <row r="270" spans="1:9" x14ac:dyDescent="0.25">
      <c r="A270">
        <v>2053.6347412255</v>
      </c>
      <c r="B270">
        <v>2106.0309339679002</v>
      </c>
      <c r="C270" s="1">
        <f t="shared" si="64"/>
        <v>2.5513881164248797E-2</v>
      </c>
      <c r="D270">
        <v>19.748780487805</v>
      </c>
      <c r="E270">
        <v>0.23110176945703001</v>
      </c>
      <c r="F270">
        <v>41</v>
      </c>
      <c r="H270" t="s">
        <v>19</v>
      </c>
      <c r="I270">
        <f t="shared" ref="I270" si="67">STDEVP(C254:C273)</f>
        <v>4.2642430838635038E-3</v>
      </c>
    </row>
    <row r="271" spans="1:9" x14ac:dyDescent="0.25">
      <c r="A271">
        <v>2018.3533610945999</v>
      </c>
      <c r="B271">
        <v>2093.7275431291</v>
      </c>
      <c r="C271" s="1">
        <f t="shared" si="64"/>
        <v>3.734439344834195E-2</v>
      </c>
      <c r="D271">
        <v>18.575609756098</v>
      </c>
      <c r="E271">
        <v>0.21917410806063001</v>
      </c>
      <c r="F271">
        <v>41</v>
      </c>
      <c r="H271" t="s">
        <v>20</v>
      </c>
      <c r="I271">
        <f t="shared" ref="I271" si="68">STDEVP(D254:D273)</f>
        <v>0.3146127805185549</v>
      </c>
    </row>
    <row r="272" spans="1:9" x14ac:dyDescent="0.25">
      <c r="A272">
        <v>2023.1814396192999</v>
      </c>
      <c r="B272">
        <v>2107.6621058894002</v>
      </c>
      <c r="C272" s="1">
        <f t="shared" si="64"/>
        <v>4.1756347016507211E-2</v>
      </c>
      <c r="D272">
        <v>19.078048780488</v>
      </c>
      <c r="E272">
        <v>0.22566920879992</v>
      </c>
      <c r="F272">
        <v>43</v>
      </c>
      <c r="H272" t="s">
        <v>21</v>
      </c>
      <c r="I272">
        <f t="shared" ref="I272" si="69">STDEVP(E254:E273)</f>
        <v>3.6863879664229119E-3</v>
      </c>
    </row>
    <row r="273" spans="1:9" x14ac:dyDescent="0.25">
      <c r="A273">
        <v>2044.4342653183</v>
      </c>
      <c r="B273">
        <v>2100.5223081498998</v>
      </c>
      <c r="C273" s="1">
        <f t="shared" si="64"/>
        <v>2.743450537054426E-2</v>
      </c>
      <c r="D273">
        <v>19.209756097561002</v>
      </c>
      <c r="E273">
        <v>0.22473106465205001</v>
      </c>
      <c r="F273">
        <v>44</v>
      </c>
      <c r="H273" t="s">
        <v>22</v>
      </c>
      <c r="I273">
        <f t="shared" ref="I273" si="70">STDEVP(F254:F273)</f>
        <v>0.99373034571758956</v>
      </c>
    </row>
    <row r="274" spans="1:9" x14ac:dyDescent="0.25">
      <c r="C274" s="1" t="str">
        <f t="shared" si="64"/>
        <v/>
      </c>
    </row>
    <row r="275" spans="1:9" x14ac:dyDescent="0.25">
      <c r="A275">
        <v>892.31171921476005</v>
      </c>
      <c r="B275">
        <v>913.36823319453003</v>
      </c>
      <c r="C275" s="1">
        <f t="shared" si="64"/>
        <v>2.359771089670315E-2</v>
      </c>
      <c r="D275">
        <v>9.4429388738331994</v>
      </c>
      <c r="E275">
        <v>0.26536972477455001</v>
      </c>
      <c r="F275">
        <v>16</v>
      </c>
    </row>
    <row r="276" spans="1:9" x14ac:dyDescent="0.25">
      <c r="A276">
        <v>880.70196311718996</v>
      </c>
      <c r="B276">
        <v>906.72337894111001</v>
      </c>
      <c r="C276" s="1">
        <f t="shared" si="64"/>
        <v>2.9546222120158339E-2</v>
      </c>
      <c r="D276">
        <v>9.3688647997591001</v>
      </c>
      <c r="E276">
        <v>0.26692975747052999</v>
      </c>
      <c r="F276">
        <v>17</v>
      </c>
    </row>
    <row r="277" spans="1:9" x14ac:dyDescent="0.25">
      <c r="A277">
        <v>878.20345032719001</v>
      </c>
      <c r="B277">
        <v>904.20345032719001</v>
      </c>
      <c r="C277" s="1">
        <f t="shared" si="64"/>
        <v>2.9605895980382657E-2</v>
      </c>
      <c r="D277">
        <v>9.4399277326107001</v>
      </c>
      <c r="E277">
        <v>0.27013264310091001</v>
      </c>
      <c r="F277">
        <v>16</v>
      </c>
    </row>
    <row r="278" spans="1:9" x14ac:dyDescent="0.25">
      <c r="A278">
        <v>880.90184414039004</v>
      </c>
      <c r="B278">
        <v>905.33848899464999</v>
      </c>
      <c r="C278" s="1">
        <f t="shared" si="64"/>
        <v>2.7740485522658842E-2</v>
      </c>
      <c r="D278">
        <v>9.2851550737729998</v>
      </c>
      <c r="E278">
        <v>0.26369727146935001</v>
      </c>
      <c r="F278">
        <v>17</v>
      </c>
    </row>
    <row r="279" spans="1:9" x14ac:dyDescent="0.25">
      <c r="A279">
        <v>876.65556216538005</v>
      </c>
      <c r="B279">
        <v>905.36942296253005</v>
      </c>
      <c r="C279" s="1">
        <f t="shared" si="64"/>
        <v>3.2753868265234631E-2</v>
      </c>
      <c r="D279">
        <v>9.3146642577536998</v>
      </c>
      <c r="E279">
        <v>0.26633715308081002</v>
      </c>
      <c r="F279">
        <v>16</v>
      </c>
    </row>
    <row r="280" spans="1:9" x14ac:dyDescent="0.25">
      <c r="A280">
        <v>878.71207614515004</v>
      </c>
      <c r="B280">
        <v>905.68887566925002</v>
      </c>
      <c r="C280" s="1">
        <f t="shared" si="64"/>
        <v>3.0700385548865228E-2</v>
      </c>
      <c r="D280">
        <v>9.2990063233966005</v>
      </c>
      <c r="E280">
        <v>0.26505366565564997</v>
      </c>
      <c r="F280">
        <v>17</v>
      </c>
    </row>
    <row r="281" spans="1:9" x14ac:dyDescent="0.25">
      <c r="A281">
        <v>884.38488994646002</v>
      </c>
      <c r="B281">
        <v>909.24687685901995</v>
      </c>
      <c r="C281" s="1">
        <f t="shared" si="64"/>
        <v>2.8112179657507452E-2</v>
      </c>
      <c r="D281">
        <v>9.4182475158085008</v>
      </c>
      <c r="E281">
        <v>0.26737984574559998</v>
      </c>
      <c r="F281">
        <v>17</v>
      </c>
    </row>
    <row r="282" spans="1:9" x14ac:dyDescent="0.25">
      <c r="A282">
        <v>884.66864961332999</v>
      </c>
      <c r="B282">
        <v>908.13384889946997</v>
      </c>
      <c r="C282" s="1">
        <f t="shared" si="64"/>
        <v>2.6524280357844932E-2</v>
      </c>
      <c r="D282">
        <v>9.4610057211683003</v>
      </c>
      <c r="E282">
        <v>0.26854908488505003</v>
      </c>
      <c r="F282">
        <v>16</v>
      </c>
    </row>
    <row r="283" spans="1:9" x14ac:dyDescent="0.25">
      <c r="A283">
        <v>886.42831647828996</v>
      </c>
      <c r="B283">
        <v>916.29089827483995</v>
      </c>
      <c r="C283" s="1">
        <f t="shared" si="64"/>
        <v>3.3688659580722424E-2</v>
      </c>
      <c r="D283">
        <v>9.4043962661849001</v>
      </c>
      <c r="E283">
        <v>0.26607692474258998</v>
      </c>
      <c r="F283">
        <v>17</v>
      </c>
    </row>
    <row r="284" spans="1:9" x14ac:dyDescent="0.25">
      <c r="A284">
        <v>879.88340273646998</v>
      </c>
      <c r="B284">
        <v>910.99821534801004</v>
      </c>
      <c r="C284" s="1">
        <f t="shared" si="64"/>
        <v>3.536242701563852E-2</v>
      </c>
      <c r="D284">
        <v>9.4459500150557005</v>
      </c>
      <c r="E284">
        <v>0.26983977026243999</v>
      </c>
      <c r="F284">
        <v>16</v>
      </c>
    </row>
    <row r="285" spans="1:9" x14ac:dyDescent="0.25">
      <c r="A285">
        <v>889.38845925044996</v>
      </c>
      <c r="B285">
        <v>913.55502676978006</v>
      </c>
      <c r="C285" s="1">
        <f t="shared" si="64"/>
        <v>2.7172117276737406E-2</v>
      </c>
      <c r="D285">
        <v>9.4110207768744001</v>
      </c>
      <c r="E285">
        <v>0.26507425436357002</v>
      </c>
      <c r="F285">
        <v>17</v>
      </c>
    </row>
    <row r="286" spans="1:9" x14ac:dyDescent="0.25">
      <c r="A286">
        <v>889.76561570494005</v>
      </c>
      <c r="B286">
        <v>909.23200475908004</v>
      </c>
      <c r="C286" s="1">
        <f t="shared" si="64"/>
        <v>2.1878108920535544E-2</v>
      </c>
      <c r="D286">
        <v>9.4375188196326008</v>
      </c>
      <c r="E286">
        <v>0.26583583198168997</v>
      </c>
      <c r="F286">
        <v>17</v>
      </c>
    </row>
    <row r="287" spans="1:9" x14ac:dyDescent="0.25">
      <c r="A287">
        <v>883.80666270077995</v>
      </c>
      <c r="B287">
        <v>908.43842950625003</v>
      </c>
      <c r="C287" s="1">
        <f t="shared" si="64"/>
        <v>2.7870084991438171E-2</v>
      </c>
      <c r="D287">
        <v>9.2062631737429008</v>
      </c>
      <c r="E287">
        <v>0.25975529777457002</v>
      </c>
      <c r="F287">
        <v>16</v>
      </c>
    </row>
    <row r="288" spans="1:9" x14ac:dyDescent="0.25">
      <c r="A288">
        <v>880.12968471147997</v>
      </c>
      <c r="B288">
        <v>907.52587745389997</v>
      </c>
      <c r="C288" s="1">
        <f t="shared" si="64"/>
        <v>3.1127449986419808E-2</v>
      </c>
      <c r="D288">
        <v>9.3423667570008995</v>
      </c>
      <c r="E288">
        <v>0.26603993047246</v>
      </c>
      <c r="F288">
        <v>17</v>
      </c>
    </row>
    <row r="289" spans="1:9" x14ac:dyDescent="0.25">
      <c r="A289">
        <v>883.35871505057003</v>
      </c>
      <c r="B289">
        <v>908.75074360500003</v>
      </c>
      <c r="C289" s="1">
        <f t="shared" si="64"/>
        <v>2.8744866747566267E-2</v>
      </c>
      <c r="D289">
        <v>9.3724781692261008</v>
      </c>
      <c r="E289">
        <v>0.26599670271234999</v>
      </c>
      <c r="F289">
        <v>17</v>
      </c>
      <c r="H289" t="s">
        <v>17</v>
      </c>
      <c r="I289">
        <f t="shared" ref="I289" si="71">STDEVP(A275:A294)</f>
        <v>3.9973649615786817</v>
      </c>
    </row>
    <row r="290" spans="1:9" x14ac:dyDescent="0.25">
      <c r="A290">
        <v>882.94348602023001</v>
      </c>
      <c r="B290">
        <v>905.91909577632998</v>
      </c>
      <c r="C290" s="1">
        <f t="shared" si="64"/>
        <v>2.6021608539930519E-2</v>
      </c>
      <c r="D290">
        <v>9.3736826257150998</v>
      </c>
      <c r="E290">
        <v>0.26607678949666003</v>
      </c>
      <c r="F290">
        <v>16</v>
      </c>
      <c r="H290" t="s">
        <v>18</v>
      </c>
      <c r="I290">
        <f t="shared" ref="I290" si="72">STDEVP(B275:B294)</f>
        <v>3.1916270865609864</v>
      </c>
    </row>
    <row r="291" spans="1:9" x14ac:dyDescent="0.25">
      <c r="A291">
        <v>882.16180844736004</v>
      </c>
      <c r="B291">
        <v>907.62760261748997</v>
      </c>
      <c r="C291" s="1">
        <f t="shared" si="64"/>
        <v>2.8867486583839641E-2</v>
      </c>
      <c r="D291">
        <v>9.4254742547425003</v>
      </c>
      <c r="E291">
        <v>0.26836403532565001</v>
      </c>
      <c r="F291">
        <v>17</v>
      </c>
      <c r="H291" t="s">
        <v>19</v>
      </c>
      <c r="I291">
        <f t="shared" ref="I291" si="73">STDEVP(C275:C294)</f>
        <v>3.4942406493495199E-3</v>
      </c>
    </row>
    <row r="292" spans="1:9" x14ac:dyDescent="0.25">
      <c r="A292">
        <v>878.93456276025995</v>
      </c>
      <c r="B292">
        <v>907.07495538369994</v>
      </c>
      <c r="C292" s="1">
        <f t="shared" si="64"/>
        <v>3.2016482017803716E-2</v>
      </c>
      <c r="D292">
        <v>9.3917494730503002</v>
      </c>
      <c r="E292">
        <v>0.26838405046646002</v>
      </c>
      <c r="F292">
        <v>16</v>
      </c>
      <c r="H292" t="s">
        <v>20</v>
      </c>
      <c r="I292">
        <f t="shared" ref="I292" si="74">STDEVP(D275:D294)</f>
        <v>6.5953644218279664E-2</v>
      </c>
    </row>
    <row r="293" spans="1:9" x14ac:dyDescent="0.25">
      <c r="A293">
        <v>882.21296847115002</v>
      </c>
      <c r="B293">
        <v>905.66448542534999</v>
      </c>
      <c r="C293" s="1">
        <f t="shared" si="64"/>
        <v>2.6582602832103897E-2</v>
      </c>
      <c r="D293">
        <v>9.4700391448358996</v>
      </c>
      <c r="E293">
        <v>0.26996676059690999</v>
      </c>
      <c r="F293">
        <v>17</v>
      </c>
      <c r="H293" t="s">
        <v>21</v>
      </c>
      <c r="I293">
        <f t="shared" ref="I293" si="75">STDEVP(E275:E294)</f>
        <v>2.3331669655365095E-3</v>
      </c>
    </row>
    <row r="294" spans="1:9" x14ac:dyDescent="0.25">
      <c r="A294">
        <v>881.46341463415001</v>
      </c>
      <c r="B294">
        <v>912.82212968471003</v>
      </c>
      <c r="C294" s="1">
        <f t="shared" si="64"/>
        <v>3.5575742033009394E-2</v>
      </c>
      <c r="D294">
        <v>9.3580246913580005</v>
      </c>
      <c r="E294">
        <v>0.26593822991713001</v>
      </c>
      <c r="F294">
        <v>17</v>
      </c>
      <c r="H294" t="s">
        <v>22</v>
      </c>
      <c r="I294">
        <f t="shared" ref="I294" si="76">STDEVP(F275:F294)</f>
        <v>0.48989794855663565</v>
      </c>
    </row>
    <row r="295" spans="1:9" x14ac:dyDescent="0.25">
      <c r="C295" s="1" t="str">
        <f t="shared" si="64"/>
        <v/>
      </c>
    </row>
    <row r="296" spans="1:9" x14ac:dyDescent="0.25">
      <c r="A296">
        <v>3576.4437869822</v>
      </c>
      <c r="B296">
        <v>3655.2573964496</v>
      </c>
      <c r="C296" s="1">
        <f t="shared" si="64"/>
        <v>2.2036865154786422E-2</v>
      </c>
      <c r="D296">
        <v>21.806938159879</v>
      </c>
      <c r="E296">
        <v>0.13598040123411001</v>
      </c>
      <c r="F296">
        <v>39</v>
      </c>
    </row>
    <row r="297" spans="1:9" x14ac:dyDescent="0.25">
      <c r="A297">
        <v>3558.7692307692</v>
      </c>
      <c r="B297">
        <v>3628.4408284023002</v>
      </c>
      <c r="C297" s="1">
        <f t="shared" si="64"/>
        <v>1.9577441838801501E-2</v>
      </c>
      <c r="D297">
        <v>21.647058823529001</v>
      </c>
      <c r="E297">
        <v>0.13558833086079</v>
      </c>
      <c r="F297">
        <v>39</v>
      </c>
    </row>
    <row r="298" spans="1:9" x14ac:dyDescent="0.25">
      <c r="A298">
        <v>3591.5739644969999</v>
      </c>
      <c r="B298">
        <v>3665.5207100591001</v>
      </c>
      <c r="C298" s="1">
        <f t="shared" si="64"/>
        <v>2.0588952446217057E-2</v>
      </c>
      <c r="D298">
        <v>21.876319758672999</v>
      </c>
      <c r="E298">
        <v>0.13582297766327001</v>
      </c>
      <c r="F298">
        <v>39</v>
      </c>
    </row>
    <row r="299" spans="1:9" x14ac:dyDescent="0.25">
      <c r="A299">
        <v>3572.5650887574002</v>
      </c>
      <c r="B299">
        <v>3665.5828402366001</v>
      </c>
      <c r="C299" s="1">
        <f t="shared" si="64"/>
        <v>2.6036684893977036E-2</v>
      </c>
      <c r="D299">
        <v>21.897435897436001</v>
      </c>
      <c r="E299">
        <v>0.13678052829519999</v>
      </c>
      <c r="F299">
        <v>39</v>
      </c>
    </row>
    <row r="300" spans="1:9" x14ac:dyDescent="0.25">
      <c r="A300">
        <v>3563.3639053254001</v>
      </c>
      <c r="B300">
        <v>3644.6390532543001</v>
      </c>
      <c r="C300" s="1">
        <f t="shared" si="64"/>
        <v>2.2808545545246028E-2</v>
      </c>
      <c r="D300">
        <v>21.859728506787</v>
      </c>
      <c r="E300">
        <v>0.13687592280988001</v>
      </c>
      <c r="F300">
        <v>39</v>
      </c>
    </row>
    <row r="301" spans="1:9" x14ac:dyDescent="0.25">
      <c r="A301">
        <v>3594.6568047337</v>
      </c>
      <c r="B301">
        <v>3661.6952662721001</v>
      </c>
      <c r="C301" s="1">
        <f t="shared" si="64"/>
        <v>1.8649474812204359E-2</v>
      </c>
      <c r="D301">
        <v>21.947209653091999</v>
      </c>
      <c r="E301">
        <v>0.13621850438364999</v>
      </c>
      <c r="F301">
        <v>39</v>
      </c>
    </row>
    <row r="302" spans="1:9" x14ac:dyDescent="0.25">
      <c r="A302">
        <v>3563.9792899407998</v>
      </c>
      <c r="B302">
        <v>3648.7633136094</v>
      </c>
      <c r="C302" s="1">
        <f t="shared" si="64"/>
        <v>2.3789145999781658E-2</v>
      </c>
      <c r="D302">
        <v>21.840120663650001</v>
      </c>
      <c r="E302">
        <v>0.13674138969668001</v>
      </c>
      <c r="F302">
        <v>39</v>
      </c>
    </row>
    <row r="303" spans="1:9" x14ac:dyDescent="0.25">
      <c r="A303">
        <v>3578.4822485207001</v>
      </c>
      <c r="B303">
        <v>3653.5295857986998</v>
      </c>
      <c r="C303" s="1">
        <f t="shared" si="64"/>
        <v>2.0971834444343918E-2</v>
      </c>
      <c r="D303">
        <v>21.826546003017</v>
      </c>
      <c r="E303">
        <v>0.13598837564683999</v>
      </c>
      <c r="F303">
        <v>39</v>
      </c>
    </row>
    <row r="304" spans="1:9" x14ac:dyDescent="0.25">
      <c r="A304">
        <v>3580.0473372780998</v>
      </c>
      <c r="B304">
        <v>3651.8017751479001</v>
      </c>
      <c r="C304" s="1">
        <f t="shared" si="64"/>
        <v>2.0042874048798121E-2</v>
      </c>
      <c r="D304">
        <v>21.959276018099999</v>
      </c>
      <c r="E304">
        <v>0.13688117263912999</v>
      </c>
      <c r="F304">
        <v>39</v>
      </c>
    </row>
    <row r="305" spans="1:9" x14ac:dyDescent="0.25">
      <c r="A305">
        <v>3574.9319526627</v>
      </c>
      <c r="B305">
        <v>3650.1538461537998</v>
      </c>
      <c r="C305" s="1">
        <f t="shared" si="64"/>
        <v>2.1041489596766327E-2</v>
      </c>
      <c r="D305">
        <v>21.841628959276001</v>
      </c>
      <c r="E305">
        <v>0.13627143437884001</v>
      </c>
      <c r="F305">
        <v>39</v>
      </c>
    </row>
    <row r="306" spans="1:9" x14ac:dyDescent="0.25">
      <c r="A306">
        <v>3551.4615384614999</v>
      </c>
      <c r="B306">
        <v>3636.9615384613999</v>
      </c>
      <c r="C306" s="1">
        <f t="shared" si="64"/>
        <v>2.407459550778035E-2</v>
      </c>
      <c r="D306">
        <v>21.803921568627</v>
      </c>
      <c r="E306">
        <v>0.13700877773211001</v>
      </c>
      <c r="F306">
        <v>39</v>
      </c>
    </row>
    <row r="307" spans="1:9" x14ac:dyDescent="0.25">
      <c r="A307">
        <v>3574.7958579882002</v>
      </c>
      <c r="B307">
        <v>3656.5680473371999</v>
      </c>
      <c r="C307" s="1">
        <f t="shared" si="64"/>
        <v>2.2874645881183042E-2</v>
      </c>
      <c r="D307">
        <v>21.897435897436001</v>
      </c>
      <c r="E307">
        <v>0.13668344360268</v>
      </c>
      <c r="F307">
        <v>39</v>
      </c>
    </row>
    <row r="308" spans="1:9" x14ac:dyDescent="0.25">
      <c r="A308">
        <v>3571.2514792899001</v>
      </c>
      <c r="B308">
        <v>3646.1124260353999</v>
      </c>
      <c r="C308" s="1">
        <f t="shared" si="64"/>
        <v>2.0962104511437207E-2</v>
      </c>
      <c r="D308">
        <v>21.806938159879</v>
      </c>
      <c r="E308">
        <v>0.13615327772652999</v>
      </c>
      <c r="F308">
        <v>39</v>
      </c>
    </row>
    <row r="309" spans="1:9" x14ac:dyDescent="0.25">
      <c r="A309">
        <v>3599.5059171598</v>
      </c>
      <c r="B309">
        <v>3671.0355029584998</v>
      </c>
      <c r="C309" s="1">
        <f t="shared" si="64"/>
        <v>1.9872056733592158E-2</v>
      </c>
      <c r="D309">
        <v>21.835595776771999</v>
      </c>
      <c r="E309">
        <v>0.13519361028879001</v>
      </c>
      <c r="F309">
        <v>39</v>
      </c>
    </row>
    <row r="310" spans="1:9" x14ac:dyDescent="0.25">
      <c r="A310">
        <v>3596.6686390533</v>
      </c>
      <c r="B310">
        <v>3668.6124260353999</v>
      </c>
      <c r="C310" s="1">
        <f t="shared" si="64"/>
        <v>2.0002895513064667E-2</v>
      </c>
      <c r="D310">
        <v>21.873303167421</v>
      </c>
      <c r="E310">
        <v>0.13556092214362001</v>
      </c>
      <c r="F310">
        <v>39</v>
      </c>
      <c r="H310" t="s">
        <v>17</v>
      </c>
      <c r="I310">
        <f t="shared" ref="I310" si="77">STDEVP(A296:A315)</f>
        <v>12.865834449787767</v>
      </c>
    </row>
    <row r="311" spans="1:9" x14ac:dyDescent="0.25">
      <c r="A311">
        <v>3590.6952662722001</v>
      </c>
      <c r="B311">
        <v>3665.7928994081999</v>
      </c>
      <c r="C311" s="1">
        <f t="shared" si="64"/>
        <v>2.0914510301500711E-2</v>
      </c>
      <c r="D311">
        <v>21.829562594268001</v>
      </c>
      <c r="E311">
        <v>0.13548807923428</v>
      </c>
      <c r="F311">
        <v>39</v>
      </c>
      <c r="H311" t="s">
        <v>18</v>
      </c>
      <c r="I311">
        <f t="shared" ref="I311" si="78">STDEVP(B296:B315)</f>
        <v>10.696844969304601</v>
      </c>
    </row>
    <row r="312" spans="1:9" x14ac:dyDescent="0.25">
      <c r="A312">
        <v>3563.5710059172002</v>
      </c>
      <c r="B312">
        <v>3650.1420118341998</v>
      </c>
      <c r="C312" s="1">
        <f t="shared" si="64"/>
        <v>2.4293329857396184E-2</v>
      </c>
      <c r="D312">
        <v>21.752639517344999</v>
      </c>
      <c r="E312">
        <v>0.13614388893577001</v>
      </c>
      <c r="F312">
        <v>39</v>
      </c>
      <c r="H312" t="s">
        <v>19</v>
      </c>
      <c r="I312">
        <f t="shared" ref="I312" si="79">STDEVP(C296:C315)</f>
        <v>1.908960248709918E-3</v>
      </c>
    </row>
    <row r="313" spans="1:9" x14ac:dyDescent="0.25">
      <c r="A313">
        <v>3577.7189349112</v>
      </c>
      <c r="B313">
        <v>3664.1686390532</v>
      </c>
      <c r="C313" s="1">
        <f t="shared" si="64"/>
        <v>2.4163358194079443E-2</v>
      </c>
      <c r="D313">
        <v>21.897435897436001</v>
      </c>
      <c r="E313">
        <v>0.13655627887568</v>
      </c>
      <c r="F313">
        <v>39</v>
      </c>
      <c r="H313" t="s">
        <v>20</v>
      </c>
      <c r="I313">
        <f t="shared" ref="I313" si="80">STDEVP(D296:D315)</f>
        <v>8.158537512050025E-2</v>
      </c>
    </row>
    <row r="314" spans="1:9" x14ac:dyDescent="0.25">
      <c r="A314">
        <v>3565.7899408284002</v>
      </c>
      <c r="B314">
        <v>3647.8846153845002</v>
      </c>
      <c r="C314" s="1">
        <f t="shared" si="64"/>
        <v>2.3022857744959602E-2</v>
      </c>
      <c r="D314">
        <v>21.650075414781</v>
      </c>
      <c r="E314">
        <v>0.13528397176897999</v>
      </c>
      <c r="F314">
        <v>39</v>
      </c>
      <c r="H314" t="s">
        <v>21</v>
      </c>
      <c r="I314">
        <f t="shared" ref="I314" si="81">STDEVP(E296:E315)</f>
        <v>5.6862107844830455E-4</v>
      </c>
    </row>
    <row r="315" spans="1:9" x14ac:dyDescent="0.25">
      <c r="A315">
        <v>3576.2130177515</v>
      </c>
      <c r="B315">
        <v>3658.6213017751002</v>
      </c>
      <c r="C315" s="1">
        <f t="shared" si="64"/>
        <v>2.3043449485403711E-2</v>
      </c>
      <c r="D315">
        <v>21.728506787330002</v>
      </c>
      <c r="E315">
        <v>0.13542176017136001</v>
      </c>
      <c r="F315">
        <v>39</v>
      </c>
      <c r="H315" t="s">
        <v>22</v>
      </c>
      <c r="I315">
        <f t="shared" ref="I315" si="82">STDEVP(F296:F315)</f>
        <v>0</v>
      </c>
    </row>
    <row r="316" spans="1:9" x14ac:dyDescent="0.25">
      <c r="C316" s="1" t="str">
        <f t="shared" si="64"/>
        <v/>
      </c>
    </row>
    <row r="317" spans="1:9" x14ac:dyDescent="0.25">
      <c r="A317">
        <v>695.07183364839</v>
      </c>
      <c r="B317">
        <v>724.32136105859001</v>
      </c>
      <c r="C317" s="1">
        <f t="shared" si="64"/>
        <v>4.2081301520550785E-2</v>
      </c>
      <c r="D317">
        <v>11.190338164250999</v>
      </c>
      <c r="E317">
        <v>0.46347491489775999</v>
      </c>
      <c r="F317">
        <v>18</v>
      </c>
    </row>
    <row r="318" spans="1:9" x14ac:dyDescent="0.25">
      <c r="A318">
        <v>704.45935727788003</v>
      </c>
      <c r="B318">
        <v>724.42344045367997</v>
      </c>
      <c r="C318" s="1">
        <f t="shared" si="64"/>
        <v>2.8339581225726995E-2</v>
      </c>
      <c r="D318">
        <v>11.487922705314</v>
      </c>
      <c r="E318">
        <v>0.47046119059977998</v>
      </c>
      <c r="F318">
        <v>17</v>
      </c>
    </row>
    <row r="319" spans="1:9" x14ac:dyDescent="0.25">
      <c r="A319">
        <v>698.76370510396998</v>
      </c>
      <c r="B319">
        <v>732.72778827977004</v>
      </c>
      <c r="C319" s="1">
        <f t="shared" si="64"/>
        <v>4.8605963543493669E-2</v>
      </c>
      <c r="D319">
        <v>11.221256038647001</v>
      </c>
      <c r="E319">
        <v>0.46026036836348999</v>
      </c>
      <c r="F319">
        <v>19</v>
      </c>
    </row>
    <row r="320" spans="1:9" x14ac:dyDescent="0.25">
      <c r="A320">
        <v>700.15689981096</v>
      </c>
      <c r="B320">
        <v>730.97353497163999</v>
      </c>
      <c r="C320" s="1">
        <f t="shared" si="64"/>
        <v>4.4013899126039258E-2</v>
      </c>
      <c r="D320">
        <v>11.383574879227</v>
      </c>
      <c r="E320">
        <v>0.46925730548738998</v>
      </c>
      <c r="F320">
        <v>18</v>
      </c>
    </row>
    <row r="321" spans="1:9" x14ac:dyDescent="0.25">
      <c r="A321">
        <v>686.33270321360999</v>
      </c>
      <c r="B321">
        <v>718.83553875234998</v>
      </c>
      <c r="C321" s="1">
        <f t="shared" si="64"/>
        <v>4.7357258930766699E-2</v>
      </c>
      <c r="D321">
        <v>11.234782608695999</v>
      </c>
      <c r="E321">
        <v>0.47314285214134999</v>
      </c>
      <c r="F321">
        <v>19</v>
      </c>
    </row>
    <row r="322" spans="1:9" x14ac:dyDescent="0.25">
      <c r="A322">
        <v>701.59735349716004</v>
      </c>
      <c r="B322">
        <v>729.53119092627003</v>
      </c>
      <c r="C322" s="1">
        <f t="shared" ref="C322:C385" si="83">IFERROR((B322/A322)-1,"")</f>
        <v>3.9814627706150629E-2</v>
      </c>
      <c r="D322">
        <v>11.470531400965999</v>
      </c>
      <c r="E322">
        <v>0.47234926918726999</v>
      </c>
      <c r="F322">
        <v>18</v>
      </c>
    </row>
    <row r="323" spans="1:9" x14ac:dyDescent="0.25">
      <c r="A323">
        <v>699.27599243856002</v>
      </c>
      <c r="B323">
        <v>727.81474480149996</v>
      </c>
      <c r="C323" s="1">
        <f t="shared" si="83"/>
        <v>4.0811857795114204E-2</v>
      </c>
      <c r="D323">
        <v>11.387439613527</v>
      </c>
      <c r="E323">
        <v>0.46961357889962002</v>
      </c>
      <c r="F323">
        <v>18</v>
      </c>
    </row>
    <row r="324" spans="1:9" x14ac:dyDescent="0.25">
      <c r="A324">
        <v>697.41020793950997</v>
      </c>
      <c r="B324">
        <v>729.19848771266004</v>
      </c>
      <c r="C324" s="1">
        <f t="shared" si="83"/>
        <v>4.5580462418335133E-2</v>
      </c>
      <c r="D324">
        <v>11.312077294686</v>
      </c>
      <c r="E324">
        <v>0.46752318481517002</v>
      </c>
      <c r="F324">
        <v>19</v>
      </c>
    </row>
    <row r="325" spans="1:9" x14ac:dyDescent="0.25">
      <c r="A325">
        <v>685.03591682419994</v>
      </c>
      <c r="B325">
        <v>730.07750472588998</v>
      </c>
      <c r="C325" s="1">
        <f t="shared" si="83"/>
        <v>6.5750695394923397E-2</v>
      </c>
      <c r="D325">
        <v>11.217391304348</v>
      </c>
      <c r="E325">
        <v>0.47335321280948001</v>
      </c>
      <c r="F325">
        <v>18</v>
      </c>
    </row>
    <row r="326" spans="1:9" x14ac:dyDescent="0.25">
      <c r="A326">
        <v>705.38752362949003</v>
      </c>
      <c r="B326">
        <v>730.98109640831001</v>
      </c>
      <c r="C326" s="1">
        <f t="shared" si="83"/>
        <v>3.6282996114151755E-2</v>
      </c>
      <c r="D326">
        <v>11.408695652174</v>
      </c>
      <c r="E326">
        <v>0.46661080085364998</v>
      </c>
      <c r="F326">
        <v>18</v>
      </c>
    </row>
    <row r="327" spans="1:9" x14ac:dyDescent="0.25">
      <c r="A327">
        <v>709.02079395085002</v>
      </c>
      <c r="B327">
        <v>734.10964083174997</v>
      </c>
      <c r="C327" s="1">
        <f t="shared" si="83"/>
        <v>3.5385206040429829E-2</v>
      </c>
      <c r="D327">
        <v>11.296618357488001</v>
      </c>
      <c r="E327">
        <v>0.45487301453612999</v>
      </c>
      <c r="F327">
        <v>18</v>
      </c>
    </row>
    <row r="328" spans="1:9" x14ac:dyDescent="0.25">
      <c r="A328">
        <v>686.39319470699002</v>
      </c>
      <c r="B328">
        <v>726.49149338373002</v>
      </c>
      <c r="C328" s="1">
        <f t="shared" si="83"/>
        <v>5.8418846494912247E-2</v>
      </c>
      <c r="D328">
        <v>11.228985507246</v>
      </c>
      <c r="E328">
        <v>0.47346328914310998</v>
      </c>
      <c r="F328">
        <v>19</v>
      </c>
    </row>
    <row r="329" spans="1:9" x14ac:dyDescent="0.25">
      <c r="A329">
        <v>692.85066162571002</v>
      </c>
      <c r="B329">
        <v>721.99999999999</v>
      </c>
      <c r="C329" s="1">
        <f t="shared" si="83"/>
        <v>4.2071603577434447E-2</v>
      </c>
      <c r="D329">
        <v>10.910144927536001</v>
      </c>
      <c r="E329">
        <v>0.44824043717694001</v>
      </c>
      <c r="F329">
        <v>18</v>
      </c>
    </row>
    <row r="330" spans="1:9" x14ac:dyDescent="0.25">
      <c r="A330">
        <v>693.29300567107998</v>
      </c>
      <c r="B330">
        <v>729.23629489602001</v>
      </c>
      <c r="C330" s="1">
        <f t="shared" si="83"/>
        <v>5.1844298054252391E-2</v>
      </c>
      <c r="D330">
        <v>11.470531400965999</v>
      </c>
      <c r="E330">
        <v>0.48137294226178001</v>
      </c>
      <c r="F330">
        <v>19</v>
      </c>
    </row>
    <row r="331" spans="1:9" x14ac:dyDescent="0.25">
      <c r="A331">
        <v>692.05482041588004</v>
      </c>
      <c r="B331">
        <v>730.50661625708005</v>
      </c>
      <c r="C331" s="1">
        <f t="shared" si="83"/>
        <v>5.5561777343148933E-2</v>
      </c>
      <c r="D331">
        <v>11.062801932367</v>
      </c>
      <c r="E331">
        <v>0.45749454250186</v>
      </c>
      <c r="F331">
        <v>18</v>
      </c>
      <c r="H331" t="s">
        <v>17</v>
      </c>
      <c r="I331">
        <f t="shared" ref="I331" si="84">STDEVP(A317:A336)</f>
        <v>6.6669702425623329</v>
      </c>
    </row>
    <row r="332" spans="1:9" x14ac:dyDescent="0.25">
      <c r="A332">
        <v>697.53119092628003</v>
      </c>
      <c r="B332">
        <v>727.95841209828995</v>
      </c>
      <c r="C332" s="1">
        <f t="shared" si="83"/>
        <v>4.3621305495463725E-2</v>
      </c>
      <c r="D332">
        <v>11.433816425121</v>
      </c>
      <c r="E332">
        <v>0.47536044220943002</v>
      </c>
      <c r="F332">
        <v>19</v>
      </c>
      <c r="H332" t="s">
        <v>18</v>
      </c>
      <c r="I332">
        <f t="shared" ref="I332" si="85">STDEVP(B317:B336)</f>
        <v>4.9653313685936213</v>
      </c>
    </row>
    <row r="333" spans="1:9" x14ac:dyDescent="0.25">
      <c r="A333">
        <v>697.22873345936</v>
      </c>
      <c r="B333">
        <v>739.12854442342996</v>
      </c>
      <c r="C333" s="1">
        <f t="shared" si="83"/>
        <v>6.0094785187897237E-2</v>
      </c>
      <c r="D333">
        <v>11.329468599034</v>
      </c>
      <c r="E333">
        <v>0.46798677833813002</v>
      </c>
      <c r="F333">
        <v>19</v>
      </c>
      <c r="H333" t="s">
        <v>19</v>
      </c>
      <c r="I333">
        <f t="shared" ref="I333" si="86">STDEVP(C317:C336)</f>
        <v>8.7035423803302498E-3</v>
      </c>
    </row>
    <row r="334" spans="1:9" x14ac:dyDescent="0.25">
      <c r="A334">
        <v>703.40453686199999</v>
      </c>
      <c r="B334">
        <v>733.61058601134005</v>
      </c>
      <c r="C334" s="1">
        <f t="shared" si="83"/>
        <v>4.2942641917116608E-2</v>
      </c>
      <c r="D334">
        <v>11.402898550725</v>
      </c>
      <c r="E334">
        <v>0.46788056898949998</v>
      </c>
      <c r="F334">
        <v>18</v>
      </c>
      <c r="H334" t="s">
        <v>20</v>
      </c>
      <c r="I334">
        <f t="shared" ref="I334" si="87">STDEVP(D317:D336)</f>
        <v>0.18255386033523688</v>
      </c>
    </row>
    <row r="335" spans="1:9" x14ac:dyDescent="0.25">
      <c r="A335">
        <v>702.03780718336998</v>
      </c>
      <c r="B335">
        <v>732.99999999999</v>
      </c>
      <c r="C335" s="1">
        <f t="shared" si="83"/>
        <v>4.4103312527914662E-2</v>
      </c>
      <c r="D335">
        <v>11.601932367150001</v>
      </c>
      <c r="E335">
        <v>0.48051327802977001</v>
      </c>
      <c r="F335">
        <v>19</v>
      </c>
      <c r="H335" t="s">
        <v>21</v>
      </c>
      <c r="I335">
        <f t="shared" ref="I335" si="88">STDEVP(E317:E336)</f>
        <v>8.7847151762388848E-3</v>
      </c>
    </row>
    <row r="336" spans="1:9" x14ac:dyDescent="0.25">
      <c r="A336">
        <v>687.79017013232999</v>
      </c>
      <c r="B336">
        <v>719.02457466917997</v>
      </c>
      <c r="C336" s="1">
        <f t="shared" si="83"/>
        <v>4.541269400643011E-2</v>
      </c>
      <c r="D336">
        <v>10.871497584541</v>
      </c>
      <c r="E336">
        <v>0.45077089856069003</v>
      </c>
      <c r="F336">
        <v>18</v>
      </c>
      <c r="H336" t="s">
        <v>22</v>
      </c>
      <c r="I336">
        <f t="shared" ref="I336" si="89">STDEVP(F317:F336)</f>
        <v>0.57227615711297997</v>
      </c>
    </row>
    <row r="337" spans="1:9" x14ac:dyDescent="0.25">
      <c r="C337" s="1" t="str">
        <f t="shared" si="83"/>
        <v/>
      </c>
    </row>
    <row r="338" spans="1:9" x14ac:dyDescent="0.25">
      <c r="A338">
        <v>1112.6805293006</v>
      </c>
      <c r="B338">
        <v>1134.5604914933999</v>
      </c>
      <c r="C338" s="1">
        <f t="shared" si="83"/>
        <v>1.9664190768713397E-2</v>
      </c>
      <c r="D338">
        <v>13.484949832776</v>
      </c>
      <c r="E338">
        <v>0.31618508652844002</v>
      </c>
      <c r="F338">
        <v>28</v>
      </c>
    </row>
    <row r="339" spans="1:9" x14ac:dyDescent="0.25">
      <c r="A339">
        <v>1112.1115311909</v>
      </c>
      <c r="B339">
        <v>1140.5756143666999</v>
      </c>
      <c r="C339" s="1">
        <f t="shared" si="83"/>
        <v>2.5594630014598607E-2</v>
      </c>
      <c r="D339">
        <v>13.317725752508</v>
      </c>
      <c r="E339">
        <v>0.31123775133054998</v>
      </c>
      <c r="F339">
        <v>29</v>
      </c>
    </row>
    <row r="340" spans="1:9" x14ac:dyDescent="0.25">
      <c r="A340">
        <v>1109.7221172023001</v>
      </c>
      <c r="B340">
        <v>1133.7353497163999</v>
      </c>
      <c r="C340" s="1">
        <f t="shared" si="83"/>
        <v>2.163896000796961E-2</v>
      </c>
      <c r="D340">
        <v>13.324414715719</v>
      </c>
      <c r="E340">
        <v>0.31246688870061001</v>
      </c>
      <c r="F340">
        <v>29</v>
      </c>
    </row>
    <row r="341" spans="1:9" x14ac:dyDescent="0.25">
      <c r="A341">
        <v>1104.8345935728</v>
      </c>
      <c r="B341">
        <v>1129.7344045369</v>
      </c>
      <c r="C341" s="1">
        <f t="shared" si="83"/>
        <v>2.2537139141868501E-2</v>
      </c>
      <c r="D341">
        <v>13.216913521261</v>
      </c>
      <c r="E341">
        <v>0.31067878413059002</v>
      </c>
      <c r="F341">
        <v>29</v>
      </c>
    </row>
    <row r="342" spans="1:9" x14ac:dyDescent="0.25">
      <c r="A342">
        <v>1103.202268431</v>
      </c>
      <c r="B342">
        <v>1126.4914933836999</v>
      </c>
      <c r="C342" s="1">
        <f t="shared" si="83"/>
        <v>2.1110566592491109E-2</v>
      </c>
      <c r="D342">
        <v>13.309125656952</v>
      </c>
      <c r="E342">
        <v>0.31419827506564002</v>
      </c>
      <c r="F342">
        <v>30</v>
      </c>
    </row>
    <row r="343" spans="1:9" x14ac:dyDescent="0.25">
      <c r="A343">
        <v>1111.0217391304</v>
      </c>
      <c r="B343">
        <v>1138.0775047259001</v>
      </c>
      <c r="C343" s="1">
        <f t="shared" si="83"/>
        <v>2.4352147795664969E-2</v>
      </c>
      <c r="D343">
        <v>13.197802197802</v>
      </c>
      <c r="E343">
        <v>0.30819844971445998</v>
      </c>
      <c r="F343">
        <v>30</v>
      </c>
    </row>
    <row r="344" spans="1:9" x14ac:dyDescent="0.25">
      <c r="A344">
        <v>1098.0661625708999</v>
      </c>
      <c r="B344">
        <v>1127.4120982986999</v>
      </c>
      <c r="C344" s="1">
        <f t="shared" si="83"/>
        <v>2.6725107036439821E-2</v>
      </c>
      <c r="D344">
        <v>13.190157668418999</v>
      </c>
      <c r="E344">
        <v>0.31230374983978998</v>
      </c>
      <c r="F344">
        <v>30</v>
      </c>
    </row>
    <row r="345" spans="1:9" x14ac:dyDescent="0.25">
      <c r="A345">
        <v>1111.7920604915</v>
      </c>
      <c r="B345">
        <v>1134.3402646503</v>
      </c>
      <c r="C345" s="1">
        <f t="shared" si="83"/>
        <v>2.0280954469878099E-2</v>
      </c>
      <c r="D345">
        <v>13.396082178691</v>
      </c>
      <c r="E345">
        <v>0.31374864070991998</v>
      </c>
      <c r="F345">
        <v>29</v>
      </c>
    </row>
    <row r="346" spans="1:9" x14ac:dyDescent="0.25">
      <c r="A346">
        <v>1119.2608695652</v>
      </c>
      <c r="B346">
        <v>1144.0642722117</v>
      </c>
      <c r="C346" s="1">
        <f t="shared" si="83"/>
        <v>2.2160519786718957E-2</v>
      </c>
      <c r="D346">
        <v>13.450549450549</v>
      </c>
      <c r="E346">
        <v>0.31271089923716</v>
      </c>
      <c r="F346">
        <v>29</v>
      </c>
    </row>
    <row r="347" spans="1:9" x14ac:dyDescent="0.25">
      <c r="A347">
        <v>1105.0652173912999</v>
      </c>
      <c r="B347">
        <v>1134.8241965974</v>
      </c>
      <c r="C347" s="1">
        <f t="shared" si="83"/>
        <v>2.6929613508559491E-2</v>
      </c>
      <c r="D347">
        <v>13.153846153846001</v>
      </c>
      <c r="E347">
        <v>0.30859107430798999</v>
      </c>
      <c r="F347">
        <v>30</v>
      </c>
    </row>
    <row r="348" spans="1:9" x14ac:dyDescent="0.25">
      <c r="A348">
        <v>1109.2882797732</v>
      </c>
      <c r="B348">
        <v>1130.2627599243999</v>
      </c>
      <c r="C348" s="1">
        <f t="shared" si="83"/>
        <v>1.8908051706350237E-2</v>
      </c>
      <c r="D348">
        <v>13.37171524128</v>
      </c>
      <c r="E348">
        <v>0.31373268721850001</v>
      </c>
      <c r="F348">
        <v>29</v>
      </c>
    </row>
    <row r="349" spans="1:9" x14ac:dyDescent="0.25">
      <c r="A349">
        <v>1097.7258979205999</v>
      </c>
      <c r="B349">
        <v>1129.4413988658</v>
      </c>
      <c r="C349" s="1">
        <f t="shared" si="83"/>
        <v>2.8892003919446685E-2</v>
      </c>
      <c r="D349">
        <v>13.194935499283</v>
      </c>
      <c r="E349">
        <v>0.31281069681786</v>
      </c>
      <c r="F349">
        <v>28</v>
      </c>
    </row>
    <row r="350" spans="1:9" x14ac:dyDescent="0.25">
      <c r="A350">
        <v>1115.5236294895999</v>
      </c>
      <c r="B350">
        <v>1139.488657845</v>
      </c>
      <c r="C350" s="1">
        <f t="shared" si="83"/>
        <v>2.148320996693287E-2</v>
      </c>
      <c r="D350">
        <v>13.358337314859</v>
      </c>
      <c r="E350">
        <v>0.31114879808945001</v>
      </c>
      <c r="F350">
        <v>30</v>
      </c>
    </row>
    <row r="351" spans="1:9" x14ac:dyDescent="0.25">
      <c r="A351">
        <v>1117.4952741021</v>
      </c>
      <c r="B351">
        <v>1139.1843100189001</v>
      </c>
      <c r="C351" s="1">
        <f t="shared" si="83"/>
        <v>1.9408615337749069E-2</v>
      </c>
      <c r="D351">
        <v>13.356903965600001</v>
      </c>
      <c r="E351">
        <v>0.31067530936441001</v>
      </c>
      <c r="F351">
        <v>29</v>
      </c>
    </row>
    <row r="352" spans="1:9" x14ac:dyDescent="0.25">
      <c r="A352">
        <v>1112.6568998109999</v>
      </c>
      <c r="B352">
        <v>1140.6672967863999</v>
      </c>
      <c r="C352" s="1">
        <f t="shared" si="83"/>
        <v>2.5174334496247619E-2</v>
      </c>
      <c r="D352">
        <v>13.401337792642</v>
      </c>
      <c r="E352">
        <v>0.31382181319356001</v>
      </c>
      <c r="F352">
        <v>30</v>
      </c>
      <c r="H352" t="s">
        <v>17</v>
      </c>
      <c r="I352">
        <f t="shared" ref="I352" si="90">STDEVP(A338:A357)</f>
        <v>5.4722322060056685</v>
      </c>
    </row>
    <row r="353" spans="1:9" x14ac:dyDescent="0.25">
      <c r="A353">
        <v>1107.9858223061999</v>
      </c>
      <c r="B353">
        <v>1133.7448015123</v>
      </c>
      <c r="C353" s="1">
        <f t="shared" si="83"/>
        <v>2.3248473660506308E-2</v>
      </c>
      <c r="D353">
        <v>13.334448160535</v>
      </c>
      <c r="E353">
        <v>0.31310107309176</v>
      </c>
      <c r="F353">
        <v>29</v>
      </c>
      <c r="H353" t="s">
        <v>18</v>
      </c>
      <c r="I353">
        <f t="shared" ref="I353" si="91">STDEVP(B338:B357)</f>
        <v>4.6450657192175733</v>
      </c>
    </row>
    <row r="354" spans="1:9" x14ac:dyDescent="0.25">
      <c r="A354">
        <v>1108.9650283553999</v>
      </c>
      <c r="B354">
        <v>1136.9310018904</v>
      </c>
      <c r="C354" s="1">
        <f t="shared" si="83"/>
        <v>2.5218084267701224E-2</v>
      </c>
      <c r="D354">
        <v>13.216913521261</v>
      </c>
      <c r="E354">
        <v>0.30931763274259</v>
      </c>
      <c r="F354">
        <v>30</v>
      </c>
      <c r="H354" t="s">
        <v>19</v>
      </c>
      <c r="I354">
        <f t="shared" ref="I354" si="92">STDEVP(C338:C357)</f>
        <v>2.923751556776807E-3</v>
      </c>
    </row>
    <row r="355" spans="1:9" x14ac:dyDescent="0.25">
      <c r="A355">
        <v>1106.2901701323001</v>
      </c>
      <c r="B355">
        <v>1134.0784499055001</v>
      </c>
      <c r="C355" s="1">
        <f t="shared" si="83"/>
        <v>2.5118436847248571E-2</v>
      </c>
      <c r="D355">
        <v>13.455327281414</v>
      </c>
      <c r="E355">
        <v>0.31751646670383998</v>
      </c>
      <c r="F355">
        <v>28</v>
      </c>
      <c r="H355" t="s">
        <v>20</v>
      </c>
      <c r="I355">
        <f t="shared" ref="I355" si="93">STDEVP(D338:D357)</f>
        <v>0.10230928832681342</v>
      </c>
    </row>
    <row r="356" spans="1:9" x14ac:dyDescent="0.25">
      <c r="A356">
        <v>1108.5378071834</v>
      </c>
      <c r="B356">
        <v>1139.4451795841001</v>
      </c>
      <c r="C356" s="1">
        <f t="shared" si="83"/>
        <v>2.7881207298856348E-2</v>
      </c>
      <c r="D356">
        <v>13.353559483993999</v>
      </c>
      <c r="E356">
        <v>0.31378957112562</v>
      </c>
      <c r="F356">
        <v>29</v>
      </c>
      <c r="H356" t="s">
        <v>21</v>
      </c>
      <c r="I356">
        <f t="shared" ref="I356" si="94">STDEVP(E338:E357)</f>
        <v>2.4545005172814634E-3</v>
      </c>
    </row>
    <row r="357" spans="1:9" x14ac:dyDescent="0.25">
      <c r="A357">
        <v>1112.0018903591999</v>
      </c>
      <c r="B357">
        <v>1134.8724007561</v>
      </c>
      <c r="C357" s="1">
        <f t="shared" si="83"/>
        <v>2.0566970789512196E-2</v>
      </c>
      <c r="D357">
        <v>13.501194457716</v>
      </c>
      <c r="E357">
        <v>0.31677899088535</v>
      </c>
      <c r="F357">
        <v>30</v>
      </c>
      <c r="H357" t="s">
        <v>22</v>
      </c>
      <c r="I357">
        <f t="shared" ref="I357" si="95">STDEVP(F338:F357)</f>
        <v>0.69821200218844703</v>
      </c>
    </row>
    <row r="358" spans="1:9" x14ac:dyDescent="0.25">
      <c r="C358" s="1" t="str">
        <f t="shared" si="83"/>
        <v/>
      </c>
    </row>
    <row r="359" spans="1:9" x14ac:dyDescent="0.25">
      <c r="A359">
        <v>552.00788954635004</v>
      </c>
      <c r="B359">
        <v>585.69493754108998</v>
      </c>
      <c r="C359" s="1">
        <f t="shared" si="83"/>
        <v>6.1026388630830208E-2</v>
      </c>
      <c r="D359">
        <v>8.4372469635627994</v>
      </c>
      <c r="E359">
        <v>0.42632628696640001</v>
      </c>
      <c r="F359">
        <v>14</v>
      </c>
    </row>
    <row r="360" spans="1:9" x14ac:dyDescent="0.25">
      <c r="A360">
        <v>554.43129520053003</v>
      </c>
      <c r="B360">
        <v>580.22616699540004</v>
      </c>
      <c r="C360" s="1">
        <f t="shared" si="83"/>
        <v>4.6524920252815738E-2</v>
      </c>
      <c r="D360">
        <v>8.4642375168690993</v>
      </c>
      <c r="E360">
        <v>0.42670007705402002</v>
      </c>
      <c r="F360">
        <v>14</v>
      </c>
    </row>
    <row r="361" spans="1:9" x14ac:dyDescent="0.25">
      <c r="A361">
        <v>553.61341222880003</v>
      </c>
      <c r="B361">
        <v>581.50032873110001</v>
      </c>
      <c r="C361" s="1">
        <f t="shared" si="83"/>
        <v>5.0372544967849819E-2</v>
      </c>
      <c r="D361">
        <v>8.2591093117409002</v>
      </c>
      <c r="E361">
        <v>0.41261072015772998</v>
      </c>
      <c r="F361">
        <v>14</v>
      </c>
    </row>
    <row r="362" spans="1:9" x14ac:dyDescent="0.25">
      <c r="A362">
        <v>551.10190664036998</v>
      </c>
      <c r="B362">
        <v>577.28336620643995</v>
      </c>
      <c r="C362" s="1">
        <f t="shared" si="83"/>
        <v>4.7507474117949533E-2</v>
      </c>
      <c r="D362">
        <v>8.4723346828609998</v>
      </c>
      <c r="E362">
        <v>0.43041370605564999</v>
      </c>
      <c r="F362">
        <v>14</v>
      </c>
    </row>
    <row r="363" spans="1:9" x14ac:dyDescent="0.25">
      <c r="A363">
        <v>548.88099934254001</v>
      </c>
      <c r="B363">
        <v>583.05193951347997</v>
      </c>
      <c r="C363" s="1">
        <f t="shared" si="83"/>
        <v>6.2255644141208322E-2</v>
      </c>
      <c r="D363">
        <v>8.3346828609985995</v>
      </c>
      <c r="E363">
        <v>0.42255291114625998</v>
      </c>
      <c r="F363">
        <v>15</v>
      </c>
    </row>
    <row r="364" spans="1:9" x14ac:dyDescent="0.25">
      <c r="A364">
        <v>558.77712031557996</v>
      </c>
      <c r="B364">
        <v>580.29322813937995</v>
      </c>
      <c r="C364" s="1">
        <f t="shared" si="83"/>
        <v>3.8505706553711994E-2</v>
      </c>
      <c r="D364">
        <v>8.2267206477733001</v>
      </c>
      <c r="E364">
        <v>0.40442661090840998</v>
      </c>
      <c r="F364">
        <v>14</v>
      </c>
    </row>
    <row r="365" spans="1:9" x14ac:dyDescent="0.25">
      <c r="A365">
        <v>559.32412886258999</v>
      </c>
      <c r="B365">
        <v>583.32938856016006</v>
      </c>
      <c r="C365" s="1">
        <f t="shared" si="83"/>
        <v>4.291833385837629E-2</v>
      </c>
      <c r="D365">
        <v>8.2968960863698005</v>
      </c>
      <c r="E365">
        <v>0.40905509210985003</v>
      </c>
      <c r="F365">
        <v>14</v>
      </c>
    </row>
    <row r="366" spans="1:9" x14ac:dyDescent="0.25">
      <c r="A366">
        <v>554.48520710058995</v>
      </c>
      <c r="B366">
        <v>578.00525969756995</v>
      </c>
      <c r="C366" s="1">
        <f t="shared" si="83"/>
        <v>4.2417817997285612E-2</v>
      </c>
      <c r="D366">
        <v>8.4696356275303994</v>
      </c>
      <c r="E366">
        <v>0.42667917155985002</v>
      </c>
      <c r="F366">
        <v>14</v>
      </c>
    </row>
    <row r="367" spans="1:9" x14ac:dyDescent="0.25">
      <c r="A367">
        <v>538.62590401052</v>
      </c>
      <c r="B367">
        <v>584.34845496384003</v>
      </c>
      <c r="C367" s="1">
        <f t="shared" si="83"/>
        <v>8.4887397009459464E-2</v>
      </c>
      <c r="D367">
        <v>8.2321187584345008</v>
      </c>
      <c r="E367">
        <v>0.42700424843675999</v>
      </c>
      <c r="F367">
        <v>15</v>
      </c>
    </row>
    <row r="368" spans="1:9" x14ac:dyDescent="0.25">
      <c r="A368">
        <v>552.16699539776005</v>
      </c>
      <c r="B368">
        <v>582.20249835635002</v>
      </c>
      <c r="C368" s="1">
        <f t="shared" si="83"/>
        <v>5.439568682831819E-2</v>
      </c>
      <c r="D368">
        <v>8.5533063427799991</v>
      </c>
      <c r="E368">
        <v>0.4357315452269</v>
      </c>
      <c r="F368">
        <v>14</v>
      </c>
    </row>
    <row r="369" spans="1:9" x14ac:dyDescent="0.25">
      <c r="A369">
        <v>552.45101906640002</v>
      </c>
      <c r="B369">
        <v>585.34385272846998</v>
      </c>
      <c r="C369" s="1">
        <f t="shared" si="83"/>
        <v>5.9539818964686297E-2</v>
      </c>
      <c r="D369">
        <v>8.2941970310391007</v>
      </c>
      <c r="E369">
        <v>0.41640324816110003</v>
      </c>
      <c r="F369">
        <v>14</v>
      </c>
    </row>
    <row r="370" spans="1:9" x14ac:dyDescent="0.25">
      <c r="A370">
        <v>545.16107823799996</v>
      </c>
      <c r="B370">
        <v>578.61012491782003</v>
      </c>
      <c r="C370" s="1">
        <f t="shared" si="83"/>
        <v>6.1356263341340922E-2</v>
      </c>
      <c r="D370">
        <v>8.4885290148448007</v>
      </c>
      <c r="E370">
        <v>0.43793499558896998</v>
      </c>
      <c r="F370">
        <v>14</v>
      </c>
    </row>
    <row r="371" spans="1:9" x14ac:dyDescent="0.25">
      <c r="A371">
        <v>547.02564102563997</v>
      </c>
      <c r="B371">
        <v>579.63050624589005</v>
      </c>
      <c r="C371" s="1">
        <f t="shared" si="83"/>
        <v>5.9603906608688195E-2</v>
      </c>
      <c r="D371">
        <v>8.3157894736842</v>
      </c>
      <c r="E371">
        <v>0.42360236037026</v>
      </c>
      <c r="F371">
        <v>15</v>
      </c>
    </row>
    <row r="372" spans="1:9" x14ac:dyDescent="0.25">
      <c r="A372">
        <v>554.22879684418001</v>
      </c>
      <c r="B372">
        <v>577.58711374096004</v>
      </c>
      <c r="C372" s="1">
        <f t="shared" si="83"/>
        <v>4.2145621140193379E-2</v>
      </c>
      <c r="D372">
        <v>8.3643724696355992</v>
      </c>
      <c r="E372">
        <v>0.41873121081378001</v>
      </c>
      <c r="F372">
        <v>14</v>
      </c>
    </row>
    <row r="373" spans="1:9" x14ac:dyDescent="0.25">
      <c r="A373">
        <v>550.40894148586005</v>
      </c>
      <c r="B373">
        <v>581.28205128205002</v>
      </c>
      <c r="C373" s="1">
        <f t="shared" si="83"/>
        <v>5.6091221397759794E-2</v>
      </c>
      <c r="D373">
        <v>8.5236167341431006</v>
      </c>
      <c r="E373">
        <v>0.43461069054002999</v>
      </c>
      <c r="F373">
        <v>14</v>
      </c>
      <c r="H373" t="s">
        <v>17</v>
      </c>
      <c r="I373">
        <f t="shared" ref="I373" si="96">STDEVP(A359:A378)</f>
        <v>5.6998799629905683</v>
      </c>
    </row>
    <row r="374" spans="1:9" x14ac:dyDescent="0.25">
      <c r="A374">
        <v>552.23931623932003</v>
      </c>
      <c r="B374">
        <v>581.17291255753003</v>
      </c>
      <c r="C374" s="1">
        <f t="shared" si="83"/>
        <v>5.2393220597265922E-2</v>
      </c>
      <c r="D374">
        <v>8.3859649122807003</v>
      </c>
      <c r="E374">
        <v>0.42265312043150999</v>
      </c>
      <c r="F374">
        <v>14</v>
      </c>
      <c r="H374" t="s">
        <v>18</v>
      </c>
      <c r="I374">
        <f t="shared" ref="I374" si="97">STDEVP(B359:B378)</f>
        <v>3.0000375419666745</v>
      </c>
    </row>
    <row r="375" spans="1:9" x14ac:dyDescent="0.25">
      <c r="A375">
        <v>542.80867850099003</v>
      </c>
      <c r="B375">
        <v>574.13543721235999</v>
      </c>
      <c r="C375" s="1">
        <f t="shared" si="83"/>
        <v>5.7712339452422379E-2</v>
      </c>
      <c r="D375">
        <v>8.3967611336031993</v>
      </c>
      <c r="E375">
        <v>0.43467296055181998</v>
      </c>
      <c r="F375">
        <v>15</v>
      </c>
      <c r="H375" t="s">
        <v>19</v>
      </c>
      <c r="I375">
        <f t="shared" ref="I375" si="98">STDEVP(C359:C378)</f>
        <v>1.1461031095592274E-2</v>
      </c>
    </row>
    <row r="376" spans="1:9" x14ac:dyDescent="0.25">
      <c r="A376">
        <v>541.44510190664005</v>
      </c>
      <c r="B376">
        <v>582.91518737673005</v>
      </c>
      <c r="C376" s="1">
        <f t="shared" si="83"/>
        <v>7.6591486974501466E-2</v>
      </c>
      <c r="D376">
        <v>8.2294197031039005</v>
      </c>
      <c r="E376">
        <v>0.42321228379303</v>
      </c>
      <c r="F376">
        <v>14</v>
      </c>
      <c r="H376" t="s">
        <v>20</v>
      </c>
      <c r="I376">
        <f t="shared" ref="I376" si="99">STDEVP(D359:D378)</f>
        <v>0.11272708876205406</v>
      </c>
    </row>
    <row r="377" spans="1:9" x14ac:dyDescent="0.25">
      <c r="A377">
        <v>546.08809993424995</v>
      </c>
      <c r="B377">
        <v>576.84155161078002</v>
      </c>
      <c r="C377" s="1">
        <f t="shared" si="83"/>
        <v>5.631591620515608E-2</v>
      </c>
      <c r="D377">
        <v>8.3913630229420004</v>
      </c>
      <c r="E377">
        <v>0.43038541081253001</v>
      </c>
      <c r="F377">
        <v>14</v>
      </c>
      <c r="H377" t="s">
        <v>21</v>
      </c>
      <c r="I377">
        <f t="shared" ref="I377" si="100">STDEVP(E359:E378)</f>
        <v>8.8739346871402943E-3</v>
      </c>
    </row>
    <row r="378" spans="1:9" x14ac:dyDescent="0.25">
      <c r="A378">
        <v>540.41814595661003</v>
      </c>
      <c r="B378">
        <v>578.02103879027004</v>
      </c>
      <c r="C378" s="1">
        <f t="shared" si="83"/>
        <v>6.9581106990954211E-2</v>
      </c>
      <c r="D378">
        <v>8.1214574898784999</v>
      </c>
      <c r="E378">
        <v>0.41508147945464002</v>
      </c>
      <c r="F378">
        <v>14</v>
      </c>
      <c r="H378" t="s">
        <v>22</v>
      </c>
      <c r="I378">
        <f t="shared" ref="I378" si="101">STDEVP(F359:F378)</f>
        <v>0.39999999999999997</v>
      </c>
    </row>
    <row r="379" spans="1:9" x14ac:dyDescent="0.25">
      <c r="C379" s="1" t="str">
        <f t="shared" si="83"/>
        <v/>
      </c>
    </row>
    <row r="380" spans="1:9" x14ac:dyDescent="0.25">
      <c r="A380">
        <v>1610.0191579416</v>
      </c>
      <c r="B380">
        <v>1664.0922254398999</v>
      </c>
      <c r="C380" s="1">
        <f t="shared" si="83"/>
        <v>3.3585356566459668E-2</v>
      </c>
      <c r="D380">
        <v>15.320669380370999</v>
      </c>
      <c r="E380">
        <v>0.23117085113659</v>
      </c>
      <c r="F380">
        <v>873</v>
      </c>
    </row>
    <row r="381" spans="1:9" x14ac:dyDescent="0.25">
      <c r="A381">
        <v>1632.8879483180999</v>
      </c>
      <c r="B381">
        <v>1682.6264201381</v>
      </c>
      <c r="C381" s="1">
        <f t="shared" si="83"/>
        <v>3.0460431697858725E-2</v>
      </c>
      <c r="D381">
        <v>16.379918588873998</v>
      </c>
      <c r="E381">
        <v>0.24660359827625</v>
      </c>
      <c r="F381">
        <v>928</v>
      </c>
    </row>
    <row r="382" spans="1:9" x14ac:dyDescent="0.25">
      <c r="A382">
        <v>1629.2403653375</v>
      </c>
      <c r="B382">
        <v>1675.6560481176</v>
      </c>
      <c r="C382" s="1">
        <f t="shared" si="83"/>
        <v>2.8489155908241193E-2</v>
      </c>
      <c r="D382">
        <v>16.256897331524002</v>
      </c>
      <c r="E382">
        <v>0.24510259798039999</v>
      </c>
      <c r="F382">
        <v>817</v>
      </c>
    </row>
    <row r="383" spans="1:9" x14ac:dyDescent="0.25">
      <c r="A383">
        <v>1620.5827578525</v>
      </c>
      <c r="B383">
        <v>1662.3047449319999</v>
      </c>
      <c r="C383" s="1">
        <f t="shared" si="83"/>
        <v>2.5745051819993092E-2</v>
      </c>
      <c r="D383">
        <v>16.023518769787</v>
      </c>
      <c r="E383">
        <v>0.24202138268366</v>
      </c>
      <c r="F383">
        <v>737</v>
      </c>
    </row>
    <row r="384" spans="1:9" x14ac:dyDescent="0.25">
      <c r="A384">
        <v>1622.9886388950999</v>
      </c>
      <c r="B384">
        <v>1674.1202940521</v>
      </c>
      <c r="C384" s="1">
        <f t="shared" si="83"/>
        <v>3.1504629133947359E-2</v>
      </c>
      <c r="D384">
        <v>16.024423337856</v>
      </c>
      <c r="E384">
        <v>0.24170982331994001</v>
      </c>
      <c r="F384">
        <v>700</v>
      </c>
    </row>
    <row r="385" spans="1:9" x14ac:dyDescent="0.25">
      <c r="A385">
        <v>1622.3773668969</v>
      </c>
      <c r="B385">
        <v>1665.7193138783</v>
      </c>
      <c r="C385" s="1">
        <f t="shared" si="83"/>
        <v>2.6715083596302591E-2</v>
      </c>
      <c r="D385">
        <v>16.10854816825</v>
      </c>
      <c r="E385">
        <v>0.24354242082193001</v>
      </c>
      <c r="F385">
        <v>752</v>
      </c>
    </row>
    <row r="386" spans="1:9" x14ac:dyDescent="0.25">
      <c r="A386">
        <v>1620.6954778346999</v>
      </c>
      <c r="B386">
        <v>1663.3143239029</v>
      </c>
      <c r="C386" s="1">
        <f t="shared" ref="C386:C449" si="102">IFERROR((B386/A386)-1,"")</f>
        <v>2.6296640331927357E-2</v>
      </c>
      <c r="D386">
        <v>15.970149253731</v>
      </c>
      <c r="E386">
        <v>0.24119931834271999</v>
      </c>
      <c r="F386">
        <v>888</v>
      </c>
    </row>
    <row r="387" spans="1:9" x14ac:dyDescent="0.25">
      <c r="A387">
        <v>1621.1534862998001</v>
      </c>
      <c r="B387">
        <v>1658.7810202717999</v>
      </c>
      <c r="C387" s="1">
        <f t="shared" si="102"/>
        <v>2.3210346392236181E-2</v>
      </c>
      <c r="D387">
        <v>16.047942107644001</v>
      </c>
      <c r="E387">
        <v>0.24269317837224999</v>
      </c>
      <c r="F387">
        <v>754</v>
      </c>
    </row>
    <row r="388" spans="1:9" x14ac:dyDescent="0.25">
      <c r="A388">
        <v>1625.9590109155999</v>
      </c>
      <c r="B388">
        <v>1678.0712853642001</v>
      </c>
      <c r="C388" s="1">
        <f t="shared" si="102"/>
        <v>3.2050177217723963E-2</v>
      </c>
      <c r="D388">
        <v>15.991858887380999</v>
      </c>
      <c r="E388">
        <v>0.24073152867066</v>
      </c>
      <c r="F388">
        <v>1027</v>
      </c>
    </row>
    <row r="389" spans="1:9" x14ac:dyDescent="0.25">
      <c r="A389">
        <v>1617.4453107596</v>
      </c>
      <c r="B389">
        <v>1674.8407217643</v>
      </c>
      <c r="C389" s="1">
        <f t="shared" si="102"/>
        <v>3.5485225140468923E-2</v>
      </c>
      <c r="D389">
        <v>15.994572591588</v>
      </c>
      <c r="E389">
        <v>0.24228305629346</v>
      </c>
      <c r="F389">
        <v>884</v>
      </c>
    </row>
    <row r="390" spans="1:9" x14ac:dyDescent="0.25">
      <c r="A390">
        <v>1639.8449543327999</v>
      </c>
      <c r="B390">
        <v>1681.1668523056001</v>
      </c>
      <c r="C390" s="1">
        <f t="shared" si="102"/>
        <v>2.5198661534201472E-2</v>
      </c>
      <c r="D390">
        <v>16.180009045681</v>
      </c>
      <c r="E390">
        <v>0.24142355134123</v>
      </c>
      <c r="F390">
        <v>1005</v>
      </c>
    </row>
    <row r="391" spans="1:9" x14ac:dyDescent="0.25">
      <c r="A391">
        <v>1626.429939853</v>
      </c>
      <c r="B391">
        <v>1679.3316997104</v>
      </c>
      <c r="C391" s="1">
        <f t="shared" si="102"/>
        <v>3.2526307196596216E-2</v>
      </c>
      <c r="D391">
        <v>16.302125734962001</v>
      </c>
      <c r="E391">
        <v>0.2462542694032</v>
      </c>
      <c r="F391">
        <v>768</v>
      </c>
    </row>
    <row r="392" spans="1:9" x14ac:dyDescent="0.25">
      <c r="A392">
        <v>1614.1737580752999</v>
      </c>
      <c r="B392">
        <v>1666.9365114724999</v>
      </c>
      <c r="C392" s="1">
        <f t="shared" si="102"/>
        <v>3.2687158450719123E-2</v>
      </c>
      <c r="D392">
        <v>16.175486205336998</v>
      </c>
      <c r="E392">
        <v>0.24620051935482001</v>
      </c>
      <c r="F392">
        <v>1030</v>
      </c>
    </row>
    <row r="393" spans="1:9" x14ac:dyDescent="0.25">
      <c r="A393">
        <v>1641.1864557808001</v>
      </c>
      <c r="B393">
        <v>1690.7774560035</v>
      </c>
      <c r="C393" s="1">
        <f t="shared" si="102"/>
        <v>3.0216554644369564E-2</v>
      </c>
      <c r="D393">
        <v>16.198100407056</v>
      </c>
      <c r="E393">
        <v>0.24163214220067999</v>
      </c>
      <c r="F393">
        <v>876</v>
      </c>
    </row>
    <row r="394" spans="1:9" x14ac:dyDescent="0.25">
      <c r="A394">
        <v>1622.8059701493</v>
      </c>
      <c r="B394">
        <v>1666.5386500334</v>
      </c>
      <c r="C394" s="1">
        <f t="shared" si="102"/>
        <v>2.6948803916512887E-2</v>
      </c>
      <c r="D394">
        <v>16.303030303029999</v>
      </c>
      <c r="E394">
        <v>0.24706140491671</v>
      </c>
      <c r="F394">
        <v>1036</v>
      </c>
      <c r="H394" t="s">
        <v>17</v>
      </c>
      <c r="I394">
        <f t="shared" ref="I394" si="103">STDEVP(A380:A399)</f>
        <v>8.0387773423296185</v>
      </c>
    </row>
    <row r="395" spans="1:9" x14ac:dyDescent="0.25">
      <c r="A395">
        <v>1625.8739140119999</v>
      </c>
      <c r="B395">
        <v>1684.4531075963</v>
      </c>
      <c r="C395" s="1">
        <f t="shared" si="102"/>
        <v>3.6029358168217618E-2</v>
      </c>
      <c r="D395">
        <v>15.946630483944</v>
      </c>
      <c r="E395">
        <v>0.23986796550517001</v>
      </c>
      <c r="F395">
        <v>1092</v>
      </c>
      <c r="H395" t="s">
        <v>18</v>
      </c>
      <c r="I395">
        <f t="shared" ref="I395" si="104">STDEVP(B380:B399)</f>
        <v>9.4791352159194453</v>
      </c>
    </row>
    <row r="396" spans="1:9" x14ac:dyDescent="0.25">
      <c r="A396">
        <v>1636.0744040989</v>
      </c>
      <c r="B396">
        <v>1690.9075517932999</v>
      </c>
      <c r="C396" s="1">
        <f t="shared" si="102"/>
        <v>3.3515069704058043E-2</v>
      </c>
      <c r="D396">
        <v>16.638625056534998</v>
      </c>
      <c r="E396">
        <v>0.25080389808120002</v>
      </c>
      <c r="F396">
        <v>788</v>
      </c>
      <c r="H396" t="s">
        <v>19</v>
      </c>
      <c r="I396">
        <f t="shared" ref="I396" si="105">STDEVP(C380:C399)</f>
        <v>3.8834616028463696E-3</v>
      </c>
    </row>
    <row r="397" spans="1:9" x14ac:dyDescent="0.25">
      <c r="A397">
        <v>1615.2403653375</v>
      </c>
      <c r="B397">
        <v>1667.8124303853999</v>
      </c>
      <c r="C397" s="1">
        <f t="shared" si="102"/>
        <v>3.2547518113141827E-2</v>
      </c>
      <c r="D397">
        <v>16.014473089100001</v>
      </c>
      <c r="E397">
        <v>0.24302997383669001</v>
      </c>
      <c r="F397">
        <v>1243</v>
      </c>
      <c r="H397" t="s">
        <v>20</v>
      </c>
      <c r="I397">
        <f t="shared" ref="I397" si="106">STDEVP(D380:D399)</f>
        <v>0.25488642818637303</v>
      </c>
    </row>
    <row r="398" spans="1:9" x14ac:dyDescent="0.25">
      <c r="A398">
        <v>1622.0213856093001</v>
      </c>
      <c r="B398">
        <v>1683.8302517264001</v>
      </c>
      <c r="C398" s="1">
        <f t="shared" si="102"/>
        <v>3.8106073486745107E-2</v>
      </c>
      <c r="D398">
        <v>16.146540027137</v>
      </c>
      <c r="E398">
        <v>0.24427635710021001</v>
      </c>
      <c r="F398">
        <v>1208</v>
      </c>
      <c r="H398" t="s">
        <v>21</v>
      </c>
      <c r="I398">
        <f t="shared" ref="I398" si="107">STDEVP(E380:E399)</f>
        <v>4.1033681744066137E-3</v>
      </c>
    </row>
    <row r="399" spans="1:9" x14ac:dyDescent="0.25">
      <c r="A399">
        <v>1618.4695923367999</v>
      </c>
      <c r="B399">
        <v>1666.4718200043999</v>
      </c>
      <c r="C399" s="1">
        <f t="shared" si="102"/>
        <v>2.9659023496569237E-2</v>
      </c>
      <c r="D399">
        <v>16.445047489823999</v>
      </c>
      <c r="E399">
        <v>0.25053624562170002</v>
      </c>
      <c r="F399">
        <v>1141</v>
      </c>
      <c r="H399" t="s">
        <v>22</v>
      </c>
      <c r="I399">
        <f t="shared" ref="I399" si="108">STDEVP(F380:F399)</f>
        <v>158.77382498384299</v>
      </c>
    </row>
    <row r="400" spans="1:9" x14ac:dyDescent="0.25">
      <c r="C400" s="1" t="str">
        <f t="shared" si="102"/>
        <v/>
      </c>
    </row>
    <row r="401" spans="1:9" x14ac:dyDescent="0.25">
      <c r="A401">
        <v>954.54536862003999</v>
      </c>
      <c r="B401">
        <v>978.44990548205999</v>
      </c>
      <c r="C401" s="1">
        <f t="shared" si="102"/>
        <v>2.5042850395448513E-2</v>
      </c>
      <c r="D401">
        <v>12.797897754418999</v>
      </c>
      <c r="E401">
        <v>0.36233860004315999</v>
      </c>
      <c r="F401">
        <v>21</v>
      </c>
    </row>
    <row r="402" spans="1:9" x14ac:dyDescent="0.25">
      <c r="A402">
        <v>959.88657844990996</v>
      </c>
      <c r="B402">
        <v>983.73534971646995</v>
      </c>
      <c r="C402" s="1">
        <f t="shared" si="102"/>
        <v>2.4845405490586892E-2</v>
      </c>
      <c r="D402">
        <v>12.840420449115999</v>
      </c>
      <c r="E402">
        <v>0.36101432934640998</v>
      </c>
      <c r="F402">
        <v>23</v>
      </c>
    </row>
    <row r="403" spans="1:9" x14ac:dyDescent="0.25">
      <c r="A403">
        <v>961.05009451796002</v>
      </c>
      <c r="B403">
        <v>982.97826086958003</v>
      </c>
      <c r="C403" s="1">
        <f t="shared" si="102"/>
        <v>2.2816881738738859E-2</v>
      </c>
      <c r="D403">
        <v>12.858576206402001</v>
      </c>
      <c r="E403">
        <v>0.36110622719926</v>
      </c>
      <c r="F403">
        <v>22</v>
      </c>
    </row>
    <row r="404" spans="1:9" x14ac:dyDescent="0.25">
      <c r="A404">
        <v>954.21455576560004</v>
      </c>
      <c r="B404">
        <v>980.16824196598998</v>
      </c>
      <c r="C404" s="1">
        <f t="shared" si="102"/>
        <v>2.7199004713951869E-2</v>
      </c>
      <c r="D404">
        <v>12.693263258481</v>
      </c>
      <c r="E404">
        <v>0.35821406125138</v>
      </c>
      <c r="F404">
        <v>23</v>
      </c>
    </row>
    <row r="405" spans="1:9" x14ac:dyDescent="0.25">
      <c r="A405">
        <v>953.86105860114003</v>
      </c>
      <c r="B405">
        <v>983.32514177695998</v>
      </c>
      <c r="C405" s="1">
        <f t="shared" si="102"/>
        <v>3.0889281945349234E-2</v>
      </c>
      <c r="D405">
        <v>12.870998566651</v>
      </c>
      <c r="E405">
        <v>0.36556548443593001</v>
      </c>
      <c r="F405">
        <v>22</v>
      </c>
    </row>
    <row r="406" spans="1:9" x14ac:dyDescent="0.25">
      <c r="A406">
        <v>957.30340264649999</v>
      </c>
      <c r="B406">
        <v>984.09357277884999</v>
      </c>
      <c r="C406" s="1">
        <f t="shared" si="102"/>
        <v>2.7985035943973058E-2</v>
      </c>
      <c r="D406">
        <v>13.161490683229999</v>
      </c>
      <c r="E406">
        <v>0.37453402873444003</v>
      </c>
      <c r="F406">
        <v>22</v>
      </c>
    </row>
    <row r="407" spans="1:9" x14ac:dyDescent="0.25">
      <c r="A407">
        <v>952.72306238185001</v>
      </c>
      <c r="B407">
        <v>977.77788279774995</v>
      </c>
      <c r="C407" s="1">
        <f t="shared" si="102"/>
        <v>2.6298114746232448E-2</v>
      </c>
      <c r="D407">
        <v>12.82226469183</v>
      </c>
      <c r="E407">
        <v>0.36431271310614</v>
      </c>
      <c r="F407">
        <v>23</v>
      </c>
    </row>
    <row r="408" spans="1:9" x14ac:dyDescent="0.25">
      <c r="A408">
        <v>950.85255198488005</v>
      </c>
      <c r="B408">
        <v>977.72684310020998</v>
      </c>
      <c r="C408" s="1">
        <f t="shared" si="102"/>
        <v>2.8263363293531185E-2</v>
      </c>
      <c r="D408">
        <v>12.939799331104</v>
      </c>
      <c r="E408">
        <v>0.36947210189971003</v>
      </c>
      <c r="F408">
        <v>22</v>
      </c>
    </row>
    <row r="409" spans="1:9" x14ac:dyDescent="0.25">
      <c r="A409">
        <v>947.80434782608995</v>
      </c>
      <c r="B409">
        <v>971.43005671080005</v>
      </c>
      <c r="C409" s="1">
        <f t="shared" si="102"/>
        <v>2.4926778336582522E-2</v>
      </c>
      <c r="D409">
        <v>12.769230769230999</v>
      </c>
      <c r="E409">
        <v>0.36507988268792002</v>
      </c>
      <c r="F409">
        <v>22</v>
      </c>
    </row>
    <row r="410" spans="1:9" x14ac:dyDescent="0.25">
      <c r="A410">
        <v>961.44139886579001</v>
      </c>
      <c r="B410">
        <v>986.54158790172005</v>
      </c>
      <c r="C410" s="1">
        <f t="shared" si="102"/>
        <v>2.6106831956207222E-2</v>
      </c>
      <c r="D410">
        <v>13.144290492116999</v>
      </c>
      <c r="E410">
        <v>0.37204916472505001</v>
      </c>
      <c r="F410">
        <v>22</v>
      </c>
    </row>
    <row r="411" spans="1:9" x14ac:dyDescent="0.25">
      <c r="A411">
        <v>953.52173913043998</v>
      </c>
      <c r="B411">
        <v>983.26843100191002</v>
      </c>
      <c r="C411" s="1">
        <f t="shared" si="102"/>
        <v>3.1196658293912938E-2</v>
      </c>
      <c r="D411">
        <v>12.824175824176001</v>
      </c>
      <c r="E411">
        <v>0.36424724548166998</v>
      </c>
      <c r="F411">
        <v>22</v>
      </c>
    </row>
    <row r="412" spans="1:9" x14ac:dyDescent="0.25">
      <c r="A412">
        <v>953.59073724007999</v>
      </c>
      <c r="B412">
        <v>979.13327032138</v>
      </c>
      <c r="C412" s="1">
        <f t="shared" si="102"/>
        <v>2.6785634637377154E-2</v>
      </c>
      <c r="D412">
        <v>12.815575728619001</v>
      </c>
      <c r="E412">
        <v>0.36301021529082</v>
      </c>
      <c r="F412">
        <v>22</v>
      </c>
    </row>
    <row r="413" spans="1:9" x14ac:dyDescent="0.25">
      <c r="A413">
        <v>950.46030245746999</v>
      </c>
      <c r="B413">
        <v>978.06710775049999</v>
      </c>
      <c r="C413" s="1">
        <f t="shared" si="102"/>
        <v>2.9045721553704995E-2</v>
      </c>
      <c r="D413">
        <v>12.749641662685001</v>
      </c>
      <c r="E413">
        <v>0.36226746299422002</v>
      </c>
      <c r="F413">
        <v>23</v>
      </c>
    </row>
    <row r="414" spans="1:9" x14ac:dyDescent="0.25">
      <c r="A414">
        <v>962.50189035917003</v>
      </c>
      <c r="B414">
        <v>987.33175803405004</v>
      </c>
      <c r="C414" s="1">
        <f t="shared" si="102"/>
        <v>2.5797214450783423E-2</v>
      </c>
      <c r="D414">
        <v>12.885809842332</v>
      </c>
      <c r="E414">
        <v>0.36114208439420997</v>
      </c>
      <c r="F414">
        <v>22</v>
      </c>
    </row>
    <row r="415" spans="1:9" x14ac:dyDescent="0.25">
      <c r="A415">
        <v>949.24196597354</v>
      </c>
      <c r="B415">
        <v>975.90075614369005</v>
      </c>
      <c r="C415" s="1">
        <f t="shared" si="102"/>
        <v>2.8084293705671559E-2</v>
      </c>
      <c r="D415">
        <v>12.768275203058</v>
      </c>
      <c r="E415">
        <v>0.36387910470843998</v>
      </c>
      <c r="F415">
        <v>22</v>
      </c>
      <c r="H415" t="s">
        <v>17</v>
      </c>
      <c r="I415">
        <f t="shared" ref="I415" si="109">STDEVP(A401:A420)</f>
        <v>4.2878878723773708</v>
      </c>
    </row>
    <row r="416" spans="1:9" x14ac:dyDescent="0.25">
      <c r="A416">
        <v>950.74480151229</v>
      </c>
      <c r="B416">
        <v>975.54347826088997</v>
      </c>
      <c r="C416" s="1">
        <f t="shared" si="102"/>
        <v>2.6083420818240999E-2</v>
      </c>
      <c r="D416">
        <v>12.690396559962</v>
      </c>
      <c r="E416">
        <v>0.36012986983440998</v>
      </c>
      <c r="F416">
        <v>22</v>
      </c>
      <c r="H416" t="s">
        <v>18</v>
      </c>
      <c r="I416">
        <f t="shared" ref="I416" si="110">STDEVP(B401:B420)</f>
        <v>3.9430679567797924</v>
      </c>
    </row>
    <row r="417" spans="1:9" x14ac:dyDescent="0.25">
      <c r="A417">
        <v>949.68998109640995</v>
      </c>
      <c r="B417">
        <v>979.64933837430999</v>
      </c>
      <c r="C417" s="1">
        <f t="shared" si="102"/>
        <v>3.1546460291507206E-2</v>
      </c>
      <c r="D417">
        <v>12.595317725753</v>
      </c>
      <c r="E417">
        <v>0.35696038852710998</v>
      </c>
      <c r="F417">
        <v>22</v>
      </c>
      <c r="H417" t="s">
        <v>19</v>
      </c>
      <c r="I417">
        <f t="shared" ref="I417" si="111">STDEVP(C401:C420)</f>
        <v>2.2502566220499237E-3</v>
      </c>
    </row>
    <row r="418" spans="1:9" x14ac:dyDescent="0.25">
      <c r="A418">
        <v>959.37523629489999</v>
      </c>
      <c r="B418">
        <v>985.11720226845</v>
      </c>
      <c r="C418" s="1">
        <f t="shared" si="102"/>
        <v>2.6832010041206944E-2</v>
      </c>
      <c r="D418">
        <v>12.998088867653999</v>
      </c>
      <c r="E418">
        <v>0.36721476870629999</v>
      </c>
      <c r="F418">
        <v>22</v>
      </c>
      <c r="H418" t="s">
        <v>20</v>
      </c>
      <c r="I418">
        <f t="shared" ref="I418" si="112">STDEVP(D401:D420)</f>
        <v>0.13591801690921754</v>
      </c>
    </row>
    <row r="419" spans="1:9" x14ac:dyDescent="0.25">
      <c r="A419">
        <v>953.61720226842999</v>
      </c>
      <c r="B419">
        <v>981.99810964084998</v>
      </c>
      <c r="C419" s="1">
        <f t="shared" si="102"/>
        <v>2.9761320690218751E-2</v>
      </c>
      <c r="D419">
        <v>12.821309125657001</v>
      </c>
      <c r="E419">
        <v>0.36411456245839002</v>
      </c>
      <c r="F419">
        <v>22</v>
      </c>
      <c r="H419" t="s">
        <v>21</v>
      </c>
      <c r="I419">
        <f t="shared" ref="I419" si="113">STDEVP(E401:E420)</f>
        <v>4.2165106037275347E-3</v>
      </c>
    </row>
    <row r="420" spans="1:9" x14ac:dyDescent="0.25">
      <c r="A420">
        <v>951.94234404536996</v>
      </c>
      <c r="B420">
        <v>978.71455576562005</v>
      </c>
      <c r="C420" s="1">
        <f t="shared" si="102"/>
        <v>2.8123774394233747E-2</v>
      </c>
      <c r="D420">
        <v>12.741041567129001</v>
      </c>
      <c r="E420">
        <v>0.36161596655188</v>
      </c>
      <c r="F420">
        <v>23</v>
      </c>
      <c r="H420" t="s">
        <v>22</v>
      </c>
      <c r="I420">
        <f t="shared" ref="I420" si="114">STDEVP(F401:F420)</f>
        <v>0.50990195135927852</v>
      </c>
    </row>
    <row r="421" spans="1:9" x14ac:dyDescent="0.25">
      <c r="C421" s="1" t="str">
        <f t="shared" si="102"/>
        <v/>
      </c>
    </row>
    <row r="422" spans="1:9" x14ac:dyDescent="0.25">
      <c r="A422">
        <v>819.59122085048</v>
      </c>
      <c r="B422">
        <v>887.69272976680998</v>
      </c>
      <c r="C422" s="1">
        <f t="shared" si="102"/>
        <v>8.3092042940213329E-2</v>
      </c>
      <c r="D422">
        <v>12.159544159544</v>
      </c>
      <c r="E422">
        <v>0.40168764634718002</v>
      </c>
      <c r="F422">
        <v>21</v>
      </c>
    </row>
    <row r="423" spans="1:9" x14ac:dyDescent="0.25">
      <c r="A423">
        <v>824.45267489712</v>
      </c>
      <c r="B423">
        <v>882.33196159122997</v>
      </c>
      <c r="C423" s="1">
        <f t="shared" si="102"/>
        <v>7.0203285714771191E-2</v>
      </c>
      <c r="D423">
        <v>12.42735042735</v>
      </c>
      <c r="E423">
        <v>0.41021419730281</v>
      </c>
      <c r="F423">
        <v>21</v>
      </c>
    </row>
    <row r="424" spans="1:9" x14ac:dyDescent="0.25">
      <c r="A424">
        <v>842.48010973937005</v>
      </c>
      <c r="B424">
        <v>869.04526748972</v>
      </c>
      <c r="C424" s="1">
        <f t="shared" si="102"/>
        <v>3.1532088939842273E-2</v>
      </c>
      <c r="D424">
        <v>12.621082621083</v>
      </c>
      <c r="E424">
        <v>0.40685221398427002</v>
      </c>
      <c r="F424">
        <v>22</v>
      </c>
    </row>
    <row r="425" spans="1:9" x14ac:dyDescent="0.25">
      <c r="A425">
        <v>835.46776406035997</v>
      </c>
      <c r="B425">
        <v>874.08779149520001</v>
      </c>
      <c r="C425" s="1">
        <f t="shared" si="102"/>
        <v>4.622563442441785E-2</v>
      </c>
      <c r="D425">
        <v>12.210826210825999</v>
      </c>
      <c r="E425">
        <v>0.39256396338159999</v>
      </c>
      <c r="F425">
        <v>21</v>
      </c>
    </row>
    <row r="426" spans="1:9" x14ac:dyDescent="0.25">
      <c r="A426">
        <v>811.42386831275996</v>
      </c>
      <c r="B426">
        <v>867.34979423869004</v>
      </c>
      <c r="C426" s="1">
        <f t="shared" si="102"/>
        <v>6.8923195520757874E-2</v>
      </c>
      <c r="D426">
        <v>12.239316239316</v>
      </c>
      <c r="E426">
        <v>0.41028143847273002</v>
      </c>
      <c r="F426">
        <v>21</v>
      </c>
    </row>
    <row r="427" spans="1:9" x14ac:dyDescent="0.25">
      <c r="A427">
        <v>846.60631001371996</v>
      </c>
      <c r="B427">
        <v>895.19341563785997</v>
      </c>
      <c r="C427" s="1">
        <f t="shared" si="102"/>
        <v>5.7390436439521242E-2</v>
      </c>
      <c r="D427">
        <v>12.866096866096999</v>
      </c>
      <c r="E427">
        <v>0.41595953812559999</v>
      </c>
      <c r="F427">
        <v>22</v>
      </c>
    </row>
    <row r="428" spans="1:9" x14ac:dyDescent="0.25">
      <c r="A428">
        <v>838.41700960218998</v>
      </c>
      <c r="B428">
        <v>890.56241426611996</v>
      </c>
      <c r="C428" s="1">
        <f t="shared" si="102"/>
        <v>6.2195070074582359E-2</v>
      </c>
      <c r="D428">
        <v>12.575498575498999</v>
      </c>
      <c r="E428">
        <v>0.40726045741914002</v>
      </c>
      <c r="F428">
        <v>21</v>
      </c>
    </row>
    <row r="429" spans="1:9" x14ac:dyDescent="0.25">
      <c r="A429">
        <v>843.79423868312995</v>
      </c>
      <c r="B429">
        <v>877.84910836763004</v>
      </c>
      <c r="C429" s="1">
        <f t="shared" si="102"/>
        <v>4.0359210958406111E-2</v>
      </c>
      <c r="D429">
        <v>12.854700854701001</v>
      </c>
      <c r="E429">
        <v>0.41662014161657002</v>
      </c>
      <c r="F429">
        <v>21</v>
      </c>
    </row>
    <row r="430" spans="1:9" x14ac:dyDescent="0.25">
      <c r="A430">
        <v>831.04526748971</v>
      </c>
      <c r="B430">
        <v>875.44581618656002</v>
      </c>
      <c r="C430" s="1">
        <f t="shared" si="102"/>
        <v>5.3427352797481342E-2</v>
      </c>
      <c r="D430">
        <v>12.273504273504001</v>
      </c>
      <c r="E430">
        <v>0.39880111087011999</v>
      </c>
      <c r="F430">
        <v>21</v>
      </c>
    </row>
    <row r="431" spans="1:9" x14ac:dyDescent="0.25">
      <c r="A431">
        <v>836.03292181070003</v>
      </c>
      <c r="B431">
        <v>890.09053497943</v>
      </c>
      <c r="C431" s="1">
        <f t="shared" si="102"/>
        <v>6.4659670401077785E-2</v>
      </c>
      <c r="D431">
        <v>12.478632478632001</v>
      </c>
      <c r="E431">
        <v>0.4051093698646</v>
      </c>
      <c r="F431">
        <v>21</v>
      </c>
    </row>
    <row r="432" spans="1:9" x14ac:dyDescent="0.25">
      <c r="A432">
        <v>828.79286694100995</v>
      </c>
      <c r="B432">
        <v>882.28257887517998</v>
      </c>
      <c r="C432" s="1">
        <f t="shared" si="102"/>
        <v>6.4539300551168077E-2</v>
      </c>
      <c r="D432">
        <v>12.706552706553</v>
      </c>
      <c r="E432">
        <v>0.42034214317143997</v>
      </c>
      <c r="F432">
        <v>22</v>
      </c>
    </row>
    <row r="433" spans="1:9" x14ac:dyDescent="0.25">
      <c r="A433">
        <v>818.41152263373999</v>
      </c>
      <c r="B433">
        <v>874.63923182441999</v>
      </c>
      <c r="C433" s="1">
        <f t="shared" si="102"/>
        <v>6.8703467186939093E-2</v>
      </c>
      <c r="D433">
        <v>12.136752136751999</v>
      </c>
      <c r="E433">
        <v>0.40158166681798002</v>
      </c>
      <c r="F433">
        <v>21</v>
      </c>
    </row>
    <row r="434" spans="1:9" x14ac:dyDescent="0.25">
      <c r="A434">
        <v>796.10699588476996</v>
      </c>
      <c r="B434">
        <v>858.03017832648004</v>
      </c>
      <c r="C434" s="1">
        <f t="shared" si="102"/>
        <v>7.7782487481962814E-2</v>
      </c>
      <c r="D434">
        <v>11.555555555555999</v>
      </c>
      <c r="E434">
        <v>0.3886736361698</v>
      </c>
      <c r="F434">
        <v>21</v>
      </c>
    </row>
    <row r="435" spans="1:9" x14ac:dyDescent="0.25">
      <c r="A435">
        <v>835.98079561043005</v>
      </c>
      <c r="B435">
        <v>881.75582990398004</v>
      </c>
      <c r="C435" s="1">
        <f t="shared" si="102"/>
        <v>5.4756083553480606E-2</v>
      </c>
      <c r="D435">
        <v>12.233618233617999</v>
      </c>
      <c r="E435">
        <v>0.39432203918974001</v>
      </c>
      <c r="F435">
        <v>21</v>
      </c>
    </row>
    <row r="436" spans="1:9" x14ac:dyDescent="0.25">
      <c r="A436">
        <v>828.33470507544996</v>
      </c>
      <c r="B436">
        <v>885.75857338821004</v>
      </c>
      <c r="C436" s="1">
        <f t="shared" si="102"/>
        <v>6.9324474709205219E-2</v>
      </c>
      <c r="D436">
        <v>12.455840455840001</v>
      </c>
      <c r="E436">
        <v>0.40799686180550998</v>
      </c>
      <c r="F436">
        <v>22</v>
      </c>
      <c r="H436" t="s">
        <v>17</v>
      </c>
      <c r="I436">
        <f t="shared" ref="I436" si="115">STDEVP(A422:A441)</f>
        <v>12.939928743481282</v>
      </c>
    </row>
    <row r="437" spans="1:9" x14ac:dyDescent="0.25">
      <c r="A437">
        <v>837.57475994513004</v>
      </c>
      <c r="B437">
        <v>886.32921810699997</v>
      </c>
      <c r="C437" s="1">
        <f t="shared" si="102"/>
        <v>5.82090823332162E-2</v>
      </c>
      <c r="D437">
        <v>12.381766381766001</v>
      </c>
      <c r="E437">
        <v>0.39965088884312999</v>
      </c>
      <c r="F437">
        <v>21</v>
      </c>
      <c r="H437" t="s">
        <v>18</v>
      </c>
      <c r="I437">
        <f t="shared" ref="I437" si="116">STDEVP(B422:B441)</f>
        <v>8.7649230624720005</v>
      </c>
    </row>
    <row r="438" spans="1:9" x14ac:dyDescent="0.25">
      <c r="A438">
        <v>823.42112482852997</v>
      </c>
      <c r="B438">
        <v>879.17695473252002</v>
      </c>
      <c r="C438" s="1">
        <f t="shared" si="102"/>
        <v>6.7712411332172984E-2</v>
      </c>
      <c r="D438">
        <v>12.404558404557999</v>
      </c>
      <c r="E438">
        <v>0.41036758096159998</v>
      </c>
      <c r="F438">
        <v>21</v>
      </c>
      <c r="H438" t="s">
        <v>19</v>
      </c>
      <c r="I438">
        <f t="shared" ref="I438" si="117">STDEVP(C422:C441)</f>
        <v>1.2794067931582321E-2</v>
      </c>
    </row>
    <row r="439" spans="1:9" x14ac:dyDescent="0.25">
      <c r="A439">
        <v>851.34979423868003</v>
      </c>
      <c r="B439">
        <v>889.16872427984003</v>
      </c>
      <c r="C439" s="1">
        <f t="shared" si="102"/>
        <v>4.442231653439177E-2</v>
      </c>
      <c r="D439">
        <v>12.547008547009</v>
      </c>
      <c r="E439">
        <v>0.39774166059590998</v>
      </c>
      <c r="F439">
        <v>21</v>
      </c>
      <c r="H439" t="s">
        <v>20</v>
      </c>
      <c r="I439">
        <f t="shared" ref="I439" si="118">STDEVP(D422:D441)</f>
        <v>0.28505565563992064</v>
      </c>
    </row>
    <row r="440" spans="1:9" x14ac:dyDescent="0.25">
      <c r="A440">
        <v>844.0438957476</v>
      </c>
      <c r="B440">
        <v>883.91769547324998</v>
      </c>
      <c r="C440" s="1">
        <f t="shared" si="102"/>
        <v>4.7241381552001194E-2</v>
      </c>
      <c r="D440">
        <v>12.433048433048</v>
      </c>
      <c r="E440">
        <v>0.39796644662060998</v>
      </c>
      <c r="F440">
        <v>22</v>
      </c>
      <c r="H440" t="s">
        <v>21</v>
      </c>
      <c r="I440">
        <f t="shared" ref="I440" si="119">STDEVP(E422:E441)</f>
        <v>8.1699208713368106E-3</v>
      </c>
    </row>
    <row r="441" spans="1:9" x14ac:dyDescent="0.25">
      <c r="A441">
        <v>823.51440329217996</v>
      </c>
      <c r="B441">
        <v>881.12757201647003</v>
      </c>
      <c r="C441" s="1">
        <f t="shared" si="102"/>
        <v>6.9960122730056362E-2</v>
      </c>
      <c r="D441">
        <v>12.17094017094</v>
      </c>
      <c r="E441">
        <v>0.39957485192070002</v>
      </c>
      <c r="F441">
        <v>21</v>
      </c>
      <c r="H441" t="s">
        <v>22</v>
      </c>
      <c r="I441">
        <f t="shared" ref="I441" si="120">STDEVP(F422:F441)</f>
        <v>0.4330127018922193</v>
      </c>
    </row>
    <row r="442" spans="1:9" x14ac:dyDescent="0.25">
      <c r="C442" s="1" t="str">
        <f t="shared" si="102"/>
        <v/>
      </c>
    </row>
    <row r="443" spans="1:9" x14ac:dyDescent="0.25">
      <c r="A443">
        <v>2604.7033976124999</v>
      </c>
      <c r="B443">
        <v>2659.5610651973998</v>
      </c>
      <c r="C443" s="1">
        <f t="shared" si="102"/>
        <v>2.10610035811305E-2</v>
      </c>
      <c r="D443">
        <v>16.439393939394002</v>
      </c>
      <c r="E443">
        <v>0.13951469012029999</v>
      </c>
      <c r="F443">
        <v>39</v>
      </c>
    </row>
    <row r="444" spans="1:9" x14ac:dyDescent="0.25">
      <c r="A444">
        <v>2600.9146005510001</v>
      </c>
      <c r="B444">
        <v>2671.7998163451998</v>
      </c>
      <c r="C444" s="1">
        <f t="shared" si="102"/>
        <v>2.7253957426815356E-2</v>
      </c>
      <c r="D444">
        <v>16.590909090909001</v>
      </c>
      <c r="E444">
        <v>0.14129770279216</v>
      </c>
      <c r="F444">
        <v>43</v>
      </c>
    </row>
    <row r="445" spans="1:9" x14ac:dyDescent="0.25">
      <c r="A445">
        <v>2595.1386593205002</v>
      </c>
      <c r="B445">
        <v>2681.6932966023001</v>
      </c>
      <c r="C445" s="1">
        <f t="shared" si="102"/>
        <v>3.3352606023935083E-2</v>
      </c>
      <c r="D445">
        <v>16.621212121212</v>
      </c>
      <c r="E445">
        <v>0.14195058020324999</v>
      </c>
      <c r="F445">
        <v>41</v>
      </c>
    </row>
    <row r="446" spans="1:9" x14ac:dyDescent="0.25">
      <c r="A446">
        <v>2592.3434343434001</v>
      </c>
      <c r="B446">
        <v>2673.2653810835</v>
      </c>
      <c r="C446" s="1">
        <f t="shared" si="102"/>
        <v>3.1215750840743128E-2</v>
      </c>
      <c r="D446">
        <v>16.458333333333002</v>
      </c>
      <c r="E446">
        <v>0.14046197468509999</v>
      </c>
      <c r="F446">
        <v>42</v>
      </c>
    </row>
    <row r="447" spans="1:9" x14ac:dyDescent="0.25">
      <c r="A447">
        <v>2594.1891643710001</v>
      </c>
      <c r="B447">
        <v>2675.0853994489999</v>
      </c>
      <c r="C447" s="1">
        <f t="shared" si="102"/>
        <v>3.1183630010116925E-2</v>
      </c>
      <c r="D447">
        <v>16.412878787878999</v>
      </c>
      <c r="E447">
        <v>0.13995049046804001</v>
      </c>
      <c r="F447">
        <v>42</v>
      </c>
    </row>
    <row r="448" spans="1:9" x14ac:dyDescent="0.25">
      <c r="A448">
        <v>2580.7272727272998</v>
      </c>
      <c r="B448">
        <v>2655.1496786041998</v>
      </c>
      <c r="C448" s="1">
        <f t="shared" si="102"/>
        <v>2.8837764712057679E-2</v>
      </c>
      <c r="D448">
        <v>16.5</v>
      </c>
      <c r="E448">
        <v>0.14159217229849999</v>
      </c>
      <c r="F448">
        <v>39</v>
      </c>
    </row>
    <row r="449" spans="1:9" x14ac:dyDescent="0.25">
      <c r="A449">
        <v>2584.7915518824998</v>
      </c>
      <c r="B449">
        <v>2653.9375573921002</v>
      </c>
      <c r="C449" s="1">
        <f t="shared" si="102"/>
        <v>2.6751095444907946E-2</v>
      </c>
      <c r="D449">
        <v>16.393939393939</v>
      </c>
      <c r="E449">
        <v>0.14037580514097001</v>
      </c>
      <c r="F449">
        <v>41</v>
      </c>
    </row>
    <row r="450" spans="1:9" x14ac:dyDescent="0.25">
      <c r="A450">
        <v>2593.6400367309002</v>
      </c>
      <c r="B450">
        <v>2658.1303948576001</v>
      </c>
      <c r="C450" s="1">
        <f t="shared" ref="C450:C513" si="121">IFERROR((B450/A450)-1,"")</f>
        <v>2.4864806686121899E-2</v>
      </c>
      <c r="D450">
        <v>16.393939393939</v>
      </c>
      <c r="E450">
        <v>0.1397747132253</v>
      </c>
      <c r="F450">
        <v>42</v>
      </c>
    </row>
    <row r="451" spans="1:9" x14ac:dyDescent="0.25">
      <c r="A451">
        <v>2591.5114784205998</v>
      </c>
      <c r="B451">
        <v>2670.4389348025002</v>
      </c>
      <c r="C451" s="1">
        <f t="shared" si="121"/>
        <v>3.0456147711142911E-2</v>
      </c>
      <c r="D451">
        <v>16.231060606061</v>
      </c>
      <c r="E451">
        <v>0.13829697280625999</v>
      </c>
      <c r="F451">
        <v>41</v>
      </c>
    </row>
    <row r="452" spans="1:9" x14ac:dyDescent="0.25">
      <c r="A452">
        <v>2618.3636363636001</v>
      </c>
      <c r="B452">
        <v>2664.8741965105</v>
      </c>
      <c r="C452" s="1">
        <f t="shared" si="121"/>
        <v>1.7763216499406598E-2</v>
      </c>
      <c r="D452">
        <v>16.75</v>
      </c>
      <c r="E452">
        <v>0.14168609456705</v>
      </c>
      <c r="F452">
        <v>43</v>
      </c>
    </row>
    <row r="453" spans="1:9" x14ac:dyDescent="0.25">
      <c r="A453">
        <v>2607.0780532599001</v>
      </c>
      <c r="B453">
        <v>2682.8191000918</v>
      </c>
      <c r="C453" s="1">
        <f t="shared" si="121"/>
        <v>2.905208255548497E-2</v>
      </c>
      <c r="D453">
        <v>16.746212121212</v>
      </c>
      <c r="E453">
        <v>0.14239559255063</v>
      </c>
      <c r="F453">
        <v>41</v>
      </c>
    </row>
    <row r="454" spans="1:9" x14ac:dyDescent="0.25">
      <c r="A454">
        <v>2613.1772268136001</v>
      </c>
      <c r="B454">
        <v>2676.1193755739</v>
      </c>
      <c r="C454" s="1">
        <f t="shared" si="121"/>
        <v>2.4086444698222298E-2</v>
      </c>
      <c r="D454">
        <v>16.507575757575999</v>
      </c>
      <c r="E454">
        <v>0.13971767325598</v>
      </c>
      <c r="F454">
        <v>41</v>
      </c>
    </row>
    <row r="455" spans="1:9" x14ac:dyDescent="0.25">
      <c r="A455">
        <v>2597.7024793388</v>
      </c>
      <c r="B455">
        <v>2663.1790633608998</v>
      </c>
      <c r="C455" s="1">
        <f t="shared" si="121"/>
        <v>2.5205574750333026E-2</v>
      </c>
      <c r="D455">
        <v>16.215909090909001</v>
      </c>
      <c r="E455">
        <v>0.13784291477980001</v>
      </c>
      <c r="F455">
        <v>43</v>
      </c>
    </row>
    <row r="456" spans="1:9" x14ac:dyDescent="0.25">
      <c r="A456">
        <v>2600.536271809</v>
      </c>
      <c r="B456">
        <v>2670.8429752065999</v>
      </c>
      <c r="C456" s="1">
        <f t="shared" si="121"/>
        <v>2.7035463477189881E-2</v>
      </c>
      <c r="D456">
        <v>16.890151515151999</v>
      </c>
      <c r="E456">
        <v>0.14421054061783001</v>
      </c>
      <c r="F456">
        <v>41</v>
      </c>
    </row>
    <row r="457" spans="1:9" x14ac:dyDescent="0.25">
      <c r="A457">
        <v>2596.5344352616999</v>
      </c>
      <c r="B457">
        <v>2655.4233241505999</v>
      </c>
      <c r="C457" s="1">
        <f t="shared" si="121"/>
        <v>2.2679802774487223E-2</v>
      </c>
      <c r="D457">
        <v>16.193181818182001</v>
      </c>
      <c r="E457">
        <v>0.13762211345913</v>
      </c>
      <c r="F457">
        <v>42</v>
      </c>
      <c r="H457" t="s">
        <v>17</v>
      </c>
      <c r="I457">
        <f t="shared" ref="I457" si="122">STDEVP(A443:A462)</f>
        <v>9.7955696829931576</v>
      </c>
    </row>
    <row r="458" spans="1:9" x14ac:dyDescent="0.25">
      <c r="A458">
        <v>2601.9871441690002</v>
      </c>
      <c r="B458">
        <v>2675.6841138659001</v>
      </c>
      <c r="C458" s="1">
        <f t="shared" si="121"/>
        <v>2.8323341205606312E-2</v>
      </c>
      <c r="D458">
        <v>16.371212121212</v>
      </c>
      <c r="E458">
        <v>0.13909881351132</v>
      </c>
      <c r="F458">
        <v>42</v>
      </c>
      <c r="H458" t="s">
        <v>18</v>
      </c>
      <c r="I458">
        <f t="shared" ref="I458" si="123">STDEVP(B443:B462)</f>
        <v>8.5420521679976069</v>
      </c>
    </row>
    <row r="459" spans="1:9" x14ac:dyDescent="0.25">
      <c r="A459">
        <v>2605.3112947658001</v>
      </c>
      <c r="B459">
        <v>2668.3177226813</v>
      </c>
      <c r="C459" s="1">
        <f t="shared" si="121"/>
        <v>2.4183838623078602E-2</v>
      </c>
      <c r="D459">
        <v>16.511363636363999</v>
      </c>
      <c r="E459">
        <v>0.14020957944609999</v>
      </c>
      <c r="F459">
        <v>42</v>
      </c>
      <c r="H459" t="s">
        <v>19</v>
      </c>
      <c r="I459">
        <f t="shared" ref="I459" si="124">STDEVP(C443:C462)</f>
        <v>4.1381854573783912E-3</v>
      </c>
    </row>
    <row r="460" spans="1:9" x14ac:dyDescent="0.25">
      <c r="A460">
        <v>2580.9054178145002</v>
      </c>
      <c r="B460">
        <v>2665.3002754821</v>
      </c>
      <c r="C460" s="1">
        <f t="shared" si="121"/>
        <v>3.2699709599999682E-2</v>
      </c>
      <c r="D460">
        <v>16.231060606061</v>
      </c>
      <c r="E460">
        <v>0.13909623526876</v>
      </c>
      <c r="F460">
        <v>42</v>
      </c>
      <c r="H460" t="s">
        <v>20</v>
      </c>
      <c r="I460">
        <f t="shared" ref="I460" si="125">STDEVP(D443:D462)</f>
        <v>0.19632981728036672</v>
      </c>
    </row>
    <row r="461" spans="1:9" x14ac:dyDescent="0.25">
      <c r="A461">
        <v>2611.4545454545</v>
      </c>
      <c r="B461">
        <v>2667.0229568411</v>
      </c>
      <c r="C461" s="1">
        <f t="shared" si="121"/>
        <v>2.1278720505904403E-2</v>
      </c>
      <c r="D461">
        <v>16.375</v>
      </c>
      <c r="E461">
        <v>0.13860785116589</v>
      </c>
      <c r="F461">
        <v>41</v>
      </c>
      <c r="H461" t="s">
        <v>21</v>
      </c>
      <c r="I461">
        <f t="shared" ref="I461" si="126">STDEVP(E443:E462)</f>
        <v>1.7422467106059168E-3</v>
      </c>
    </row>
    <row r="462" spans="1:9" x14ac:dyDescent="0.25">
      <c r="A462">
        <v>2600.1193755739</v>
      </c>
      <c r="B462">
        <v>2658.0679522496998</v>
      </c>
      <c r="C462" s="1">
        <f t="shared" si="121"/>
        <v>2.2286890832852402E-2</v>
      </c>
      <c r="D462">
        <v>16.803030303029999</v>
      </c>
      <c r="E462">
        <v>0.14336613060434</v>
      </c>
      <c r="F462">
        <v>43</v>
      </c>
      <c r="H462" t="s">
        <v>22</v>
      </c>
      <c r="I462">
        <f t="shared" ref="I462" si="127">STDEVP(F443:F462)</f>
        <v>1.1169153951844339</v>
      </c>
    </row>
    <row r="463" spans="1:9" x14ac:dyDescent="0.25">
      <c r="C463" s="1" t="str">
        <f t="shared" si="121"/>
        <v/>
      </c>
    </row>
    <row r="464" spans="1:9" x14ac:dyDescent="0.25">
      <c r="A464">
        <v>1835.0888888889001</v>
      </c>
      <c r="B464">
        <v>1876.6555555555001</v>
      </c>
      <c r="C464" s="1">
        <f t="shared" si="121"/>
        <v>2.2651037188595069E-2</v>
      </c>
      <c r="D464">
        <v>16.414689265537</v>
      </c>
      <c r="E464">
        <v>0.21377655863589001</v>
      </c>
      <c r="F464">
        <v>79</v>
      </c>
    </row>
    <row r="465" spans="1:9" x14ac:dyDescent="0.25">
      <c r="A465">
        <v>1824.0555555556</v>
      </c>
      <c r="B465">
        <v>1878.8333333333001</v>
      </c>
      <c r="C465" s="1">
        <f t="shared" si="121"/>
        <v>3.0030761733578215E-2</v>
      </c>
      <c r="D465">
        <v>16.468926553671999</v>
      </c>
      <c r="E465">
        <v>0.21620568660681</v>
      </c>
      <c r="F465">
        <v>102</v>
      </c>
    </row>
    <row r="466" spans="1:9" x14ac:dyDescent="0.25">
      <c r="A466">
        <v>1819.0888888889001</v>
      </c>
      <c r="B466">
        <v>1867.1111111110999</v>
      </c>
      <c r="C466" s="1">
        <f t="shared" si="121"/>
        <v>2.6399052028475589E-2</v>
      </c>
      <c r="D466">
        <v>16.106214689266</v>
      </c>
      <c r="E466">
        <v>0.21108972128067999</v>
      </c>
      <c r="F466">
        <v>115</v>
      </c>
    </row>
    <row r="467" spans="1:9" x14ac:dyDescent="0.25">
      <c r="A467">
        <v>1804.2666666667001</v>
      </c>
      <c r="B467">
        <v>1861.7555555555</v>
      </c>
      <c r="C467" s="1">
        <f t="shared" si="121"/>
        <v>3.1862745097989364E-2</v>
      </c>
      <c r="D467">
        <v>16.257627118643999</v>
      </c>
      <c r="E467">
        <v>0.21571817089079001</v>
      </c>
      <c r="F467">
        <v>83</v>
      </c>
    </row>
    <row r="468" spans="1:9" x14ac:dyDescent="0.25">
      <c r="A468">
        <v>1822.9888888889</v>
      </c>
      <c r="B468">
        <v>1865.5444444443999</v>
      </c>
      <c r="C468" s="1">
        <f t="shared" si="121"/>
        <v>2.3343837044139892E-2</v>
      </c>
      <c r="D468">
        <v>15.940112994350001</v>
      </c>
      <c r="E468">
        <v>0.20788402207334999</v>
      </c>
      <c r="F468">
        <v>86</v>
      </c>
    </row>
    <row r="469" spans="1:9" x14ac:dyDescent="0.25">
      <c r="A469">
        <v>1823.9666666666999</v>
      </c>
      <c r="B469">
        <v>1873.0777777777</v>
      </c>
      <c r="C469" s="1">
        <f t="shared" si="121"/>
        <v>2.6925443325535481E-2</v>
      </c>
      <c r="D469">
        <v>16.115254237287999</v>
      </c>
      <c r="E469">
        <v>0.21049078293129</v>
      </c>
      <c r="F469">
        <v>95</v>
      </c>
    </row>
    <row r="470" spans="1:9" x14ac:dyDescent="0.25">
      <c r="A470">
        <v>1828.9222222221999</v>
      </c>
      <c r="B470">
        <v>1865.7444444444</v>
      </c>
      <c r="C470" s="1">
        <f t="shared" si="121"/>
        <v>2.013329040174261E-2</v>
      </c>
      <c r="D470">
        <v>16.011299435028</v>
      </c>
      <c r="E470">
        <v>0.20832868646951999</v>
      </c>
      <c r="F470">
        <v>89</v>
      </c>
    </row>
    <row r="471" spans="1:9" x14ac:dyDescent="0.25">
      <c r="A471">
        <v>1827.6888888889</v>
      </c>
      <c r="B471">
        <v>1877.9111111110999</v>
      </c>
      <c r="C471" s="1">
        <f t="shared" si="121"/>
        <v>2.7478539989774342E-2</v>
      </c>
      <c r="D471">
        <v>16.174011299435001</v>
      </c>
      <c r="E471">
        <v>0.21104709588324</v>
      </c>
      <c r="F471">
        <v>74</v>
      </c>
    </row>
    <row r="472" spans="1:9" x14ac:dyDescent="0.25">
      <c r="A472">
        <v>1823.2888888888999</v>
      </c>
      <c r="B472">
        <v>1859</v>
      </c>
      <c r="C472" s="1">
        <f t="shared" si="121"/>
        <v>1.958609594383165E-2</v>
      </c>
      <c r="D472">
        <v>16.350282485876001</v>
      </c>
      <c r="E472">
        <v>0.21440604471492</v>
      </c>
      <c r="F472">
        <v>92</v>
      </c>
    </row>
    <row r="473" spans="1:9" x14ac:dyDescent="0.25">
      <c r="A473">
        <v>1833.8333333333001</v>
      </c>
      <c r="B473">
        <v>1876.2888888888001</v>
      </c>
      <c r="C473" s="1">
        <f t="shared" si="121"/>
        <v>2.3151261777061283E-2</v>
      </c>
      <c r="D473">
        <v>16.545762711864</v>
      </c>
      <c r="E473">
        <v>0.21594461660521999</v>
      </c>
      <c r="F473">
        <v>109</v>
      </c>
    </row>
    <row r="474" spans="1:9" x14ac:dyDescent="0.25">
      <c r="A474">
        <v>1821.4</v>
      </c>
      <c r="B474">
        <v>1874.3888888889001</v>
      </c>
      <c r="C474" s="1">
        <f t="shared" si="121"/>
        <v>2.9092395349127109E-2</v>
      </c>
      <c r="D474">
        <v>16.416949152541999</v>
      </c>
      <c r="E474">
        <v>0.21580666033543999</v>
      </c>
      <c r="F474">
        <v>80</v>
      </c>
    </row>
    <row r="475" spans="1:9" x14ac:dyDescent="0.25">
      <c r="A475">
        <v>1833.7111111111001</v>
      </c>
      <c r="B475">
        <v>1870.2666666666</v>
      </c>
      <c r="C475" s="1">
        <f t="shared" si="121"/>
        <v>1.9935286062235713E-2</v>
      </c>
      <c r="D475">
        <v>16.066666666667</v>
      </c>
      <c r="E475">
        <v>0.20834223502241001</v>
      </c>
      <c r="F475">
        <v>82</v>
      </c>
    </row>
    <row r="476" spans="1:9" x14ac:dyDescent="0.25">
      <c r="A476">
        <v>1823.7111111111001</v>
      </c>
      <c r="B476">
        <v>1869.2777777777001</v>
      </c>
      <c r="C476" s="1">
        <f t="shared" si="121"/>
        <v>2.4985682430173073E-2</v>
      </c>
      <c r="D476">
        <v>16.571751412428998</v>
      </c>
      <c r="E476">
        <v>0.21776735747369</v>
      </c>
      <c r="F476">
        <v>82</v>
      </c>
    </row>
    <row r="477" spans="1:9" x14ac:dyDescent="0.25">
      <c r="A477">
        <v>1821.5222222222001</v>
      </c>
      <c r="B477">
        <v>1870.0777777777</v>
      </c>
      <c r="C477" s="1">
        <f t="shared" si="121"/>
        <v>2.6656581491640408E-2</v>
      </c>
      <c r="D477">
        <v>16.119774011299</v>
      </c>
      <c r="E477">
        <v>0.21105908658302</v>
      </c>
      <c r="F477">
        <v>87</v>
      </c>
    </row>
    <row r="478" spans="1:9" x14ac:dyDescent="0.25">
      <c r="A478">
        <v>1820.6222222222</v>
      </c>
      <c r="B478">
        <v>1879.2555555555</v>
      </c>
      <c r="C478" s="1">
        <f t="shared" si="121"/>
        <v>3.2205106923134164E-2</v>
      </c>
      <c r="D478">
        <v>16.245197740112999</v>
      </c>
      <c r="E478">
        <v>0.21303690661724001</v>
      </c>
      <c r="F478">
        <v>85</v>
      </c>
      <c r="H478" t="s">
        <v>17</v>
      </c>
      <c r="I478">
        <f t="shared" ref="I478" si="128">STDEVP(A464:A483)</f>
        <v>7.42888257386182</v>
      </c>
    </row>
    <row r="479" spans="1:9" x14ac:dyDescent="0.25">
      <c r="A479">
        <v>1817.3888888889001</v>
      </c>
      <c r="B479">
        <v>1865.6777777776999</v>
      </c>
      <c r="C479" s="1">
        <f t="shared" si="121"/>
        <v>2.6570476568898993E-2</v>
      </c>
      <c r="D479">
        <v>16.004519774011001</v>
      </c>
      <c r="E479">
        <v>0.20974667113923001</v>
      </c>
      <c r="F479">
        <v>84</v>
      </c>
      <c r="H479" t="s">
        <v>18</v>
      </c>
      <c r="I479">
        <f t="shared" ref="I479" si="129">STDEVP(B464:B483)</f>
        <v>6.3285326834876248</v>
      </c>
    </row>
    <row r="480" spans="1:9" x14ac:dyDescent="0.25">
      <c r="A480">
        <v>1815.8888888889001</v>
      </c>
      <c r="B480">
        <v>1866.4666666666001</v>
      </c>
      <c r="C480" s="1">
        <f t="shared" si="121"/>
        <v>2.7852903383668748E-2</v>
      </c>
      <c r="D480">
        <v>16.187570621469</v>
      </c>
      <c r="E480">
        <v>0.21283726255707</v>
      </c>
      <c r="F480">
        <v>80</v>
      </c>
      <c r="H480" t="s">
        <v>19</v>
      </c>
      <c r="I480">
        <f t="shared" ref="I480" si="130">STDEVP(C464:C483)</f>
        <v>3.7236683970183274E-3</v>
      </c>
    </row>
    <row r="481" spans="1:9" x14ac:dyDescent="0.25">
      <c r="A481">
        <v>1837.0666666667</v>
      </c>
      <c r="B481">
        <v>1882.3</v>
      </c>
      <c r="C481" s="1">
        <f t="shared" si="121"/>
        <v>2.4622586732453433E-2</v>
      </c>
      <c r="D481">
        <v>16.040677966101999</v>
      </c>
      <c r="E481">
        <v>0.20779739672014999</v>
      </c>
      <c r="F481">
        <v>95</v>
      </c>
      <c r="H481" t="s">
        <v>20</v>
      </c>
      <c r="I481">
        <f t="shared" ref="I481" si="131">STDEVP(D464:D483)</f>
        <v>0.18553743711880458</v>
      </c>
    </row>
    <row r="482" spans="1:9" x14ac:dyDescent="0.25">
      <c r="A482">
        <v>1818.7888888888999</v>
      </c>
      <c r="B482">
        <v>1867.8888888889001</v>
      </c>
      <c r="C482" s="1">
        <f t="shared" si="121"/>
        <v>2.6995986340116351E-2</v>
      </c>
      <c r="D482">
        <v>16.394350282485998</v>
      </c>
      <c r="E482">
        <v>0.21570348947845</v>
      </c>
      <c r="F482">
        <v>101</v>
      </c>
      <c r="H482" t="s">
        <v>21</v>
      </c>
      <c r="I482">
        <f t="shared" ref="I482" si="132">STDEVP(E464:E483)</f>
        <v>3.0718222066784232E-3</v>
      </c>
    </row>
    <row r="483" spans="1:9" x14ac:dyDescent="0.25">
      <c r="A483">
        <v>1826.2666666667001</v>
      </c>
      <c r="B483">
        <v>1863.2777777777001</v>
      </c>
      <c r="C483" s="1">
        <f t="shared" si="121"/>
        <v>2.0265994986675473E-2</v>
      </c>
      <c r="D483">
        <v>16.349152542373002</v>
      </c>
      <c r="E483">
        <v>0.21401990446242999</v>
      </c>
      <c r="F483">
        <v>79</v>
      </c>
      <c r="H483" t="s">
        <v>22</v>
      </c>
      <c r="I483">
        <f t="shared" ref="I483" si="133">STDEVP(F464:F483)</f>
        <v>10.594692067257075</v>
      </c>
    </row>
    <row r="484" spans="1:9" x14ac:dyDescent="0.25">
      <c r="C484" s="1" t="str">
        <f t="shared" si="121"/>
        <v/>
      </c>
    </row>
    <row r="485" spans="1:9" x14ac:dyDescent="0.25">
      <c r="A485">
        <v>685.63905325444</v>
      </c>
      <c r="B485">
        <v>718.51183431951995</v>
      </c>
      <c r="C485" s="1">
        <f t="shared" si="121"/>
        <v>4.7944732595155859E-2</v>
      </c>
      <c r="D485">
        <v>10.950226244344</v>
      </c>
      <c r="E485">
        <v>0.45811957984392998</v>
      </c>
      <c r="F485">
        <v>18</v>
      </c>
    </row>
    <row r="486" spans="1:9" x14ac:dyDescent="0.25">
      <c r="A486">
        <v>687.33727810650998</v>
      </c>
      <c r="B486">
        <v>721.51775147928004</v>
      </c>
      <c r="C486" s="1">
        <f t="shared" si="121"/>
        <v>4.9728822314033527E-2</v>
      </c>
      <c r="D486">
        <v>11.25641025641</v>
      </c>
      <c r="E486">
        <v>0.47486009341342</v>
      </c>
      <c r="F486">
        <v>18</v>
      </c>
    </row>
    <row r="487" spans="1:9" x14ac:dyDescent="0.25">
      <c r="A487">
        <v>678.13313609467002</v>
      </c>
      <c r="B487">
        <v>713.66272189348001</v>
      </c>
      <c r="C487" s="1">
        <f t="shared" si="121"/>
        <v>5.2393230632295618E-2</v>
      </c>
      <c r="D487">
        <v>10.800904977376</v>
      </c>
      <c r="E487">
        <v>0.45618545283216</v>
      </c>
      <c r="F487">
        <v>18</v>
      </c>
    </row>
    <row r="488" spans="1:9" x14ac:dyDescent="0.25">
      <c r="A488">
        <v>690.64497041419997</v>
      </c>
      <c r="B488">
        <v>715.66863905324999</v>
      </c>
      <c r="C488" s="1">
        <f t="shared" si="121"/>
        <v>3.6232318645631478E-2</v>
      </c>
      <c r="D488">
        <v>11.060331825038</v>
      </c>
      <c r="E488">
        <v>0.45991239089097002</v>
      </c>
      <c r="F488">
        <v>19</v>
      </c>
    </row>
    <row r="489" spans="1:9" x14ac:dyDescent="0.25">
      <c r="A489">
        <v>683.86390532543999</v>
      </c>
      <c r="B489">
        <v>717.48224852069995</v>
      </c>
      <c r="C489" s="1">
        <f t="shared" si="121"/>
        <v>4.9159405743547158E-2</v>
      </c>
      <c r="D489">
        <v>10.820512820513001</v>
      </c>
      <c r="E489">
        <v>0.45231699551162002</v>
      </c>
      <c r="F489">
        <v>18</v>
      </c>
    </row>
    <row r="490" spans="1:9" x14ac:dyDescent="0.25">
      <c r="A490">
        <v>675.01775147929004</v>
      </c>
      <c r="B490">
        <v>710.37869822484004</v>
      </c>
      <c r="C490" s="1">
        <f t="shared" si="121"/>
        <v>5.2385210119374026E-2</v>
      </c>
      <c r="D490">
        <v>10.683257918552</v>
      </c>
      <c r="E490">
        <v>0.45232503026460003</v>
      </c>
      <c r="F490">
        <v>18</v>
      </c>
    </row>
    <row r="491" spans="1:9" x14ac:dyDescent="0.25">
      <c r="A491">
        <v>686.08284023669</v>
      </c>
      <c r="B491">
        <v>714.07100591715005</v>
      </c>
      <c r="C491" s="1">
        <f t="shared" si="121"/>
        <v>4.0794149101301747E-2</v>
      </c>
      <c r="D491">
        <v>10.85520361991</v>
      </c>
      <c r="E491">
        <v>0.45231862367899001</v>
      </c>
      <c r="F491">
        <v>19</v>
      </c>
    </row>
    <row r="492" spans="1:9" x14ac:dyDescent="0.25">
      <c r="A492">
        <v>684.11538461537998</v>
      </c>
      <c r="B492">
        <v>715.10059171597004</v>
      </c>
      <c r="C492" s="1">
        <f t="shared" si="121"/>
        <v>4.5292369967692592E-2</v>
      </c>
      <c r="D492">
        <v>11.039215686275</v>
      </c>
      <c r="E492">
        <v>0.46503121667290997</v>
      </c>
      <c r="F492">
        <v>17</v>
      </c>
    </row>
    <row r="493" spans="1:9" x14ac:dyDescent="0.25">
      <c r="A493">
        <v>682.49408284024003</v>
      </c>
      <c r="B493">
        <v>712.22189349112</v>
      </c>
      <c r="C493" s="1">
        <f t="shared" si="121"/>
        <v>4.3557609360019622E-2</v>
      </c>
      <c r="D493">
        <v>10.968325791854999</v>
      </c>
      <c r="E493">
        <v>0.46207819690495999</v>
      </c>
      <c r="F493">
        <v>18</v>
      </c>
    </row>
    <row r="494" spans="1:9" x14ac:dyDescent="0.25">
      <c r="A494">
        <v>679.88165680473003</v>
      </c>
      <c r="B494">
        <v>707.91124260354002</v>
      </c>
      <c r="C494" s="1">
        <f t="shared" si="121"/>
        <v>4.1227154046987957E-2</v>
      </c>
      <c r="D494">
        <v>10.876319758673</v>
      </c>
      <c r="E494">
        <v>0.45913733258243</v>
      </c>
      <c r="F494">
        <v>18</v>
      </c>
    </row>
    <row r="495" spans="1:9" x14ac:dyDescent="0.25">
      <c r="A495">
        <v>676.26627218935005</v>
      </c>
      <c r="B495">
        <v>709.50887573963996</v>
      </c>
      <c r="C495" s="1">
        <f t="shared" si="121"/>
        <v>4.915608676249672E-2</v>
      </c>
      <c r="D495">
        <v>10.582202111614</v>
      </c>
      <c r="E495">
        <v>0.44406141277700001</v>
      </c>
      <c r="F495">
        <v>18</v>
      </c>
    </row>
    <row r="496" spans="1:9" x14ac:dyDescent="0.25">
      <c r="A496">
        <v>689.30473372781</v>
      </c>
      <c r="B496">
        <v>716.27514792899001</v>
      </c>
      <c r="C496" s="1">
        <f t="shared" si="121"/>
        <v>3.912698242375634E-2</v>
      </c>
      <c r="D496">
        <v>10.954751131222</v>
      </c>
      <c r="E496">
        <v>0.45531868954921001</v>
      </c>
      <c r="F496">
        <v>19</v>
      </c>
    </row>
    <row r="497" spans="1:9" x14ac:dyDescent="0.25">
      <c r="A497">
        <v>689.11834319526997</v>
      </c>
      <c r="B497">
        <v>720.28994082838994</v>
      </c>
      <c r="C497" s="1">
        <f t="shared" si="121"/>
        <v>4.5234026841580066E-2</v>
      </c>
      <c r="D497">
        <v>11.006033182504</v>
      </c>
      <c r="E497">
        <v>0.45866140920192999</v>
      </c>
      <c r="F497">
        <v>18</v>
      </c>
    </row>
    <row r="498" spans="1:9" x14ac:dyDescent="0.25">
      <c r="A498">
        <v>668.03254437869998</v>
      </c>
      <c r="B498">
        <v>710.51479289940005</v>
      </c>
      <c r="C498" s="1">
        <f t="shared" si="121"/>
        <v>6.3593082220583241E-2</v>
      </c>
      <c r="D498">
        <v>10.615384615385</v>
      </c>
      <c r="E498">
        <v>0.45422502569072998</v>
      </c>
      <c r="F498">
        <v>24</v>
      </c>
    </row>
    <row r="499" spans="1:9" x14ac:dyDescent="0.25">
      <c r="A499">
        <v>685.46745562130002</v>
      </c>
      <c r="B499">
        <v>716.12426035502006</v>
      </c>
      <c r="C499" s="1">
        <f t="shared" si="121"/>
        <v>4.4723939090489884E-2</v>
      </c>
      <c r="D499">
        <v>11.051282051282</v>
      </c>
      <c r="E499">
        <v>0.46426202128709998</v>
      </c>
      <c r="F499">
        <v>21</v>
      </c>
      <c r="H499" t="s">
        <v>17</v>
      </c>
      <c r="I499">
        <f t="shared" ref="I499" si="134">STDEVP(A485:A504)</f>
        <v>6.6416982619279148</v>
      </c>
    </row>
    <row r="500" spans="1:9" x14ac:dyDescent="0.25">
      <c r="A500">
        <v>693.66272189349002</v>
      </c>
      <c r="B500">
        <v>717.02366863905002</v>
      </c>
      <c r="C500" s="1">
        <f t="shared" si="121"/>
        <v>3.3677673613181414E-2</v>
      </c>
      <c r="D500">
        <v>10.861236802413</v>
      </c>
      <c r="E500">
        <v>0.44524375907120001</v>
      </c>
      <c r="F500">
        <v>18</v>
      </c>
      <c r="H500" t="s">
        <v>18</v>
      </c>
      <c r="I500">
        <f t="shared" ref="I500" si="135">STDEVP(B485:B504)</f>
        <v>3.6765311775161518</v>
      </c>
    </row>
    <row r="501" spans="1:9" x14ac:dyDescent="0.25">
      <c r="A501">
        <v>695.23076923076997</v>
      </c>
      <c r="B501">
        <v>717.21301775147003</v>
      </c>
      <c r="C501" s="1">
        <f t="shared" si="121"/>
        <v>3.1618635845220178E-2</v>
      </c>
      <c r="D501">
        <v>11.058823529412001</v>
      </c>
      <c r="E501">
        <v>0.45540771988598</v>
      </c>
      <c r="F501">
        <v>19</v>
      </c>
      <c r="H501" t="s">
        <v>19</v>
      </c>
      <c r="I501">
        <f t="shared" ref="I501" si="136">STDEVP(C485:C504)</f>
        <v>7.6371000626333629E-3</v>
      </c>
    </row>
    <row r="502" spans="1:9" x14ac:dyDescent="0.25">
      <c r="A502">
        <v>675.39940828401996</v>
      </c>
      <c r="B502">
        <v>714.05621301773999</v>
      </c>
      <c r="C502" s="1">
        <f t="shared" si="121"/>
        <v>5.7235473202345455E-2</v>
      </c>
      <c r="D502">
        <v>10.677224736048</v>
      </c>
      <c r="E502">
        <v>0.45144558436984999</v>
      </c>
      <c r="F502">
        <v>18</v>
      </c>
      <c r="H502" t="s">
        <v>20</v>
      </c>
      <c r="I502">
        <f t="shared" ref="I502" si="137">STDEVP(D485:D504)</f>
        <v>0.16607387943805699</v>
      </c>
    </row>
    <row r="503" spans="1:9" x14ac:dyDescent="0.25">
      <c r="A503">
        <v>680.75147928993999</v>
      </c>
      <c r="B503">
        <v>708.68047337277005</v>
      </c>
      <c r="C503" s="1">
        <f t="shared" si="121"/>
        <v>4.1026710822518409E-2</v>
      </c>
      <c r="D503">
        <v>10.885369532427999</v>
      </c>
      <c r="E503">
        <v>0.45863484452911002</v>
      </c>
      <c r="F503">
        <v>18</v>
      </c>
      <c r="H503" t="s">
        <v>21</v>
      </c>
      <c r="I503">
        <f t="shared" ref="I503" si="138">STDEVP(E485:E504)</f>
        <v>7.0777645088693584E-3</v>
      </c>
    </row>
    <row r="504" spans="1:9" x14ac:dyDescent="0.25">
      <c r="A504">
        <v>679.51183431952995</v>
      </c>
      <c r="B504">
        <v>714.36094674555</v>
      </c>
      <c r="C504" s="1">
        <f t="shared" si="121"/>
        <v>5.1285512136691969E-2</v>
      </c>
      <c r="D504">
        <v>11.004524886878</v>
      </c>
      <c r="E504">
        <v>0.46732546815969001</v>
      </c>
      <c r="F504">
        <v>18</v>
      </c>
      <c r="H504" t="s">
        <v>22</v>
      </c>
      <c r="I504">
        <f t="shared" ref="I504" si="139">STDEVP(F485:F504)</f>
        <v>1.4628738838327793</v>
      </c>
    </row>
    <row r="505" spans="1:9" x14ac:dyDescent="0.25">
      <c r="C505" s="1" t="str">
        <f t="shared" si="121"/>
        <v/>
      </c>
    </row>
    <row r="506" spans="1:9" x14ac:dyDescent="0.25">
      <c r="A506">
        <v>1013.0802103879</v>
      </c>
      <c r="B506">
        <v>1046.3944773175999</v>
      </c>
      <c r="C506" s="1">
        <f t="shared" si="121"/>
        <v>3.2884135518691293E-2</v>
      </c>
      <c r="D506">
        <v>14.006660006660001</v>
      </c>
      <c r="E506">
        <v>0.37652643574687999</v>
      </c>
      <c r="F506">
        <v>39</v>
      </c>
    </row>
    <row r="507" spans="1:9" x14ac:dyDescent="0.25">
      <c r="A507">
        <v>1001.1827744905</v>
      </c>
      <c r="B507">
        <v>1027.1420118343001</v>
      </c>
      <c r="C507" s="1">
        <f t="shared" si="121"/>
        <v>2.5928569692992065E-2</v>
      </c>
      <c r="D507">
        <v>13.513153513154</v>
      </c>
      <c r="E507">
        <v>0.36407258971181</v>
      </c>
      <c r="F507">
        <v>36</v>
      </c>
    </row>
    <row r="508" spans="1:9" x14ac:dyDescent="0.25">
      <c r="A508">
        <v>1015.97304405</v>
      </c>
      <c r="B508">
        <v>1041.2373438527</v>
      </c>
      <c r="C508" s="1">
        <f t="shared" si="121"/>
        <v>2.4867096573732095E-2</v>
      </c>
      <c r="D508">
        <v>13.919413919414</v>
      </c>
      <c r="E508">
        <v>0.37205321824160997</v>
      </c>
      <c r="F508">
        <v>33</v>
      </c>
    </row>
    <row r="509" spans="1:9" x14ac:dyDescent="0.25">
      <c r="A509">
        <v>1006.6541748849</v>
      </c>
      <c r="B509">
        <v>1036.3530571992001</v>
      </c>
      <c r="C509" s="1">
        <f t="shared" si="121"/>
        <v>2.95025670734399E-2</v>
      </c>
      <c r="D509">
        <v>13.663003663004</v>
      </c>
      <c r="E509">
        <v>0.36737639002162997</v>
      </c>
      <c r="F509">
        <v>35</v>
      </c>
    </row>
    <row r="510" spans="1:9" x14ac:dyDescent="0.25">
      <c r="A510">
        <v>1008.2761341223</v>
      </c>
      <c r="B510">
        <v>1036.1558185404001</v>
      </c>
      <c r="C510" s="1">
        <f t="shared" si="121"/>
        <v>2.7650842338313497E-2</v>
      </c>
      <c r="D510">
        <v>13.884115884116</v>
      </c>
      <c r="E510">
        <v>0.37421946377472998</v>
      </c>
      <c r="F510">
        <v>32</v>
      </c>
    </row>
    <row r="511" spans="1:9" x14ac:dyDescent="0.25">
      <c r="A511">
        <v>1008.2721893491</v>
      </c>
      <c r="B511">
        <v>1026.1479289941001</v>
      </c>
      <c r="C511" s="1">
        <f t="shared" si="121"/>
        <v>1.7729081327275242E-2</v>
      </c>
      <c r="D511">
        <v>13.902097902097999</v>
      </c>
      <c r="E511">
        <v>0.37507232470325003</v>
      </c>
      <c r="F511">
        <v>34</v>
      </c>
    </row>
    <row r="512" spans="1:9" x14ac:dyDescent="0.25">
      <c r="A512">
        <v>1011.1840894149</v>
      </c>
      <c r="B512">
        <v>1039.7442472058001</v>
      </c>
      <c r="C512" s="1">
        <f t="shared" si="121"/>
        <v>2.824427133483276E-2</v>
      </c>
      <c r="D512">
        <v>14.113220113220001</v>
      </c>
      <c r="E512">
        <v>0.38133024527108</v>
      </c>
      <c r="F512">
        <v>40</v>
      </c>
    </row>
    <row r="513" spans="1:9" x14ac:dyDescent="0.25">
      <c r="A513">
        <v>1007.7554240631</v>
      </c>
      <c r="B513">
        <v>1034.4589086128001</v>
      </c>
      <c r="C513" s="1">
        <f t="shared" si="121"/>
        <v>2.6497981466610421E-2</v>
      </c>
      <c r="D513">
        <v>13.842157842158</v>
      </c>
      <c r="E513">
        <v>0.37313456154578001</v>
      </c>
      <c r="F513">
        <v>37</v>
      </c>
    </row>
    <row r="514" spans="1:9" x14ac:dyDescent="0.25">
      <c r="A514">
        <v>1010.3911900066</v>
      </c>
      <c r="B514">
        <v>1037.4483892175999</v>
      </c>
      <c r="C514" s="1">
        <f t="shared" ref="C514:C577" si="140">IFERROR((B514/A514)-1,"")</f>
        <v>2.6778934217372985E-2</v>
      </c>
      <c r="D514">
        <v>14.065268065268</v>
      </c>
      <c r="E514">
        <v>0.38020713332344003</v>
      </c>
      <c r="F514">
        <v>36</v>
      </c>
    </row>
    <row r="515" spans="1:9" x14ac:dyDescent="0.25">
      <c r="A515">
        <v>1011.006574622</v>
      </c>
      <c r="B515">
        <v>1038.8757396450001</v>
      </c>
      <c r="C515" s="1">
        <f t="shared" si="140"/>
        <v>2.7565760423882368E-2</v>
      </c>
      <c r="D515">
        <v>13.779553779554</v>
      </c>
      <c r="E515">
        <v>0.36969463705981997</v>
      </c>
      <c r="F515">
        <v>32</v>
      </c>
    </row>
    <row r="516" spans="1:9" x14ac:dyDescent="0.25">
      <c r="A516">
        <v>1015.1058514135</v>
      </c>
      <c r="B516">
        <v>1043.0355029586001</v>
      </c>
      <c r="C516" s="1">
        <f t="shared" si="140"/>
        <v>2.7514028715536432E-2</v>
      </c>
      <c r="D516">
        <v>14.13653013653</v>
      </c>
      <c r="E516">
        <v>0.38046964568365998</v>
      </c>
      <c r="F516">
        <v>33</v>
      </c>
    </row>
    <row r="517" spans="1:9" x14ac:dyDescent="0.25">
      <c r="A517">
        <v>1006.4148586456</v>
      </c>
      <c r="B517">
        <v>1036.6614069691</v>
      </c>
      <c r="C517" s="1">
        <f t="shared" si="140"/>
        <v>3.0053757715982732E-2</v>
      </c>
      <c r="D517">
        <v>13.931401931402</v>
      </c>
      <c r="E517">
        <v>0.37698756890701002</v>
      </c>
      <c r="F517">
        <v>35</v>
      </c>
    </row>
    <row r="518" spans="1:9" x14ac:dyDescent="0.25">
      <c r="A518">
        <v>1016.2445759369</v>
      </c>
      <c r="B518">
        <v>1043.0841551610999</v>
      </c>
      <c r="C518" s="1">
        <f t="shared" si="140"/>
        <v>2.6410551022578277E-2</v>
      </c>
      <c r="D518">
        <v>14.027972027972</v>
      </c>
      <c r="E518">
        <v>0.37578997053163998</v>
      </c>
      <c r="F518">
        <v>35</v>
      </c>
    </row>
    <row r="519" spans="1:9" x14ac:dyDescent="0.25">
      <c r="A519">
        <v>1010.8382642998</v>
      </c>
      <c r="B519">
        <v>1034.3648915187</v>
      </c>
      <c r="C519" s="1">
        <f t="shared" si="140"/>
        <v>2.3274373408486593E-2</v>
      </c>
      <c r="D519">
        <v>14.035964035964</v>
      </c>
      <c r="E519">
        <v>0.37881024223241</v>
      </c>
      <c r="F519">
        <v>33</v>
      </c>
    </row>
    <row r="520" spans="1:9" x14ac:dyDescent="0.25">
      <c r="A520">
        <v>1012.040105194</v>
      </c>
      <c r="B520">
        <v>1036.4792899408001</v>
      </c>
      <c r="C520" s="1">
        <f t="shared" si="140"/>
        <v>2.4148435048545025E-2</v>
      </c>
      <c r="D520">
        <v>13.87345987346</v>
      </c>
      <c r="E520">
        <v>0.37197351800436002</v>
      </c>
      <c r="F520">
        <v>34</v>
      </c>
      <c r="H520" t="s">
        <v>17</v>
      </c>
      <c r="I520">
        <f t="shared" ref="I520" si="141">STDEVP(A506:A525)</f>
        <v>4.4521418463084688</v>
      </c>
    </row>
    <row r="521" spans="1:9" x14ac:dyDescent="0.25">
      <c r="A521">
        <v>1010.3754109139001</v>
      </c>
      <c r="B521">
        <v>1040.8073635766</v>
      </c>
      <c r="C521" s="1">
        <f t="shared" si="140"/>
        <v>3.0119450982257989E-2</v>
      </c>
      <c r="D521">
        <v>13.851481851481999</v>
      </c>
      <c r="E521">
        <v>0.37213853505272998</v>
      </c>
      <c r="F521">
        <v>34</v>
      </c>
      <c r="H521" t="s">
        <v>18</v>
      </c>
      <c r="I521">
        <f t="shared" ref="I521" si="142">STDEVP(B506:B525)</f>
        <v>4.9885457197953889</v>
      </c>
    </row>
    <row r="522" spans="1:9" x14ac:dyDescent="0.25">
      <c r="A522">
        <v>1006.0657462196</v>
      </c>
      <c r="B522">
        <v>1033.6436554898</v>
      </c>
      <c r="C522" s="1">
        <f t="shared" si="140"/>
        <v>2.7411637235267294E-2</v>
      </c>
      <c r="D522">
        <v>13.899433899433999</v>
      </c>
      <c r="E522">
        <v>0.37598112225237001</v>
      </c>
      <c r="F522">
        <v>34</v>
      </c>
      <c r="H522" t="s">
        <v>19</v>
      </c>
      <c r="I522">
        <f t="shared" ref="I522" si="143">STDEVP(C506:C525)</f>
        <v>3.4217621806709874E-3</v>
      </c>
    </row>
    <row r="523" spans="1:9" x14ac:dyDescent="0.25">
      <c r="A523">
        <v>1014.5161078238</v>
      </c>
      <c r="B523">
        <v>1042.3846153846</v>
      </c>
      <c r="C523" s="1">
        <f t="shared" si="140"/>
        <v>2.7469753654852935E-2</v>
      </c>
      <c r="D523">
        <v>14.110556110556001</v>
      </c>
      <c r="E523">
        <v>0.37957810954200999</v>
      </c>
      <c r="F523">
        <v>31</v>
      </c>
      <c r="H523" t="s">
        <v>20</v>
      </c>
      <c r="I523">
        <f t="shared" ref="I523" si="144">STDEVP(D506:D525)</f>
        <v>0.16382171626380604</v>
      </c>
    </row>
    <row r="524" spans="1:9" x14ac:dyDescent="0.25">
      <c r="A524">
        <v>1002.6949375411</v>
      </c>
      <c r="B524">
        <v>1036.2550953320001</v>
      </c>
      <c r="C524" s="1">
        <f t="shared" si="140"/>
        <v>3.3469958343660844E-2</v>
      </c>
      <c r="D524">
        <v>13.771561771562</v>
      </c>
      <c r="E524">
        <v>0.37357875846513</v>
      </c>
      <c r="F524">
        <v>34</v>
      </c>
      <c r="H524" t="s">
        <v>21</v>
      </c>
      <c r="I524">
        <f t="shared" ref="I524" si="145">STDEVP(E506:E525)</f>
        <v>4.4963748953976831E-3</v>
      </c>
    </row>
    <row r="525" spans="1:9" x14ac:dyDescent="0.25">
      <c r="A525">
        <v>1000.9072978304</v>
      </c>
      <c r="B525">
        <v>1032.3017751478999</v>
      </c>
      <c r="C525" s="1">
        <f t="shared" si="140"/>
        <v>3.1366018996516143E-2</v>
      </c>
      <c r="D525">
        <v>13.63036963037</v>
      </c>
      <c r="E525">
        <v>0.36925702436732</v>
      </c>
      <c r="F525">
        <v>32</v>
      </c>
      <c r="H525" t="s">
        <v>22</v>
      </c>
      <c r="I525">
        <f t="shared" ref="I525" si="146">STDEVP(F506:F525)</f>
        <v>2.2466641938660969</v>
      </c>
    </row>
    <row r="526" spans="1:9" x14ac:dyDescent="0.25">
      <c r="C526" s="1" t="str">
        <f t="shared" si="140"/>
        <v/>
      </c>
    </row>
    <row r="527" spans="1:9" x14ac:dyDescent="0.25">
      <c r="A527">
        <v>1251.3900226757</v>
      </c>
      <c r="B527">
        <v>1286.8526077096999</v>
      </c>
      <c r="C527" s="1">
        <f t="shared" si="140"/>
        <v>2.8338555039918223E-2</v>
      </c>
      <c r="D527">
        <v>14.722415795587001</v>
      </c>
      <c r="E527">
        <v>0.29878443963508999</v>
      </c>
      <c r="F527">
        <v>53</v>
      </c>
    </row>
    <row r="528" spans="1:9" x14ac:dyDescent="0.25">
      <c r="A528">
        <v>1253.9024943310999</v>
      </c>
      <c r="B528">
        <v>1300.3106575963</v>
      </c>
      <c r="C528" s="1">
        <f t="shared" si="140"/>
        <v>3.701098249266721E-2</v>
      </c>
      <c r="D528">
        <v>15.173054587689</v>
      </c>
      <c r="E528">
        <v>0.31018782808308998</v>
      </c>
      <c r="F528">
        <v>70</v>
      </c>
    </row>
    <row r="529" spans="1:9" x14ac:dyDescent="0.25">
      <c r="A529">
        <v>1257.253968254</v>
      </c>
      <c r="B529">
        <v>1293.5442176869999</v>
      </c>
      <c r="C529" s="1">
        <f t="shared" si="140"/>
        <v>2.8864692694824168E-2</v>
      </c>
      <c r="D529">
        <v>14.813008130081</v>
      </c>
      <c r="E529">
        <v>0.29968985285957001</v>
      </c>
      <c r="F529">
        <v>77</v>
      </c>
    </row>
    <row r="530" spans="1:9" x14ac:dyDescent="0.25">
      <c r="A530">
        <v>1240.6235827664</v>
      </c>
      <c r="B530">
        <v>1293.7959183672999</v>
      </c>
      <c r="C530" s="1">
        <f t="shared" si="140"/>
        <v>4.2859362291287173E-2</v>
      </c>
      <c r="D530">
        <v>14.239256678281</v>
      </c>
      <c r="E530">
        <v>0.28941681032131</v>
      </c>
      <c r="F530">
        <v>64</v>
      </c>
    </row>
    <row r="531" spans="1:9" x14ac:dyDescent="0.25">
      <c r="A531">
        <v>1260.0317460317001</v>
      </c>
      <c r="B531">
        <v>1302.3492063491999</v>
      </c>
      <c r="C531" s="1">
        <f t="shared" si="140"/>
        <v>3.3584439797467835E-2</v>
      </c>
      <c r="D531">
        <v>14.894308943088999</v>
      </c>
      <c r="E531">
        <v>0.30065301212599999</v>
      </c>
      <c r="F531">
        <v>69</v>
      </c>
    </row>
    <row r="532" spans="1:9" x14ac:dyDescent="0.25">
      <c r="A532">
        <v>1246.4081632652999</v>
      </c>
      <c r="B532">
        <v>1293.1179138322</v>
      </c>
      <c r="C532" s="1">
        <f t="shared" si="140"/>
        <v>3.7475485112783202E-2</v>
      </c>
      <c r="D532">
        <v>14.508710801394001</v>
      </c>
      <c r="E532">
        <v>0.29467265320496999</v>
      </c>
      <c r="F532">
        <v>59</v>
      </c>
    </row>
    <row r="533" spans="1:9" x14ac:dyDescent="0.25">
      <c r="A533">
        <v>1250.5895691610001</v>
      </c>
      <c r="B533">
        <v>1297.3718820861</v>
      </c>
      <c r="C533" s="1">
        <f t="shared" si="140"/>
        <v>3.7408206560114898E-2</v>
      </c>
      <c r="D533">
        <v>14.420441347271</v>
      </c>
      <c r="E533">
        <v>0.29125586071512999</v>
      </c>
      <c r="F533">
        <v>58</v>
      </c>
    </row>
    <row r="534" spans="1:9" x14ac:dyDescent="0.25">
      <c r="A534">
        <v>1253.5396825396999</v>
      </c>
      <c r="B534">
        <v>1291.6145124715999</v>
      </c>
      <c r="C534" s="1">
        <f t="shared" si="140"/>
        <v>3.0373852908078369E-2</v>
      </c>
      <c r="D534">
        <v>14.715447154472001</v>
      </c>
      <c r="E534">
        <v>0.29802948449508998</v>
      </c>
      <c r="F534">
        <v>60</v>
      </c>
    </row>
    <row r="535" spans="1:9" x14ac:dyDescent="0.25">
      <c r="A535">
        <v>1256.6394557823</v>
      </c>
      <c r="B535">
        <v>1294.3242630385</v>
      </c>
      <c r="C535" s="1">
        <f t="shared" si="140"/>
        <v>2.9988559632436518E-2</v>
      </c>
      <c r="D535">
        <v>14.466898954704</v>
      </c>
      <c r="E535">
        <v>0.29033248136481998</v>
      </c>
      <c r="F535">
        <v>61</v>
      </c>
    </row>
    <row r="536" spans="1:9" x14ac:dyDescent="0.25">
      <c r="A536">
        <v>1247.8276643991001</v>
      </c>
      <c r="B536">
        <v>1296.9251700679999</v>
      </c>
      <c r="C536" s="1">
        <f t="shared" si="140"/>
        <v>3.9346383374617044E-2</v>
      </c>
      <c r="D536">
        <v>14.7131242741</v>
      </c>
      <c r="E536">
        <v>0.29965240297188001</v>
      </c>
      <c r="F536">
        <v>55</v>
      </c>
    </row>
    <row r="537" spans="1:9" x14ac:dyDescent="0.25">
      <c r="A537">
        <v>1258.0929705215001</v>
      </c>
      <c r="B537">
        <v>1317</v>
      </c>
      <c r="C537" s="1">
        <f t="shared" si="140"/>
        <v>4.6822477240360039E-2</v>
      </c>
      <c r="D537">
        <v>14.880371660859</v>
      </c>
      <c r="E537">
        <v>0.30083875771075003</v>
      </c>
      <c r="F537">
        <v>57</v>
      </c>
    </row>
    <row r="538" spans="1:9" x14ac:dyDescent="0.25">
      <c r="A538">
        <v>1262.5238095238001</v>
      </c>
      <c r="B538">
        <v>1301.9092970521001</v>
      </c>
      <c r="C538" s="1">
        <f t="shared" si="140"/>
        <v>3.1195837441794882E-2</v>
      </c>
      <c r="D538">
        <v>15.121951219512001</v>
      </c>
      <c r="E538">
        <v>0.30615540923967999</v>
      </c>
      <c r="F538">
        <v>54</v>
      </c>
    </row>
    <row r="539" spans="1:9" x14ac:dyDescent="0.25">
      <c r="A539">
        <v>1244.5578231293</v>
      </c>
      <c r="B539">
        <v>1290.7142857142001</v>
      </c>
      <c r="C539" s="1">
        <f t="shared" si="140"/>
        <v>3.7086635692703096E-2</v>
      </c>
      <c r="D539">
        <v>14.745644599303001</v>
      </c>
      <c r="E539">
        <v>0.30134924064675001</v>
      </c>
      <c r="F539">
        <v>55</v>
      </c>
    </row>
    <row r="540" spans="1:9" x14ac:dyDescent="0.25">
      <c r="A540">
        <v>1246.8843537415</v>
      </c>
      <c r="B540">
        <v>1292.4149659863999</v>
      </c>
      <c r="C540" s="1">
        <f t="shared" si="140"/>
        <v>3.6515505313926777E-2</v>
      </c>
      <c r="D540">
        <v>14.508710801394001</v>
      </c>
      <c r="E540">
        <v>0.29459864628240001</v>
      </c>
      <c r="F540">
        <v>61</v>
      </c>
    </row>
    <row r="541" spans="1:9" x14ac:dyDescent="0.25">
      <c r="A541">
        <v>1251.2766439909001</v>
      </c>
      <c r="B541">
        <v>1286.3809523809</v>
      </c>
      <c r="C541" s="1">
        <f t="shared" si="140"/>
        <v>2.8054793924735977E-2</v>
      </c>
      <c r="D541">
        <v>14.789779326365</v>
      </c>
      <c r="E541">
        <v>0.30058725595007002</v>
      </c>
      <c r="F541">
        <v>51</v>
      </c>
      <c r="H541" t="s">
        <v>17</v>
      </c>
      <c r="I541">
        <f t="shared" ref="I541" si="147">STDEVP(A527:A546)</f>
        <v>6.5421985307889123</v>
      </c>
    </row>
    <row r="542" spans="1:9" x14ac:dyDescent="0.25">
      <c r="A542">
        <v>1265.3990929705001</v>
      </c>
      <c r="B542">
        <v>1304.1020408162999</v>
      </c>
      <c r="C542" s="1">
        <f t="shared" si="140"/>
        <v>3.0585566293512612E-2</v>
      </c>
      <c r="D542">
        <v>14.908246225318999</v>
      </c>
      <c r="E542">
        <v>0.29920780679893999</v>
      </c>
      <c r="F542">
        <v>53</v>
      </c>
      <c r="H542" t="s">
        <v>18</v>
      </c>
      <c r="I542">
        <f t="shared" ref="I542" si="148">STDEVP(B527:B546)</f>
        <v>7.9046227658442652</v>
      </c>
    </row>
    <row r="543" spans="1:9" x14ac:dyDescent="0.25">
      <c r="A543">
        <v>1251.6961451247</v>
      </c>
      <c r="B543">
        <v>1289.7709750567001</v>
      </c>
      <c r="C543" s="1">
        <f t="shared" si="140"/>
        <v>3.0418588473168917E-2</v>
      </c>
      <c r="D543">
        <v>14.701509872241999</v>
      </c>
      <c r="E543">
        <v>0.29834778603692003</v>
      </c>
      <c r="F543">
        <v>56</v>
      </c>
      <c r="H543" t="s">
        <v>19</v>
      </c>
      <c r="I543">
        <f t="shared" ref="I543" si="149">STDEVP(C527:C546)</f>
        <v>4.9941440039241568E-3</v>
      </c>
    </row>
    <row r="544" spans="1:9" x14ac:dyDescent="0.25">
      <c r="A544">
        <v>1246.9659863945999</v>
      </c>
      <c r="B544">
        <v>1287.1405895691</v>
      </c>
      <c r="C544" s="1">
        <f t="shared" si="140"/>
        <v>3.221788213378507E-2</v>
      </c>
      <c r="D544">
        <v>14.717770034842999</v>
      </c>
      <c r="E544">
        <v>0.29997641555062998</v>
      </c>
      <c r="F544">
        <v>54</v>
      </c>
      <c r="H544" t="s">
        <v>20</v>
      </c>
      <c r="I544">
        <f t="shared" ref="I544" si="150">STDEVP(D527:D546)</f>
        <v>0.21781741644812114</v>
      </c>
    </row>
    <row r="545" spans="1:9" x14ac:dyDescent="0.25">
      <c r="A545">
        <v>1261.3015873016</v>
      </c>
      <c r="B545">
        <v>1305.6961451247</v>
      </c>
      <c r="C545" s="1">
        <f t="shared" si="140"/>
        <v>3.5197416914440449E-2</v>
      </c>
      <c r="D545">
        <v>14.764227642275999</v>
      </c>
      <c r="E545">
        <v>0.29726941796610001</v>
      </c>
      <c r="F545">
        <v>57</v>
      </c>
      <c r="H545" t="s">
        <v>21</v>
      </c>
      <c r="I545">
        <f t="shared" ref="I545" si="151">STDEVP(E527:E546)</f>
        <v>4.7879589411606019E-3</v>
      </c>
    </row>
    <row r="546" spans="1:9" x14ac:dyDescent="0.25">
      <c r="A546">
        <v>1245.5056689342</v>
      </c>
      <c r="B546">
        <v>1282.4195011337999</v>
      </c>
      <c r="C546" s="1">
        <f t="shared" si="140"/>
        <v>2.9637626805173678E-2</v>
      </c>
      <c r="D546">
        <v>14.701509872241999</v>
      </c>
      <c r="E546">
        <v>0.29988425774812</v>
      </c>
      <c r="F546">
        <v>56</v>
      </c>
      <c r="H546" t="s">
        <v>22</v>
      </c>
      <c r="I546">
        <f t="shared" ref="I546" si="152">STDEVP(F527:F546)</f>
        <v>6.4187226143524851</v>
      </c>
    </row>
    <row r="547" spans="1:9" x14ac:dyDescent="0.25">
      <c r="C547" s="1" t="str">
        <f t="shared" si="140"/>
        <v/>
      </c>
    </row>
    <row r="548" spans="1:9" x14ac:dyDescent="0.25">
      <c r="A548">
        <v>1247.4000000000001</v>
      </c>
      <c r="B548">
        <v>1318.675</v>
      </c>
      <c r="C548" s="1">
        <f t="shared" si="140"/>
        <v>5.7138848805515341E-2</v>
      </c>
      <c r="D548">
        <v>13.297435897435999</v>
      </c>
      <c r="E548">
        <v>0.26292298927530999</v>
      </c>
      <c r="F548">
        <v>45</v>
      </c>
    </row>
    <row r="549" spans="1:9" x14ac:dyDescent="0.25">
      <c r="A549">
        <v>1271.8</v>
      </c>
      <c r="B549">
        <v>1315.4</v>
      </c>
      <c r="C549" s="1">
        <f t="shared" si="140"/>
        <v>3.4282119830162161E-2</v>
      </c>
      <c r="D549">
        <v>13.238461538461999</v>
      </c>
      <c r="E549">
        <v>0.25534456410095002</v>
      </c>
      <c r="F549">
        <v>44</v>
      </c>
    </row>
    <row r="550" spans="1:9" x14ac:dyDescent="0.25">
      <c r="A550">
        <v>1260.4000000000001</v>
      </c>
      <c r="B550">
        <v>1318.9749999999999</v>
      </c>
      <c r="C550" s="1">
        <f t="shared" si="140"/>
        <v>4.6473341796255063E-2</v>
      </c>
      <c r="D550">
        <v>12.884615384615</v>
      </c>
      <c r="E550">
        <v>0.24978637881492999</v>
      </c>
      <c r="F550">
        <v>41</v>
      </c>
    </row>
    <row r="551" spans="1:9" x14ac:dyDescent="0.25">
      <c r="A551">
        <v>1266</v>
      </c>
      <c r="B551">
        <v>1316.2249999999999</v>
      </c>
      <c r="C551" s="1">
        <f t="shared" si="140"/>
        <v>3.967219589257498E-2</v>
      </c>
      <c r="D551">
        <v>13.510256410256</v>
      </c>
      <c r="E551">
        <v>0.26375035309282002</v>
      </c>
      <c r="F551">
        <v>45</v>
      </c>
    </row>
    <row r="552" spans="1:9" x14ac:dyDescent="0.25">
      <c r="A552">
        <v>1265.2</v>
      </c>
      <c r="B552">
        <v>1310.675</v>
      </c>
      <c r="C552" s="1">
        <f t="shared" si="140"/>
        <v>3.5942933923490239E-2</v>
      </c>
      <c r="D552">
        <v>12.941025641026</v>
      </c>
      <c r="E552">
        <v>0.25014736752839001</v>
      </c>
      <c r="F552">
        <v>39</v>
      </c>
    </row>
    <row r="553" spans="1:9" x14ac:dyDescent="0.25">
      <c r="A553">
        <v>1273</v>
      </c>
      <c r="B553">
        <v>1315.7750000000001</v>
      </c>
      <c r="C553" s="1">
        <f t="shared" si="140"/>
        <v>3.3601728201099856E-2</v>
      </c>
      <c r="D553">
        <v>13.389743589744</v>
      </c>
      <c r="E553">
        <v>0.25905745729967999</v>
      </c>
      <c r="F553">
        <v>40</v>
      </c>
    </row>
    <row r="554" spans="1:9" x14ac:dyDescent="0.25">
      <c r="A554">
        <v>1269.8499999999999</v>
      </c>
      <c r="B554">
        <v>1314.175</v>
      </c>
      <c r="C554" s="1">
        <f t="shared" si="140"/>
        <v>3.4905697523329504E-2</v>
      </c>
      <c r="D554">
        <v>13.543589743589999</v>
      </c>
      <c r="E554">
        <v>0.26347235440174999</v>
      </c>
      <c r="F554">
        <v>33</v>
      </c>
    </row>
    <row r="555" spans="1:9" x14ac:dyDescent="0.25">
      <c r="A555">
        <v>1255.25</v>
      </c>
      <c r="B555">
        <v>1315.9</v>
      </c>
      <c r="C555" s="1">
        <f t="shared" si="140"/>
        <v>4.8317068313085132E-2</v>
      </c>
      <c r="D555">
        <v>13.246153846154</v>
      </c>
      <c r="E555">
        <v>0.25994822662092998</v>
      </c>
      <c r="F555">
        <v>39</v>
      </c>
    </row>
    <row r="556" spans="1:9" x14ac:dyDescent="0.25">
      <c r="A556">
        <v>1250.75</v>
      </c>
      <c r="B556">
        <v>1311.9</v>
      </c>
      <c r="C556" s="1">
        <f t="shared" si="140"/>
        <v>4.8890665600639593E-2</v>
      </c>
      <c r="D556">
        <v>13.515384615385001</v>
      </c>
      <c r="E556">
        <v>0.26765127067309002</v>
      </c>
      <c r="F556">
        <v>40</v>
      </c>
    </row>
    <row r="557" spans="1:9" x14ac:dyDescent="0.25">
      <c r="A557">
        <v>1260.55</v>
      </c>
      <c r="B557">
        <v>1316.125</v>
      </c>
      <c r="C557" s="1">
        <f t="shared" si="140"/>
        <v>4.4087898139701043E-2</v>
      </c>
      <c r="D557">
        <v>13.087179487179</v>
      </c>
      <c r="E557">
        <v>0.25436063688775001</v>
      </c>
      <c r="F557">
        <v>34</v>
      </c>
    </row>
    <row r="558" spans="1:9" x14ac:dyDescent="0.25">
      <c r="A558">
        <v>1268.3</v>
      </c>
      <c r="B558">
        <v>1319.5</v>
      </c>
      <c r="C558" s="1">
        <f t="shared" si="140"/>
        <v>4.0368997871166101E-2</v>
      </c>
      <c r="D558">
        <v>13.241025641026001</v>
      </c>
      <c r="E558">
        <v>0.25703419939508998</v>
      </c>
      <c r="F558">
        <v>38</v>
      </c>
    </row>
    <row r="559" spans="1:9" x14ac:dyDescent="0.25">
      <c r="A559">
        <v>1276.4000000000001</v>
      </c>
      <c r="B559">
        <v>1323.2750000000001</v>
      </c>
      <c r="C559" s="1">
        <f t="shared" si="140"/>
        <v>3.6724381071764345E-2</v>
      </c>
      <c r="D559">
        <v>13.366666666666999</v>
      </c>
      <c r="E559">
        <v>0.25754022278260003</v>
      </c>
      <c r="F559">
        <v>45</v>
      </c>
    </row>
    <row r="560" spans="1:9" x14ac:dyDescent="0.25">
      <c r="A560">
        <v>1256.05</v>
      </c>
      <c r="B560">
        <v>1304.45</v>
      </c>
      <c r="C560" s="1">
        <f t="shared" si="140"/>
        <v>3.8533497870307798E-2</v>
      </c>
      <c r="D560">
        <v>12.774358974359</v>
      </c>
      <c r="E560">
        <v>0.24814732991597999</v>
      </c>
      <c r="F560">
        <v>44</v>
      </c>
    </row>
    <row r="561" spans="1:9" x14ac:dyDescent="0.25">
      <c r="A561">
        <v>1259.3</v>
      </c>
      <c r="B561">
        <v>1311.2</v>
      </c>
      <c r="C561" s="1">
        <f t="shared" si="140"/>
        <v>4.1213372508536628E-2</v>
      </c>
      <c r="D561">
        <v>12.961538461538</v>
      </c>
      <c r="E561">
        <v>0.25175699683498998</v>
      </c>
      <c r="F561">
        <v>42</v>
      </c>
    </row>
    <row r="562" spans="1:9" x14ac:dyDescent="0.25">
      <c r="A562">
        <v>1274.5999999999999</v>
      </c>
      <c r="B562">
        <v>1325.45</v>
      </c>
      <c r="C562" s="1">
        <f t="shared" si="140"/>
        <v>3.9894868978503251E-2</v>
      </c>
      <c r="D562">
        <v>13.192307692308001</v>
      </c>
      <c r="E562">
        <v>0.25359832387654002</v>
      </c>
      <c r="F562">
        <v>47</v>
      </c>
      <c r="H562" t="s">
        <v>17</v>
      </c>
      <c r="I562">
        <f t="shared" ref="I562" si="153">STDEVP(A548:A567)</f>
        <v>8.3423078341667356</v>
      </c>
    </row>
    <row r="563" spans="1:9" x14ac:dyDescent="0.25">
      <c r="A563">
        <v>1262.8</v>
      </c>
      <c r="B563">
        <v>1301.3499999999999</v>
      </c>
      <c r="C563" s="1">
        <f t="shared" si="140"/>
        <v>3.0527399429838509E-2</v>
      </c>
      <c r="D563">
        <v>13.079487179487</v>
      </c>
      <c r="E563">
        <v>0.25359379177281999</v>
      </c>
      <c r="F563">
        <v>37</v>
      </c>
      <c r="H563" t="s">
        <v>18</v>
      </c>
      <c r="I563">
        <f t="shared" ref="I563" si="154">STDEVP(B548:B567)</f>
        <v>5.9396895962667982</v>
      </c>
    </row>
    <row r="564" spans="1:9" x14ac:dyDescent="0.25">
      <c r="A564">
        <v>1266.3</v>
      </c>
      <c r="B564">
        <v>1311.2750000000001</v>
      </c>
      <c r="C564" s="1">
        <f t="shared" si="140"/>
        <v>3.5516860143725903E-2</v>
      </c>
      <c r="D564">
        <v>12.987179487179001</v>
      </c>
      <c r="E564">
        <v>0.25102319400271</v>
      </c>
      <c r="F564">
        <v>43</v>
      </c>
      <c r="H564" t="s">
        <v>19</v>
      </c>
      <c r="I564">
        <f t="shared" ref="I564" si="155">STDEVP(C548:C567)</f>
        <v>6.4898819092684456E-3</v>
      </c>
    </row>
    <row r="565" spans="1:9" x14ac:dyDescent="0.25">
      <c r="A565">
        <v>1255.45</v>
      </c>
      <c r="B565">
        <v>1312.8</v>
      </c>
      <c r="C565" s="1">
        <f t="shared" si="140"/>
        <v>4.5680831574335778E-2</v>
      </c>
      <c r="D565">
        <v>13.123076923077001</v>
      </c>
      <c r="E565">
        <v>0.25668361468757001</v>
      </c>
      <c r="F565">
        <v>37</v>
      </c>
      <c r="H565" t="s">
        <v>20</v>
      </c>
      <c r="I565">
        <f t="shared" ref="I565" si="156">STDEVP(D548:D567)</f>
        <v>0.21574237686557438</v>
      </c>
    </row>
    <row r="566" spans="1:9" x14ac:dyDescent="0.25">
      <c r="A566">
        <v>1277.3499999999999</v>
      </c>
      <c r="B566">
        <v>1324.7249999999999</v>
      </c>
      <c r="C566" s="1">
        <f t="shared" si="140"/>
        <v>3.7088503542490381E-2</v>
      </c>
      <c r="D566">
        <v>13.297435897435999</v>
      </c>
      <c r="E566">
        <v>0.25539651984713002</v>
      </c>
      <c r="F566">
        <v>40</v>
      </c>
      <c r="H566" t="s">
        <v>21</v>
      </c>
      <c r="I566">
        <f t="shared" ref="I566" si="157">STDEVP(E548:E567)</f>
        <v>5.1524982697188516E-3</v>
      </c>
    </row>
    <row r="567" spans="1:9" x14ac:dyDescent="0.25">
      <c r="A567">
        <v>1269.6500000000001</v>
      </c>
      <c r="B567">
        <v>1310.55</v>
      </c>
      <c r="C567" s="1">
        <f t="shared" si="140"/>
        <v>3.2213602173827294E-2</v>
      </c>
      <c r="D567">
        <v>13.415384615384999</v>
      </c>
      <c r="E567">
        <v>0.26007013981716998</v>
      </c>
      <c r="F567">
        <v>44</v>
      </c>
      <c r="H567" t="s">
        <v>22</v>
      </c>
      <c r="I567">
        <f t="shared" ref="I567" si="158">STDEVP(F548:F567)</f>
        <v>3.7453304260105011</v>
      </c>
    </row>
    <row r="568" spans="1:9" x14ac:dyDescent="0.25">
      <c r="C568" s="1" t="str">
        <f t="shared" si="140"/>
        <v/>
      </c>
    </row>
    <row r="569" spans="1:9" x14ac:dyDescent="0.25">
      <c r="A569">
        <v>701.45306122449006</v>
      </c>
      <c r="B569">
        <v>737.86122448978995</v>
      </c>
      <c r="C569" s="1">
        <f t="shared" si="140"/>
        <v>5.1903919560553513E-2</v>
      </c>
      <c r="D569">
        <v>11.233613445377999</v>
      </c>
      <c r="E569">
        <v>0.45425408605167</v>
      </c>
      <c r="F569">
        <v>16</v>
      </c>
    </row>
    <row r="570" spans="1:9" x14ac:dyDescent="0.25">
      <c r="A570">
        <v>709.93469387754999</v>
      </c>
      <c r="B570">
        <v>743.91836734693004</v>
      </c>
      <c r="C570" s="1">
        <f t="shared" si="140"/>
        <v>4.7868731817805266E-2</v>
      </c>
      <c r="D570">
        <v>11.196638655461999</v>
      </c>
      <c r="E570">
        <v>0.44375082121231002</v>
      </c>
      <c r="F570">
        <v>17</v>
      </c>
    </row>
    <row r="571" spans="1:9" x14ac:dyDescent="0.25">
      <c r="A571">
        <v>705.15102040815998</v>
      </c>
      <c r="B571">
        <v>729.82857142856994</v>
      </c>
      <c r="C571" s="1">
        <f t="shared" si="140"/>
        <v>3.4996121832350013E-2</v>
      </c>
      <c r="D571">
        <v>11.179831932773</v>
      </c>
      <c r="E571">
        <v>0.44635668999108002</v>
      </c>
      <c r="F571">
        <v>17</v>
      </c>
    </row>
    <row r="572" spans="1:9" x14ac:dyDescent="0.25">
      <c r="A572">
        <v>700.01632653060994</v>
      </c>
      <c r="B572">
        <v>736.44081632653001</v>
      </c>
      <c r="C572" s="1">
        <f t="shared" si="140"/>
        <v>5.2033771807074247E-2</v>
      </c>
      <c r="D572">
        <v>11.183193277311</v>
      </c>
      <c r="E572">
        <v>0.45145634120028</v>
      </c>
      <c r="F572">
        <v>16</v>
      </c>
    </row>
    <row r="573" spans="1:9" x14ac:dyDescent="0.25">
      <c r="A573">
        <v>704.81632653061001</v>
      </c>
      <c r="B573">
        <v>739.33061224488995</v>
      </c>
      <c r="C573" s="1">
        <f t="shared" si="140"/>
        <v>4.8969191568210668E-2</v>
      </c>
      <c r="D573">
        <v>11.418487394957999</v>
      </c>
      <c r="E573">
        <v>0.46086000516658998</v>
      </c>
      <c r="F573">
        <v>17</v>
      </c>
    </row>
    <row r="574" spans="1:9" x14ac:dyDescent="0.25">
      <c r="A574">
        <v>704.21224489795998</v>
      </c>
      <c r="B574">
        <v>743.24081632652997</v>
      </c>
      <c r="C574" s="1">
        <f t="shared" si="140"/>
        <v>5.5421602949015991E-2</v>
      </c>
      <c r="D574">
        <v>11.310924369747999</v>
      </c>
      <c r="E574">
        <v>0.45461346888960003</v>
      </c>
      <c r="F574">
        <v>17</v>
      </c>
    </row>
    <row r="575" spans="1:9" x14ac:dyDescent="0.25">
      <c r="A575">
        <v>700.15510204082</v>
      </c>
      <c r="B575">
        <v>725.02040816325996</v>
      </c>
      <c r="C575" s="1">
        <f t="shared" si="140"/>
        <v>3.5513996898633327E-2</v>
      </c>
      <c r="D575">
        <v>11.310924369747999</v>
      </c>
      <c r="E575">
        <v>0.45956975212660001</v>
      </c>
      <c r="F575">
        <v>17</v>
      </c>
    </row>
    <row r="576" spans="1:9" x14ac:dyDescent="0.25">
      <c r="A576">
        <v>698.22040816327001</v>
      </c>
      <c r="B576">
        <v>729.4693877551</v>
      </c>
      <c r="C576" s="1">
        <f t="shared" si="140"/>
        <v>4.4755179348070273E-2</v>
      </c>
      <c r="D576">
        <v>11.149579831933</v>
      </c>
      <c r="E576">
        <v>0.45174512496918001</v>
      </c>
      <c r="F576">
        <v>16</v>
      </c>
    </row>
    <row r="577" spans="1:9" x14ac:dyDescent="0.25">
      <c r="A577">
        <v>695.28979591837003</v>
      </c>
      <c r="B577">
        <v>734.95510204080995</v>
      </c>
      <c r="C577" s="1">
        <f t="shared" si="140"/>
        <v>5.7048595212084496E-2</v>
      </c>
      <c r="D577">
        <v>10.907563025210001</v>
      </c>
      <c r="E577">
        <v>0.43974002950904001</v>
      </c>
      <c r="F577">
        <v>17</v>
      </c>
    </row>
    <row r="578" spans="1:9" x14ac:dyDescent="0.25">
      <c r="A578">
        <v>706.85714285714005</v>
      </c>
      <c r="B578">
        <v>747.55918367345998</v>
      </c>
      <c r="C578" s="1">
        <f t="shared" ref="C578:C641" si="159">IFERROR((B578/A578)-1,"")</f>
        <v>5.7581706894551443E-2</v>
      </c>
      <c r="D578">
        <v>11.364705882353</v>
      </c>
      <c r="E578">
        <v>0.45637812712315001</v>
      </c>
      <c r="F578">
        <v>17</v>
      </c>
    </row>
    <row r="579" spans="1:9" x14ac:dyDescent="0.25">
      <c r="A579">
        <v>704.43265306121998</v>
      </c>
      <c r="B579">
        <v>732.53877551020003</v>
      </c>
      <c r="C579" s="1">
        <f t="shared" si="159"/>
        <v>3.989894892980983E-2</v>
      </c>
      <c r="D579">
        <v>11.378151260504</v>
      </c>
      <c r="E579">
        <v>0.46029042284135002</v>
      </c>
      <c r="F579">
        <v>16</v>
      </c>
    </row>
    <row r="580" spans="1:9" x14ac:dyDescent="0.25">
      <c r="A580">
        <v>691.31428571429001</v>
      </c>
      <c r="B580">
        <v>736.35102040816002</v>
      </c>
      <c r="C580" s="1">
        <f t="shared" si="159"/>
        <v>6.5146541340942443E-2</v>
      </c>
      <c r="D580">
        <v>11.058823529412001</v>
      </c>
      <c r="E580">
        <v>0.45345221128030999</v>
      </c>
      <c r="F580">
        <v>17</v>
      </c>
    </row>
    <row r="581" spans="1:9" x14ac:dyDescent="0.25">
      <c r="A581">
        <v>702.93061224489998</v>
      </c>
      <c r="B581">
        <v>737.08571428570997</v>
      </c>
      <c r="C581" s="1">
        <f t="shared" si="159"/>
        <v>4.8589578325136884E-2</v>
      </c>
      <c r="D581">
        <v>11.300840336134</v>
      </c>
      <c r="E581">
        <v>0.45653633547831002</v>
      </c>
      <c r="F581">
        <v>17</v>
      </c>
    </row>
    <row r="582" spans="1:9" x14ac:dyDescent="0.25">
      <c r="A582">
        <v>702.23673469387995</v>
      </c>
      <c r="B582">
        <v>750.75918367346003</v>
      </c>
      <c r="C582" s="1">
        <f t="shared" si="159"/>
        <v>6.9096996187093529E-2</v>
      </c>
      <c r="D582">
        <v>11.41512605042</v>
      </c>
      <c r="E582">
        <v>0.46329666730645003</v>
      </c>
      <c r="F582">
        <v>16</v>
      </c>
    </row>
    <row r="583" spans="1:9" x14ac:dyDescent="0.25">
      <c r="A583">
        <v>714.5306122449</v>
      </c>
      <c r="B583">
        <v>741.29795918366995</v>
      </c>
      <c r="C583" s="1">
        <f t="shared" si="159"/>
        <v>3.7461441791377892E-2</v>
      </c>
      <c r="D583">
        <v>11.418487394957999</v>
      </c>
      <c r="E583">
        <v>0.45194532887689998</v>
      </c>
      <c r="F583">
        <v>17</v>
      </c>
      <c r="H583" t="s">
        <v>17</v>
      </c>
      <c r="I583">
        <f t="shared" ref="I583" si="160">STDEVP(A569:A588)</f>
        <v>5.2711099795472407</v>
      </c>
    </row>
    <row r="584" spans="1:9" x14ac:dyDescent="0.25">
      <c r="A584">
        <v>706.35918367347006</v>
      </c>
      <c r="B584">
        <v>745.82040816326003</v>
      </c>
      <c r="C584" s="1">
        <f t="shared" si="159"/>
        <v>5.5865663534760301E-2</v>
      </c>
      <c r="D584">
        <v>11.489075630252</v>
      </c>
      <c r="E584">
        <v>0.46473715829408002</v>
      </c>
      <c r="F584">
        <v>17</v>
      </c>
      <c r="H584" t="s">
        <v>18</v>
      </c>
      <c r="I584">
        <f t="shared" ref="I584" si="161">STDEVP(B569:B588)</f>
        <v>6.3150299153794682</v>
      </c>
    </row>
    <row r="585" spans="1:9" x14ac:dyDescent="0.25">
      <c r="A585">
        <v>695.93469387754999</v>
      </c>
      <c r="B585">
        <v>744.69387755102002</v>
      </c>
      <c r="C585" s="1">
        <f t="shared" si="159"/>
        <v>7.0062872425281419E-2</v>
      </c>
      <c r="D585">
        <v>11.055462184873999</v>
      </c>
      <c r="E585">
        <v>0.44802097662411</v>
      </c>
      <c r="F585">
        <v>17</v>
      </c>
      <c r="H585" t="s">
        <v>19</v>
      </c>
      <c r="I585">
        <f t="shared" ref="I585" si="162">STDEVP(C569:C588)</f>
        <v>1.0335681743830179E-2</v>
      </c>
    </row>
    <row r="586" spans="1:9" x14ac:dyDescent="0.25">
      <c r="A586">
        <v>697.64081632652994</v>
      </c>
      <c r="B586">
        <v>741.18367346937998</v>
      </c>
      <c r="C586" s="1">
        <f t="shared" si="159"/>
        <v>6.2414434654393558E-2</v>
      </c>
      <c r="D586">
        <v>11.028571428571</v>
      </c>
      <c r="E586">
        <v>0.44452090437099001</v>
      </c>
      <c r="F586">
        <v>17</v>
      </c>
      <c r="H586" t="s">
        <v>20</v>
      </c>
      <c r="I586">
        <f t="shared" ref="I586" si="163">STDEVP(D569:D588)</f>
        <v>0.15052773019170831</v>
      </c>
    </row>
    <row r="587" spans="1:9" x14ac:dyDescent="0.25">
      <c r="A587">
        <v>704.5306122449</v>
      </c>
      <c r="B587">
        <v>738.55510204080997</v>
      </c>
      <c r="C587" s="1">
        <f t="shared" si="159"/>
        <v>4.8293841608237686E-2</v>
      </c>
      <c r="D587">
        <v>11.300840336134</v>
      </c>
      <c r="E587">
        <v>0.45482778526366002</v>
      </c>
      <c r="F587">
        <v>16</v>
      </c>
      <c r="H587" t="s">
        <v>21</v>
      </c>
      <c r="I587">
        <f t="shared" ref="I587" si="164">STDEVP(E569:E588)</f>
        <v>6.4663684304144473E-3</v>
      </c>
    </row>
    <row r="588" spans="1:9" x14ac:dyDescent="0.25">
      <c r="A588">
        <v>707.40408163264999</v>
      </c>
      <c r="B588">
        <v>735.66530612245003</v>
      </c>
      <c r="C588" s="1">
        <f t="shared" si="159"/>
        <v>3.9950609875722964E-2</v>
      </c>
      <c r="D588">
        <v>11.331092436975</v>
      </c>
      <c r="E588">
        <v>0.45382608906484001</v>
      </c>
      <c r="F588">
        <v>17</v>
      </c>
      <c r="H588" t="s">
        <v>22</v>
      </c>
      <c r="I588">
        <f t="shared" ref="I588" si="165">STDEVP(F569:F588)</f>
        <v>0.45825756949558394</v>
      </c>
    </row>
    <row r="589" spans="1:9" x14ac:dyDescent="0.25">
      <c r="C589" s="1" t="str">
        <f t="shared" si="159"/>
        <v/>
      </c>
    </row>
    <row r="590" spans="1:9" x14ac:dyDescent="0.25">
      <c r="A590">
        <v>2685.5259697566999</v>
      </c>
      <c r="B590">
        <v>2728.5765943458</v>
      </c>
      <c r="C590" s="1">
        <f t="shared" si="159"/>
        <v>1.6030611907655645E-2</v>
      </c>
      <c r="D590">
        <v>18.935730935731002</v>
      </c>
      <c r="E590">
        <v>0.16186757353473999</v>
      </c>
      <c r="F590">
        <v>37</v>
      </c>
    </row>
    <row r="591" spans="1:9" x14ac:dyDescent="0.25">
      <c r="A591">
        <v>2663.0433925049001</v>
      </c>
      <c r="B591">
        <v>2703.5660749506001</v>
      </c>
      <c r="C591" s="1">
        <f t="shared" si="159"/>
        <v>1.5216681245131314E-2</v>
      </c>
      <c r="D591">
        <v>19.048951048951</v>
      </c>
      <c r="E591">
        <v>0.16457669540167999</v>
      </c>
      <c r="F591">
        <v>38</v>
      </c>
    </row>
    <row r="592" spans="1:9" x14ac:dyDescent="0.25">
      <c r="A592">
        <v>2687.5765943458</v>
      </c>
      <c r="B592">
        <v>2734.1367521367001</v>
      </c>
      <c r="C592" s="1">
        <f t="shared" si="159"/>
        <v>1.7324216131683334E-2</v>
      </c>
      <c r="D592">
        <v>18.986346986347002</v>
      </c>
      <c r="E592">
        <v>0.16226170400923001</v>
      </c>
      <c r="F592">
        <v>37</v>
      </c>
    </row>
    <row r="593" spans="1:9" x14ac:dyDescent="0.25">
      <c r="A593">
        <v>2687.4806048651999</v>
      </c>
      <c r="B593">
        <v>2737.8316896778001</v>
      </c>
      <c r="C593" s="1">
        <f t="shared" si="159"/>
        <v>1.8735422581822148E-2</v>
      </c>
      <c r="D593">
        <v>19.181485181485002</v>
      </c>
      <c r="E593">
        <v>0.16420227832008999</v>
      </c>
      <c r="F593">
        <v>38</v>
      </c>
    </row>
    <row r="594" spans="1:9" x14ac:dyDescent="0.25">
      <c r="A594">
        <v>2678.1808021039001</v>
      </c>
      <c r="B594">
        <v>2723.4253780406998</v>
      </c>
      <c r="C594" s="1">
        <f t="shared" si="159"/>
        <v>1.6893772034082488E-2</v>
      </c>
      <c r="D594">
        <v>19.015651015650999</v>
      </c>
      <c r="E594">
        <v>0.16319287438425001</v>
      </c>
      <c r="F594">
        <v>38</v>
      </c>
    </row>
    <row r="595" spans="1:9" x14ac:dyDescent="0.25">
      <c r="A595">
        <v>2663.5982905983001</v>
      </c>
      <c r="B595">
        <v>2702.8862590399999</v>
      </c>
      <c r="C595" s="1">
        <f t="shared" si="159"/>
        <v>1.4749960074825985E-2</v>
      </c>
      <c r="D595">
        <v>19.082251082250998</v>
      </c>
      <c r="E595">
        <v>0.16486829828457</v>
      </c>
      <c r="F595">
        <v>37</v>
      </c>
    </row>
    <row r="596" spans="1:9" x14ac:dyDescent="0.25">
      <c r="A596">
        <v>2683.2432610125002</v>
      </c>
      <c r="B596">
        <v>2714.9000657462002</v>
      </c>
      <c r="C596" s="1">
        <f t="shared" si="159"/>
        <v>1.17979630075562E-2</v>
      </c>
      <c r="D596">
        <v>19.064269064268998</v>
      </c>
      <c r="E596">
        <v>0.16332062955485999</v>
      </c>
      <c r="F596">
        <v>38</v>
      </c>
    </row>
    <row r="597" spans="1:9" x14ac:dyDescent="0.25">
      <c r="A597">
        <v>2669.9013806705998</v>
      </c>
      <c r="B597">
        <v>2716.4930966469001</v>
      </c>
      <c r="C597" s="1">
        <f t="shared" si="159"/>
        <v>1.7450725451364058E-2</v>
      </c>
      <c r="D597">
        <v>19.072927072927001</v>
      </c>
      <c r="E597">
        <v>0.16431356551984</v>
      </c>
      <c r="F597">
        <v>38</v>
      </c>
    </row>
    <row r="598" spans="1:9" x14ac:dyDescent="0.25">
      <c r="A598">
        <v>2662.0637738330001</v>
      </c>
      <c r="B598">
        <v>2715.9158448388998</v>
      </c>
      <c r="C598" s="1">
        <f t="shared" si="159"/>
        <v>2.0229444363896842E-2</v>
      </c>
      <c r="D598">
        <v>18.934398934398999</v>
      </c>
      <c r="E598">
        <v>0.16350195742099</v>
      </c>
      <c r="F598">
        <v>38</v>
      </c>
    </row>
    <row r="599" spans="1:9" x14ac:dyDescent="0.25">
      <c r="A599">
        <v>2678.7291255752998</v>
      </c>
      <c r="B599">
        <v>2726.6364234056</v>
      </c>
      <c r="C599" s="1">
        <f t="shared" si="159"/>
        <v>1.7884338275528933E-2</v>
      </c>
      <c r="D599">
        <v>18.879786879787002</v>
      </c>
      <c r="E599">
        <v>0.16181350914664</v>
      </c>
      <c r="F599">
        <v>38</v>
      </c>
    </row>
    <row r="600" spans="1:9" x14ac:dyDescent="0.25">
      <c r="A600">
        <v>2672.0124917817002</v>
      </c>
      <c r="B600">
        <v>2717.6785009861001</v>
      </c>
      <c r="C600" s="1">
        <f t="shared" si="159"/>
        <v>1.7090492407821678E-2</v>
      </c>
      <c r="D600">
        <v>18.830502830503001</v>
      </c>
      <c r="E600">
        <v>0.16175489859264999</v>
      </c>
      <c r="F600">
        <v>37</v>
      </c>
    </row>
    <row r="601" spans="1:9" x14ac:dyDescent="0.25">
      <c r="A601">
        <v>2680.7087442471998</v>
      </c>
      <c r="B601">
        <v>2713.3648915187</v>
      </c>
      <c r="C601" s="1">
        <f t="shared" si="159"/>
        <v>1.2181907990407526E-2</v>
      </c>
      <c r="D601">
        <v>18.994338994339</v>
      </c>
      <c r="E601">
        <v>0.16278020598873999</v>
      </c>
      <c r="F601">
        <v>38</v>
      </c>
    </row>
    <row r="602" spans="1:9" x14ac:dyDescent="0.25">
      <c r="A602">
        <v>2666.1170282708999</v>
      </c>
      <c r="B602">
        <v>2712.0887573964001</v>
      </c>
      <c r="C602" s="1">
        <f t="shared" si="159"/>
        <v>1.7242952442832138E-2</v>
      </c>
      <c r="D602">
        <v>19.068265068264999</v>
      </c>
      <c r="E602">
        <v>0.16453166374222</v>
      </c>
      <c r="F602">
        <v>38</v>
      </c>
    </row>
    <row r="603" spans="1:9" x14ac:dyDescent="0.25">
      <c r="A603">
        <v>2662.4720578566998</v>
      </c>
      <c r="B603">
        <v>2717.1880341880001</v>
      </c>
      <c r="C603" s="1">
        <f t="shared" si="159"/>
        <v>2.0550817113681452E-2</v>
      </c>
      <c r="D603">
        <v>18.930402930403002</v>
      </c>
      <c r="E603">
        <v>0.16346880583272999</v>
      </c>
      <c r="F603">
        <v>38</v>
      </c>
    </row>
    <row r="604" spans="1:9" x14ac:dyDescent="0.25">
      <c r="A604">
        <v>2680.9158448388998</v>
      </c>
      <c r="B604">
        <v>2728.5614727153002</v>
      </c>
      <c r="C604" s="1">
        <f t="shared" si="159"/>
        <v>1.7772146025442748E-2</v>
      </c>
      <c r="D604">
        <v>18.920412920413</v>
      </c>
      <c r="E604">
        <v>0.16208467454542999</v>
      </c>
      <c r="F604">
        <v>37</v>
      </c>
      <c r="H604" t="s">
        <v>17</v>
      </c>
      <c r="I604">
        <f t="shared" ref="I604" si="166">STDEVP(A590:A609)</f>
        <v>9.5353068497645221</v>
      </c>
    </row>
    <row r="605" spans="1:9" x14ac:dyDescent="0.25">
      <c r="A605">
        <v>2675.3852728468</v>
      </c>
      <c r="B605">
        <v>2717.8954635107998</v>
      </c>
      <c r="C605" s="1">
        <f t="shared" si="159"/>
        <v>1.5889371559097309E-2</v>
      </c>
      <c r="D605">
        <v>19.092241092241</v>
      </c>
      <c r="E605">
        <v>0.16412355557448</v>
      </c>
      <c r="F605">
        <v>37</v>
      </c>
      <c r="H605" t="s">
        <v>18</v>
      </c>
      <c r="I605">
        <f t="shared" ref="I605" si="167">STDEVP(B590:B609)</f>
        <v>9.4630002996559206</v>
      </c>
    </row>
    <row r="606" spans="1:9" x14ac:dyDescent="0.25">
      <c r="A606">
        <v>2676.8080210387998</v>
      </c>
      <c r="B606">
        <v>2727.0098619329001</v>
      </c>
      <c r="C606" s="1">
        <f t="shared" si="159"/>
        <v>1.8754367328374322E-2</v>
      </c>
      <c r="D606">
        <v>19.195471195471001</v>
      </c>
      <c r="E606">
        <v>0.16509901070371999</v>
      </c>
      <c r="F606">
        <v>38</v>
      </c>
      <c r="H606" t="s">
        <v>19</v>
      </c>
      <c r="I606">
        <f t="shared" ref="I606" si="168">STDEVP(C590:C609)</f>
        <v>2.2043791120425296E-3</v>
      </c>
    </row>
    <row r="607" spans="1:9" x14ac:dyDescent="0.25">
      <c r="A607">
        <v>2695.7942143327</v>
      </c>
      <c r="B607">
        <v>2734.8027613412</v>
      </c>
      <c r="C607" s="1">
        <f t="shared" si="159"/>
        <v>1.4470150132789739E-2</v>
      </c>
      <c r="D607">
        <v>18.985680985681</v>
      </c>
      <c r="E607">
        <v>0.16162682814477999</v>
      </c>
      <c r="F607">
        <v>38</v>
      </c>
      <c r="H607" t="s">
        <v>20</v>
      </c>
      <c r="I607">
        <f t="shared" ref="I607" si="169">STDEVP(D590:D609)</f>
        <v>0.11655915002323995</v>
      </c>
    </row>
    <row r="608" spans="1:9" x14ac:dyDescent="0.25">
      <c r="A608">
        <v>2666.7310979619001</v>
      </c>
      <c r="B608">
        <v>2713.9953977646001</v>
      </c>
      <c r="C608" s="1">
        <f t="shared" si="159"/>
        <v>1.7723684191039313E-2</v>
      </c>
      <c r="D608">
        <v>18.779886779887001</v>
      </c>
      <c r="E608">
        <v>0.16163337035816</v>
      </c>
      <c r="F608">
        <v>37</v>
      </c>
      <c r="H608" t="s">
        <v>21</v>
      </c>
      <c r="I608">
        <f t="shared" ref="I608" si="170">STDEVP(E590:E609)</f>
        <v>1.3027692127054017E-3</v>
      </c>
    </row>
    <row r="609" spans="1:9" x14ac:dyDescent="0.25">
      <c r="A609">
        <v>2680.7830374752998</v>
      </c>
      <c r="B609">
        <v>2725.6443129518998</v>
      </c>
      <c r="C609" s="1">
        <f t="shared" si="159"/>
        <v>1.6734392470212578E-2</v>
      </c>
      <c r="D609">
        <v>18.755244755244998</v>
      </c>
      <c r="E609">
        <v>0.16038376911107999</v>
      </c>
      <c r="F609">
        <v>38</v>
      </c>
      <c r="H609" t="s">
        <v>22</v>
      </c>
      <c r="I609">
        <f t="shared" ref="I609" si="171">STDEVP(F590:F609)</f>
        <v>0.47696960070847289</v>
      </c>
    </row>
    <row r="610" spans="1:9" x14ac:dyDescent="0.25">
      <c r="C610" s="1" t="str">
        <f t="shared" si="159"/>
        <v/>
      </c>
    </row>
    <row r="611" spans="1:9" x14ac:dyDescent="0.25">
      <c r="A611">
        <v>304.44880408492003</v>
      </c>
      <c r="B611">
        <v>321.53668368718002</v>
      </c>
      <c r="C611" s="1">
        <f t="shared" si="159"/>
        <v>5.6127267944510173E-2</v>
      </c>
      <c r="D611">
        <v>7.6644808743168999</v>
      </c>
      <c r="E611">
        <v>0.99297993579654997</v>
      </c>
      <c r="F611">
        <v>8</v>
      </c>
    </row>
    <row r="612" spans="1:9" x14ac:dyDescent="0.25">
      <c r="A612">
        <v>313.27815103466997</v>
      </c>
      <c r="B612">
        <v>327.07390486428</v>
      </c>
      <c r="C612" s="1">
        <f t="shared" si="159"/>
        <v>4.4036757060926579E-2</v>
      </c>
      <c r="D612">
        <v>7.6349726775956004</v>
      </c>
      <c r="E612">
        <v>0.93534096664719002</v>
      </c>
      <c r="F612">
        <v>8</v>
      </c>
    </row>
    <row r="613" spans="1:9" x14ac:dyDescent="0.25">
      <c r="A613">
        <v>307.05670518677999</v>
      </c>
      <c r="B613">
        <v>321.83606557376999</v>
      </c>
      <c r="C613" s="1">
        <f t="shared" si="159"/>
        <v>4.8132348642247802E-2</v>
      </c>
      <c r="D613">
        <v>7.5770491803278999</v>
      </c>
      <c r="E613">
        <v>0.95833136721659995</v>
      </c>
      <c r="F613">
        <v>8</v>
      </c>
    </row>
    <row r="614" spans="1:9" x14ac:dyDescent="0.25">
      <c r="A614">
        <v>307.77210427303999</v>
      </c>
      <c r="B614">
        <v>325.15882827196998</v>
      </c>
      <c r="C614" s="1">
        <f t="shared" si="159"/>
        <v>5.6492202371613676E-2</v>
      </c>
      <c r="D614">
        <v>7.6950819672130999</v>
      </c>
      <c r="E614">
        <v>0.98290317934463001</v>
      </c>
      <c r="F614">
        <v>8</v>
      </c>
    </row>
    <row r="615" spans="1:9" x14ac:dyDescent="0.25">
      <c r="A615">
        <v>303.00456866434001</v>
      </c>
      <c r="B615">
        <v>321.82101585595001</v>
      </c>
      <c r="C615" s="1">
        <f t="shared" si="159"/>
        <v>6.2099549437666601E-2</v>
      </c>
      <c r="D615">
        <v>7.5027322404371999</v>
      </c>
      <c r="E615">
        <v>0.96316446312370996</v>
      </c>
      <c r="F615">
        <v>8</v>
      </c>
    </row>
    <row r="616" spans="1:9" x14ac:dyDescent="0.25">
      <c r="A616">
        <v>306.79064767535999</v>
      </c>
      <c r="B616">
        <v>326.71916151571997</v>
      </c>
      <c r="C616" s="1">
        <f t="shared" si="159"/>
        <v>6.4958022649529878E-2</v>
      </c>
      <c r="D616">
        <v>7.6218579234973003</v>
      </c>
      <c r="E616">
        <v>0.97059667371076996</v>
      </c>
      <c r="F616">
        <v>8</v>
      </c>
    </row>
    <row r="617" spans="1:9" x14ac:dyDescent="0.25">
      <c r="A617">
        <v>305.92421392098998</v>
      </c>
      <c r="B617">
        <v>322.43644181670999</v>
      </c>
      <c r="C617" s="1">
        <f t="shared" si="159"/>
        <v>5.3974896867707844E-2</v>
      </c>
      <c r="D617">
        <v>7.6644808743168999</v>
      </c>
      <c r="E617">
        <v>0.98259924096488005</v>
      </c>
      <c r="F617">
        <v>8</v>
      </c>
    </row>
    <row r="618" spans="1:9" x14ac:dyDescent="0.25">
      <c r="A618">
        <v>306.31550658424999</v>
      </c>
      <c r="B618">
        <v>323.21795216339001</v>
      </c>
      <c r="C618" s="1">
        <f t="shared" si="159"/>
        <v>5.5179856115090686E-2</v>
      </c>
      <c r="D618">
        <v>7.5377049180327997</v>
      </c>
      <c r="E618">
        <v>0.95451731126082995</v>
      </c>
      <c r="F618">
        <v>8</v>
      </c>
    </row>
    <row r="619" spans="1:9" x14ac:dyDescent="0.25">
      <c r="A619">
        <v>308.16769685567999</v>
      </c>
      <c r="B619">
        <v>325.37113679117999</v>
      </c>
      <c r="C619" s="1">
        <f t="shared" si="159"/>
        <v>5.5824929449229899E-2</v>
      </c>
      <c r="D619">
        <v>7.6218579234973003</v>
      </c>
      <c r="E619">
        <v>0.96137723192012003</v>
      </c>
      <c r="F619">
        <v>8</v>
      </c>
    </row>
    <row r="620" spans="1:9" x14ac:dyDescent="0.25">
      <c r="A620">
        <v>308.73206127384998</v>
      </c>
      <c r="B620">
        <v>324.11448535340003</v>
      </c>
      <c r="C620" s="1">
        <f t="shared" si="159"/>
        <v>4.9824511312758002E-2</v>
      </c>
      <c r="D620">
        <v>7.6338797814208004</v>
      </c>
      <c r="E620">
        <v>0.95822246496450003</v>
      </c>
      <c r="F620">
        <v>8</v>
      </c>
    </row>
    <row r="621" spans="1:9" x14ac:dyDescent="0.25">
      <c r="A621">
        <v>307.85702768073003</v>
      </c>
      <c r="B621">
        <v>324.76431066917002</v>
      </c>
      <c r="C621" s="1">
        <f t="shared" si="159"/>
        <v>5.4919269232905243E-2</v>
      </c>
      <c r="D621">
        <v>7.6360655737704999</v>
      </c>
      <c r="E621">
        <v>0.96711974381979005</v>
      </c>
      <c r="F621">
        <v>9</v>
      </c>
    </row>
    <row r="622" spans="1:9" x14ac:dyDescent="0.25">
      <c r="A622">
        <v>310.84170921794998</v>
      </c>
      <c r="B622">
        <v>326.85514646600001</v>
      </c>
      <c r="C622" s="1">
        <f t="shared" si="159"/>
        <v>5.1516372395256749E-2</v>
      </c>
      <c r="D622">
        <v>7.6994535519126002</v>
      </c>
      <c r="E622">
        <v>0.96781708661485999</v>
      </c>
      <c r="F622">
        <v>8</v>
      </c>
    </row>
    <row r="623" spans="1:9" x14ac:dyDescent="0.25">
      <c r="A623">
        <v>312.37194302607003</v>
      </c>
      <c r="B623">
        <v>326.77828540715001</v>
      </c>
      <c r="C623" s="1">
        <f t="shared" si="159"/>
        <v>4.6119194449796286E-2</v>
      </c>
      <c r="D623">
        <v>7.6655737704918003</v>
      </c>
      <c r="E623">
        <v>0.94776606388748996</v>
      </c>
      <c r="F623">
        <v>8</v>
      </c>
    </row>
    <row r="624" spans="1:9" x14ac:dyDescent="0.25">
      <c r="A624">
        <v>308.62671324912998</v>
      </c>
      <c r="B624">
        <v>324.64176296694001</v>
      </c>
      <c r="C624" s="1">
        <f t="shared" si="159"/>
        <v>5.1891327063715131E-2</v>
      </c>
      <c r="D624">
        <v>7.6218579234973003</v>
      </c>
      <c r="E624">
        <v>0.95441831882407002</v>
      </c>
      <c r="F624">
        <v>8</v>
      </c>
    </row>
    <row r="625" spans="1:9" x14ac:dyDescent="0.25">
      <c r="A625">
        <v>310.85084654663001</v>
      </c>
      <c r="B625">
        <v>325.43939801127999</v>
      </c>
      <c r="C625" s="1">
        <f t="shared" si="159"/>
        <v>4.6931033409495893E-2</v>
      </c>
      <c r="D625">
        <v>7.6382513661202003</v>
      </c>
      <c r="E625">
        <v>0.94956908356670999</v>
      </c>
      <c r="F625">
        <v>8</v>
      </c>
      <c r="H625" t="s">
        <v>17</v>
      </c>
      <c r="I625">
        <f t="shared" ref="I625" si="172">STDEVP(A611:A630)</f>
        <v>2.5968083710730583</v>
      </c>
    </row>
    <row r="626" spans="1:9" x14ac:dyDescent="0.25">
      <c r="A626">
        <v>310.10212308518999</v>
      </c>
      <c r="B626">
        <v>325.04434291857001</v>
      </c>
      <c r="C626" s="1">
        <f t="shared" si="159"/>
        <v>4.8184835642918644E-2</v>
      </c>
      <c r="D626">
        <v>7.6885245901639001</v>
      </c>
      <c r="E626">
        <v>0.96730011384168002</v>
      </c>
      <c r="F626">
        <v>8</v>
      </c>
      <c r="H626" t="s">
        <v>18</v>
      </c>
      <c r="I626">
        <f t="shared" ref="I626" si="173">STDEVP(B611:B630)</f>
        <v>1.9165294248062339</v>
      </c>
    </row>
    <row r="627" spans="1:9" x14ac:dyDescent="0.25">
      <c r="A627">
        <v>308.35689330824999</v>
      </c>
      <c r="B627">
        <v>322.52781510346</v>
      </c>
      <c r="C627" s="1">
        <f t="shared" si="159"/>
        <v>4.5956234813417929E-2</v>
      </c>
      <c r="D627">
        <v>7.7114754098361002</v>
      </c>
      <c r="E627">
        <v>0.97933399299791002</v>
      </c>
      <c r="F627">
        <v>8</v>
      </c>
      <c r="H627" t="s">
        <v>19</v>
      </c>
      <c r="I627">
        <f t="shared" ref="I627" si="174">STDEVP(C611:C630)</f>
        <v>5.4641074279192878E-3</v>
      </c>
    </row>
    <row r="628" spans="1:9" x14ac:dyDescent="0.25">
      <c r="A628">
        <v>305.98602526203001</v>
      </c>
      <c r="B628">
        <v>322.42461703842997</v>
      </c>
      <c r="C628" s="1">
        <f t="shared" si="159"/>
        <v>5.3723341653668211E-2</v>
      </c>
      <c r="D628">
        <v>7.6426229508196997</v>
      </c>
      <c r="E628">
        <v>0.98223117219523004</v>
      </c>
      <c r="F628">
        <v>8</v>
      </c>
      <c r="H628" t="s">
        <v>20</v>
      </c>
      <c r="I628">
        <f t="shared" ref="I628" si="175">STDEVP(D611:D630)</f>
        <v>5.0873436511067543E-2</v>
      </c>
    </row>
    <row r="629" spans="1:9" x14ac:dyDescent="0.25">
      <c r="A629">
        <v>309.83284063423997</v>
      </c>
      <c r="B629">
        <v>323.65976887932999</v>
      </c>
      <c r="C629" s="1">
        <f t="shared" si="159"/>
        <v>4.4627058309202328E-2</v>
      </c>
      <c r="D629">
        <v>7.6765027322404</v>
      </c>
      <c r="E629">
        <v>0.96241457850426004</v>
      </c>
      <c r="F629">
        <v>8</v>
      </c>
      <c r="H629" t="s">
        <v>21</v>
      </c>
      <c r="I629">
        <f t="shared" ref="I629" si="176">STDEVP(E611:E630)</f>
        <v>1.4178744153676679E-2</v>
      </c>
    </row>
    <row r="630" spans="1:9" x14ac:dyDescent="0.25">
      <c r="A630">
        <v>304.58263907551998</v>
      </c>
      <c r="B630">
        <v>320.79387261489001</v>
      </c>
      <c r="C630" s="1">
        <f t="shared" si="159"/>
        <v>5.3224417480178587E-2</v>
      </c>
      <c r="D630">
        <v>7.6229508196721003</v>
      </c>
      <c r="E630">
        <v>0.98311808881863005</v>
      </c>
      <c r="F630">
        <v>8</v>
      </c>
      <c r="H630" t="s">
        <v>22</v>
      </c>
      <c r="I630">
        <f t="shared" ref="I630" si="177">STDEVP(F611:F630)</f>
        <v>0.21794494717703367</v>
      </c>
    </row>
    <row r="631" spans="1:9" x14ac:dyDescent="0.25">
      <c r="C631" s="1" t="str">
        <f t="shared" si="159"/>
        <v/>
      </c>
    </row>
    <row r="632" spans="1:9" x14ac:dyDescent="0.25">
      <c r="A632">
        <v>486.74459833794998</v>
      </c>
      <c r="B632">
        <v>504.07756232687001</v>
      </c>
      <c r="C632" s="1">
        <f t="shared" si="159"/>
        <v>3.5609977076490607E-2</v>
      </c>
      <c r="D632">
        <v>9.3993281075028001</v>
      </c>
      <c r="E632">
        <v>0.62500014128101</v>
      </c>
      <c r="F632">
        <v>14</v>
      </c>
    </row>
    <row r="633" spans="1:9" x14ac:dyDescent="0.25">
      <c r="A633">
        <v>494.43988919667999</v>
      </c>
      <c r="B633">
        <v>510.7700831025</v>
      </c>
      <c r="C633" s="1">
        <f t="shared" si="159"/>
        <v>3.3027662740463315E-2</v>
      </c>
      <c r="D633">
        <v>9.5126539753639001</v>
      </c>
      <c r="E633">
        <v>0.61956635834789997</v>
      </c>
      <c r="F633">
        <v>14</v>
      </c>
    </row>
    <row r="634" spans="1:9" x14ac:dyDescent="0.25">
      <c r="A634">
        <v>489.24432132964</v>
      </c>
      <c r="B634">
        <v>509.31966759003001</v>
      </c>
      <c r="C634" s="1">
        <f t="shared" si="159"/>
        <v>4.1033376137775912E-2</v>
      </c>
      <c r="D634">
        <v>9.4150055991041004</v>
      </c>
      <c r="E634">
        <v>0.61966430983936005</v>
      </c>
      <c r="F634">
        <v>15</v>
      </c>
    </row>
    <row r="635" spans="1:9" x14ac:dyDescent="0.25">
      <c r="A635">
        <v>489.43379501384999</v>
      </c>
      <c r="B635">
        <v>509.91135734071997</v>
      </c>
      <c r="C635" s="1">
        <f t="shared" si="159"/>
        <v>4.1839289676125713E-2</v>
      </c>
      <c r="D635">
        <v>9.3809630459127007</v>
      </c>
      <c r="E635">
        <v>0.61689312463039003</v>
      </c>
      <c r="F635">
        <v>14</v>
      </c>
    </row>
    <row r="636" spans="1:9" x14ac:dyDescent="0.25">
      <c r="A636">
        <v>490.54958448753001</v>
      </c>
      <c r="B636">
        <v>507.16454293628999</v>
      </c>
      <c r="C636" s="1">
        <f t="shared" si="159"/>
        <v>3.3870089740504872E-2</v>
      </c>
      <c r="D636">
        <v>9.3554311310189995</v>
      </c>
      <c r="E636">
        <v>0.61157380978446996</v>
      </c>
      <c r="F636">
        <v>15</v>
      </c>
    </row>
    <row r="637" spans="1:9" x14ac:dyDescent="0.25">
      <c r="A637">
        <v>492.23047091413002</v>
      </c>
      <c r="B637">
        <v>510.54847645429999</v>
      </c>
      <c r="C637" s="1">
        <f t="shared" si="159"/>
        <v>3.7214286035871069E-2</v>
      </c>
      <c r="D637">
        <v>9.4584546472563993</v>
      </c>
      <c r="E637">
        <v>0.62127582070744003</v>
      </c>
      <c r="F637">
        <v>14</v>
      </c>
    </row>
    <row r="638" spans="1:9" x14ac:dyDescent="0.25">
      <c r="A638">
        <v>481.78060941827999</v>
      </c>
      <c r="B638">
        <v>497.40387811634997</v>
      </c>
      <c r="C638" s="1">
        <f t="shared" si="159"/>
        <v>3.2428180779077165E-2</v>
      </c>
      <c r="D638">
        <v>9.2931690929450994</v>
      </c>
      <c r="E638">
        <v>0.62158516356451998</v>
      </c>
      <c r="F638">
        <v>15</v>
      </c>
    </row>
    <row r="639" spans="1:9" x14ac:dyDescent="0.25">
      <c r="A639">
        <v>493.86371191135999</v>
      </c>
      <c r="B639">
        <v>507.11911357341</v>
      </c>
      <c r="C639" s="1">
        <f t="shared" si="159"/>
        <v>2.6840201744624537E-2</v>
      </c>
      <c r="D639">
        <v>9.4494960806270996</v>
      </c>
      <c r="E639">
        <v>0.61370467623198</v>
      </c>
      <c r="F639">
        <v>14</v>
      </c>
    </row>
    <row r="640" spans="1:9" x14ac:dyDescent="0.25">
      <c r="A640">
        <v>491.61772853186</v>
      </c>
      <c r="B640">
        <v>506.63711911358001</v>
      </c>
      <c r="C640" s="1">
        <f t="shared" si="159"/>
        <v>3.055095394255436E-2</v>
      </c>
      <c r="D640">
        <v>9.3370660694289001</v>
      </c>
      <c r="E640">
        <v>0.60681744730475995</v>
      </c>
      <c r="F640">
        <v>14</v>
      </c>
    </row>
    <row r="641" spans="1:9" x14ac:dyDescent="0.25">
      <c r="A641">
        <v>487.61440443213002</v>
      </c>
      <c r="B641">
        <v>505.82049861496</v>
      </c>
      <c r="C641" s="1">
        <f t="shared" si="159"/>
        <v>3.733707211548154E-2</v>
      </c>
      <c r="D641">
        <v>9.4571108622620006</v>
      </c>
      <c r="E641">
        <v>0.62783337173047005</v>
      </c>
      <c r="F641">
        <v>15</v>
      </c>
    </row>
    <row r="642" spans="1:9" x14ac:dyDescent="0.25">
      <c r="A642">
        <v>493.99667590028002</v>
      </c>
      <c r="B642">
        <v>509.29085872576002</v>
      </c>
      <c r="C642" s="1">
        <f t="shared" ref="C642:C705" si="178">IFERROR((B642/A642)-1,"")</f>
        <v>3.0960092590921251E-2</v>
      </c>
      <c r="D642">
        <v>9.4647256438969993</v>
      </c>
      <c r="E642">
        <v>0.61554436820432001</v>
      </c>
      <c r="F642">
        <v>14</v>
      </c>
    </row>
    <row r="643" spans="1:9" x14ac:dyDescent="0.25">
      <c r="A643">
        <v>493.25207756232999</v>
      </c>
      <c r="B643">
        <v>512.81218836564994</v>
      </c>
      <c r="C643" s="1">
        <f t="shared" si="178"/>
        <v>3.9655404798266236E-2</v>
      </c>
      <c r="D643">
        <v>9.5377379619260996</v>
      </c>
      <c r="E643">
        <v>0.62518236438723995</v>
      </c>
      <c r="F643">
        <v>15</v>
      </c>
    </row>
    <row r="644" spans="1:9" x14ac:dyDescent="0.25">
      <c r="A644">
        <v>491.72963988919997</v>
      </c>
      <c r="B644">
        <v>508.18060941828003</v>
      </c>
      <c r="C644" s="1">
        <f t="shared" si="178"/>
        <v>3.3455314047749596E-2</v>
      </c>
      <c r="D644">
        <v>9.4629339305711007</v>
      </c>
      <c r="E644">
        <v>0.61984735993953</v>
      </c>
      <c r="F644">
        <v>14</v>
      </c>
    </row>
    <row r="645" spans="1:9" x14ac:dyDescent="0.25">
      <c r="A645">
        <v>489.98227146814003</v>
      </c>
      <c r="B645">
        <v>507.52465373961002</v>
      </c>
      <c r="C645" s="1">
        <f t="shared" si="178"/>
        <v>3.5802075489195895E-2</v>
      </c>
      <c r="D645">
        <v>9.4118701007839007</v>
      </c>
      <c r="E645">
        <v>0.61719674881505004</v>
      </c>
      <c r="F645">
        <v>15</v>
      </c>
    </row>
    <row r="646" spans="1:9" x14ac:dyDescent="0.25">
      <c r="A646">
        <v>496.44653739611999</v>
      </c>
      <c r="B646">
        <v>512.72908587257996</v>
      </c>
      <c r="C646" s="1">
        <f t="shared" si="178"/>
        <v>3.2798191245048347E-2</v>
      </c>
      <c r="D646">
        <v>9.4342665173571998</v>
      </c>
      <c r="E646">
        <v>0.60867184036682997</v>
      </c>
      <c r="F646">
        <v>14</v>
      </c>
      <c r="H646" t="s">
        <v>17</v>
      </c>
      <c r="I646">
        <f t="shared" ref="I646" si="179">STDEVP(A632:A651)</f>
        <v>3.3000938806025171</v>
      </c>
    </row>
    <row r="647" spans="1:9" x14ac:dyDescent="0.25">
      <c r="A647">
        <v>489.80055401662003</v>
      </c>
      <c r="B647">
        <v>504.70803324100001</v>
      </c>
      <c r="C647" s="1">
        <f t="shared" si="178"/>
        <v>3.0435815358171636E-2</v>
      </c>
      <c r="D647">
        <v>9.4154535274356004</v>
      </c>
      <c r="E647">
        <v>0.61931644193327995</v>
      </c>
      <c r="F647">
        <v>15</v>
      </c>
      <c r="H647" t="s">
        <v>18</v>
      </c>
      <c r="I647">
        <f t="shared" ref="I647" si="180">STDEVP(B632:B651)</f>
        <v>3.4057941873658066</v>
      </c>
    </row>
    <row r="648" spans="1:9" x14ac:dyDescent="0.25">
      <c r="A648">
        <v>489.96011080331999</v>
      </c>
      <c r="B648">
        <v>508.11523545707001</v>
      </c>
      <c r="C648" s="1">
        <f t="shared" si="178"/>
        <v>3.7054291264616568E-2</v>
      </c>
      <c r="D648">
        <v>9.4235162374019996</v>
      </c>
      <c r="E648">
        <v>0.62038247492665</v>
      </c>
      <c r="F648">
        <v>14</v>
      </c>
      <c r="H648" t="s">
        <v>19</v>
      </c>
      <c r="I648">
        <f t="shared" ref="I648" si="181">STDEVP(C632:C651)</f>
        <v>3.7035780820849048E-3</v>
      </c>
    </row>
    <row r="649" spans="1:9" x14ac:dyDescent="0.25">
      <c r="A649">
        <v>487.86925207756002</v>
      </c>
      <c r="B649">
        <v>506.03434903047003</v>
      </c>
      <c r="C649" s="1">
        <f t="shared" si="178"/>
        <v>3.7233535164503895E-2</v>
      </c>
      <c r="D649">
        <v>9.4763717805151</v>
      </c>
      <c r="E649">
        <v>0.62908368800122005</v>
      </c>
      <c r="F649">
        <v>15</v>
      </c>
      <c r="H649" t="s">
        <v>20</v>
      </c>
      <c r="I649">
        <f t="shared" ref="I649" si="182">STDEVP(D632:D651)</f>
        <v>5.7390160868063381E-2</v>
      </c>
    </row>
    <row r="650" spans="1:9" x14ac:dyDescent="0.25">
      <c r="A650">
        <v>494.15623268697999</v>
      </c>
      <c r="B650">
        <v>510.06759002770002</v>
      </c>
      <c r="C650" s="1">
        <f t="shared" si="178"/>
        <v>3.219904210091995E-2</v>
      </c>
      <c r="D650">
        <v>9.4898096304590993</v>
      </c>
      <c r="E650">
        <v>0.61795102308548999</v>
      </c>
      <c r="F650">
        <v>14</v>
      </c>
      <c r="H650" t="s">
        <v>21</v>
      </c>
      <c r="I650">
        <f t="shared" ref="I650" si="183">STDEVP(E632:E651)</f>
        <v>5.6885647231843502E-3</v>
      </c>
    </row>
    <row r="651" spans="1:9" x14ac:dyDescent="0.25">
      <c r="A651">
        <v>493.84819944598001</v>
      </c>
      <c r="B651">
        <v>511.20332409972002</v>
      </c>
      <c r="C651" s="1">
        <f t="shared" si="178"/>
        <v>3.5142630211489445E-2</v>
      </c>
      <c r="D651">
        <v>9.4508398656215</v>
      </c>
      <c r="E651">
        <v>0.61423968678367002</v>
      </c>
      <c r="F651">
        <v>14</v>
      </c>
      <c r="H651" t="s">
        <v>22</v>
      </c>
      <c r="I651">
        <f t="shared" ref="I651" si="184">STDEVP(F632:F651)</f>
        <v>0.48989794855663554</v>
      </c>
    </row>
    <row r="652" spans="1:9" x14ac:dyDescent="0.25">
      <c r="C652" s="1" t="str">
        <f t="shared" si="178"/>
        <v/>
      </c>
    </row>
    <row r="653" spans="1:9" x14ac:dyDescent="0.25">
      <c r="A653">
        <v>1441.9703703703999</v>
      </c>
      <c r="B653">
        <v>1476.6074074073999</v>
      </c>
      <c r="C653" s="1">
        <f t="shared" si="178"/>
        <v>2.4020630207611582E-2</v>
      </c>
      <c r="D653">
        <v>16.052434456928999</v>
      </c>
      <c r="E653">
        <v>0.28303080348920001</v>
      </c>
      <c r="F653">
        <v>23</v>
      </c>
    </row>
    <row r="654" spans="1:9" x14ac:dyDescent="0.25">
      <c r="A654">
        <v>1448.0716049383</v>
      </c>
      <c r="B654">
        <v>1480.2839506173</v>
      </c>
      <c r="C654" s="1">
        <f t="shared" si="178"/>
        <v>2.2244995046617477E-2</v>
      </c>
      <c r="D654">
        <v>16.141822721598</v>
      </c>
      <c r="E654">
        <v>0.28355353359988</v>
      </c>
      <c r="F654">
        <v>23</v>
      </c>
    </row>
    <row r="655" spans="1:9" x14ac:dyDescent="0.25">
      <c r="A655">
        <v>1449.1580246914</v>
      </c>
      <c r="B655">
        <v>1478.9209876543</v>
      </c>
      <c r="C655" s="1">
        <f t="shared" si="178"/>
        <v>2.0538107270418715E-2</v>
      </c>
      <c r="D655">
        <v>16.268664169788</v>
      </c>
      <c r="E655">
        <v>0.28600082834979002</v>
      </c>
      <c r="F655">
        <v>24</v>
      </c>
    </row>
    <row r="656" spans="1:9" x14ac:dyDescent="0.25">
      <c r="A656">
        <v>1440.9308641974999</v>
      </c>
      <c r="B656">
        <v>1471.4098765432</v>
      </c>
      <c r="C656" s="1">
        <f t="shared" si="178"/>
        <v>2.1152307236249612E-2</v>
      </c>
      <c r="D656">
        <v>16.045942571785002</v>
      </c>
      <c r="E656">
        <v>0.28289537558480998</v>
      </c>
      <c r="F656">
        <v>23</v>
      </c>
    </row>
    <row r="657" spans="1:9" x14ac:dyDescent="0.25">
      <c r="A657">
        <v>1448.5259259259001</v>
      </c>
      <c r="B657">
        <v>1482.9012345679</v>
      </c>
      <c r="C657" s="1">
        <f t="shared" si="178"/>
        <v>2.3731234648097344E-2</v>
      </c>
      <c r="D657">
        <v>16.277153558051999</v>
      </c>
      <c r="E657">
        <v>0.28620448208990001</v>
      </c>
      <c r="F657">
        <v>24</v>
      </c>
    </row>
    <row r="658" spans="1:9" x14ac:dyDescent="0.25">
      <c r="A658">
        <v>1454.0888888889001</v>
      </c>
      <c r="B658">
        <v>1483.575308642</v>
      </c>
      <c r="C658" s="1">
        <f t="shared" si="178"/>
        <v>2.0278278706627795E-2</v>
      </c>
      <c r="D658">
        <v>16.224719101123998</v>
      </c>
      <c r="E658">
        <v>0.28390551982526002</v>
      </c>
      <c r="F658">
        <v>23</v>
      </c>
    </row>
    <row r="659" spans="1:9" x14ac:dyDescent="0.25">
      <c r="A659">
        <v>1443.7185185185001</v>
      </c>
      <c r="B659">
        <v>1471.074074074</v>
      </c>
      <c r="C659" s="1">
        <f t="shared" si="178"/>
        <v>1.8947984115055494E-2</v>
      </c>
      <c r="D659">
        <v>15.925093632958999</v>
      </c>
      <c r="E659">
        <v>0.27969154492319998</v>
      </c>
      <c r="F659">
        <v>24</v>
      </c>
    </row>
    <row r="660" spans="1:9" x14ac:dyDescent="0.25">
      <c r="A660">
        <v>1446.7432098765</v>
      </c>
      <c r="B660">
        <v>1483.987654321</v>
      </c>
      <c r="C660" s="1">
        <f t="shared" si="178"/>
        <v>2.5743645582880781E-2</v>
      </c>
      <c r="D660">
        <v>16.135330836453999</v>
      </c>
      <c r="E660">
        <v>0.28403281689415999</v>
      </c>
      <c r="F660">
        <v>23</v>
      </c>
    </row>
    <row r="661" spans="1:9" x14ac:dyDescent="0.25">
      <c r="A661">
        <v>1443.4296296296</v>
      </c>
      <c r="B661">
        <v>1474.6024691358</v>
      </c>
      <c r="C661" s="1">
        <f t="shared" si="178"/>
        <v>2.1596369415112671E-2</v>
      </c>
      <c r="D661">
        <v>16.149812734082001</v>
      </c>
      <c r="E661">
        <v>0.28473696783231001</v>
      </c>
      <c r="F661">
        <v>24</v>
      </c>
    </row>
    <row r="662" spans="1:9" x14ac:dyDescent="0.25">
      <c r="A662">
        <v>1440.9753086420001</v>
      </c>
      <c r="B662">
        <v>1474.4123456790001</v>
      </c>
      <c r="C662" s="1">
        <f t="shared" si="178"/>
        <v>2.3204448290312207E-2</v>
      </c>
      <c r="D662">
        <v>15.960549313357999</v>
      </c>
      <c r="E662">
        <v>0.28118974789041001</v>
      </c>
      <c r="F662">
        <v>23</v>
      </c>
    </row>
    <row r="663" spans="1:9" x14ac:dyDescent="0.25">
      <c r="A663">
        <v>1440.150617284</v>
      </c>
      <c r="B663">
        <v>1480.9925925926</v>
      </c>
      <c r="C663" s="1">
        <f t="shared" si="178"/>
        <v>2.835951658002589E-2</v>
      </c>
      <c r="D663">
        <v>16.186267166042001</v>
      </c>
      <c r="E663">
        <v>0.28644626997000999</v>
      </c>
      <c r="F663">
        <v>24</v>
      </c>
    </row>
    <row r="664" spans="1:9" x14ac:dyDescent="0.25">
      <c r="A664">
        <v>1446.5283950616999</v>
      </c>
      <c r="B664">
        <v>1475.1802469135</v>
      </c>
      <c r="C664" s="1">
        <f t="shared" si="178"/>
        <v>1.9807320720156341E-2</v>
      </c>
      <c r="D664">
        <v>16.10986267166</v>
      </c>
      <c r="E664">
        <v>0.28315423932812001</v>
      </c>
      <c r="F664">
        <v>23</v>
      </c>
    </row>
    <row r="665" spans="1:9" x14ac:dyDescent="0.25">
      <c r="A665">
        <v>1449.1382716049</v>
      </c>
      <c r="B665">
        <v>1482.1061728395</v>
      </c>
      <c r="C665" s="1">
        <f t="shared" si="178"/>
        <v>2.2750003833718724E-2</v>
      </c>
      <c r="D665">
        <v>16.339575530586998</v>
      </c>
      <c r="E665">
        <v>0.28759592362579001</v>
      </c>
      <c r="F665">
        <v>24</v>
      </c>
    </row>
    <row r="666" spans="1:9" x14ac:dyDescent="0.25">
      <c r="A666">
        <v>1440.5209876542999</v>
      </c>
      <c r="B666">
        <v>1474.4839506173</v>
      </c>
      <c r="C666" s="1">
        <f t="shared" si="178"/>
        <v>2.3576860909402253E-2</v>
      </c>
      <c r="D666">
        <v>16.229712858926</v>
      </c>
      <c r="E666">
        <v>0.28718171858979002</v>
      </c>
      <c r="F666">
        <v>23</v>
      </c>
    </row>
    <row r="667" spans="1:9" x14ac:dyDescent="0.25">
      <c r="A667">
        <v>1447.4395061728001</v>
      </c>
      <c r="B667">
        <v>1478.1308641974999</v>
      </c>
      <c r="C667" s="1">
        <f t="shared" si="178"/>
        <v>2.1203896877080242E-2</v>
      </c>
      <c r="D667">
        <v>16.064918851436001</v>
      </c>
      <c r="E667">
        <v>0.28178453437609002</v>
      </c>
      <c r="F667">
        <v>24</v>
      </c>
      <c r="H667" t="s">
        <v>17</v>
      </c>
      <c r="I667">
        <f t="shared" ref="I667" si="185">STDEVP(A653:A672)</f>
        <v>4.6875586954607957</v>
      </c>
    </row>
    <row r="668" spans="1:9" x14ac:dyDescent="0.25">
      <c r="A668">
        <v>1442.4493827161</v>
      </c>
      <c r="B668">
        <v>1476.861728395</v>
      </c>
      <c r="C668" s="1">
        <f t="shared" si="178"/>
        <v>2.385688266863295E-2</v>
      </c>
      <c r="D668">
        <v>15.903620474407001</v>
      </c>
      <c r="E668">
        <v>0.27944080044716002</v>
      </c>
      <c r="F668">
        <v>23</v>
      </c>
      <c r="H668" t="s">
        <v>18</v>
      </c>
      <c r="I668">
        <f t="shared" ref="I668" si="186">STDEVP(B653:B672)</f>
        <v>4.3757708472484893</v>
      </c>
    </row>
    <row r="669" spans="1:9" x14ac:dyDescent="0.25">
      <c r="A669">
        <v>1454.7012345679</v>
      </c>
      <c r="B669">
        <v>1484.9753086419</v>
      </c>
      <c r="C669" s="1">
        <f t="shared" si="178"/>
        <v>2.0811197072361454E-2</v>
      </c>
      <c r="D669">
        <v>16.107365792759001</v>
      </c>
      <c r="E669">
        <v>0.28104268955269002</v>
      </c>
      <c r="F669">
        <v>23</v>
      </c>
      <c r="H669" t="s">
        <v>19</v>
      </c>
      <c r="I669">
        <f t="shared" ref="I669" si="187">STDEVP(C653:C672)</f>
        <v>2.2616347835403864E-3</v>
      </c>
    </row>
    <row r="670" spans="1:9" x14ac:dyDescent="0.25">
      <c r="A670">
        <v>1440.2987654321</v>
      </c>
      <c r="B670">
        <v>1473.3555555554999</v>
      </c>
      <c r="C670" s="1">
        <f t="shared" si="178"/>
        <v>2.2951342399771146E-2</v>
      </c>
      <c r="D670">
        <v>16.058926342071999</v>
      </c>
      <c r="E670">
        <v>0.28360233411127</v>
      </c>
      <c r="F670">
        <v>24</v>
      </c>
      <c r="H670" t="s">
        <v>20</v>
      </c>
      <c r="I670">
        <f t="shared" ref="I670" si="188">STDEVP(D653:D672)</f>
        <v>0.11968851975958816</v>
      </c>
    </row>
    <row r="671" spans="1:9" x14ac:dyDescent="0.25">
      <c r="A671">
        <v>1438.5283950616999</v>
      </c>
      <c r="B671">
        <v>1470.7259259258999</v>
      </c>
      <c r="C671" s="1">
        <f t="shared" si="178"/>
        <v>2.2382269946655375E-2</v>
      </c>
      <c r="D671">
        <v>16.015480649189001</v>
      </c>
      <c r="E671">
        <v>0.28311225932598</v>
      </c>
      <c r="F671">
        <v>24</v>
      </c>
      <c r="H671" t="s">
        <v>21</v>
      </c>
      <c r="I671">
        <f t="shared" ref="I671" si="189">STDEVP(E653:E672)</f>
        <v>2.4984683660810424E-3</v>
      </c>
    </row>
    <row r="672" spans="1:9" x14ac:dyDescent="0.25">
      <c r="A672">
        <v>1439.0271604938</v>
      </c>
      <c r="B672">
        <v>1476.8962962963001</v>
      </c>
      <c r="C672" s="1">
        <f t="shared" si="178"/>
        <v>2.6315789473706275E-2</v>
      </c>
      <c r="D672">
        <v>16.276654182272001</v>
      </c>
      <c r="E672">
        <v>0.28867359619728999</v>
      </c>
      <c r="F672">
        <v>23</v>
      </c>
      <c r="H672" t="s">
        <v>22</v>
      </c>
      <c r="I672">
        <f t="shared" ref="I672" si="190">STDEVP(F653:F672)</f>
        <v>0.49749371855330993</v>
      </c>
    </row>
    <row r="673" spans="1:9" x14ac:dyDescent="0.25">
      <c r="C673" s="1" t="str">
        <f t="shared" si="178"/>
        <v/>
      </c>
    </row>
    <row r="674" spans="1:9" x14ac:dyDescent="0.25">
      <c r="A674">
        <v>1692.2121627801</v>
      </c>
      <c r="B674">
        <v>1721.886602652</v>
      </c>
      <c r="C674" s="1">
        <f t="shared" si="178"/>
        <v>1.7535886175849447E-2</v>
      </c>
      <c r="D674">
        <v>16.590740740741001</v>
      </c>
      <c r="E674">
        <v>0.24077001556149999</v>
      </c>
      <c r="F674">
        <v>28</v>
      </c>
    </row>
    <row r="675" spans="1:9" x14ac:dyDescent="0.25">
      <c r="A675">
        <v>1681.9262307575</v>
      </c>
      <c r="B675">
        <v>1724.0618808107999</v>
      </c>
      <c r="C675" s="1">
        <f t="shared" si="178"/>
        <v>2.5052020286480126E-2</v>
      </c>
      <c r="D675">
        <v>16.748765432098999</v>
      </c>
      <c r="E675">
        <v>0.24531867743488001</v>
      </c>
      <c r="F675">
        <v>28</v>
      </c>
    </row>
    <row r="676" spans="1:9" x14ac:dyDescent="0.25">
      <c r="A676">
        <v>1678.9010821520999</v>
      </c>
      <c r="B676">
        <v>1719.2641365644999</v>
      </c>
      <c r="C676" s="1">
        <f t="shared" si="178"/>
        <v>2.4041353502888052E-2</v>
      </c>
      <c r="D676">
        <v>17.050617283950999</v>
      </c>
      <c r="E676">
        <v>0.25132856319183</v>
      </c>
      <c r="F676">
        <v>28</v>
      </c>
    </row>
    <row r="677" spans="1:9" x14ac:dyDescent="0.25">
      <c r="A677">
        <v>1683.6134735559001</v>
      </c>
      <c r="B677">
        <v>1713.7247370826999</v>
      </c>
      <c r="C677" s="1">
        <f t="shared" si="178"/>
        <v>1.7884902918484435E-2</v>
      </c>
      <c r="D677">
        <v>16.965432098765</v>
      </c>
      <c r="E677">
        <v>0.24892223660997001</v>
      </c>
      <c r="F677">
        <v>28</v>
      </c>
    </row>
    <row r="678" spans="1:9" x14ac:dyDescent="0.25">
      <c r="A678">
        <v>1667.0541076054999</v>
      </c>
      <c r="B678">
        <v>1708.3965858863</v>
      </c>
      <c r="C678" s="1">
        <f t="shared" si="178"/>
        <v>2.4799721911955785E-2</v>
      </c>
      <c r="D678">
        <v>16.930864197531001</v>
      </c>
      <c r="E678">
        <v>0.25146665839448001</v>
      </c>
      <c r="F678">
        <v>29</v>
      </c>
    </row>
    <row r="679" spans="1:9" x14ac:dyDescent="0.25">
      <c r="A679">
        <v>1692.7230605090999</v>
      </c>
      <c r="B679">
        <v>1735.2205456485001</v>
      </c>
      <c r="C679" s="1">
        <f t="shared" si="178"/>
        <v>2.5105988174237259E-2</v>
      </c>
      <c r="D679">
        <v>17.071604938271999</v>
      </c>
      <c r="E679">
        <v>0.24932209836981001</v>
      </c>
      <c r="F679">
        <v>28</v>
      </c>
    </row>
    <row r="680" spans="1:9" x14ac:dyDescent="0.25">
      <c r="A680">
        <v>1681.9176954732</v>
      </c>
      <c r="B680">
        <v>1714.8773052888</v>
      </c>
      <c r="C680" s="1">
        <f t="shared" si="178"/>
        <v>1.9596446309060989E-2</v>
      </c>
      <c r="D680">
        <v>16.783333333333001</v>
      </c>
      <c r="E680">
        <v>0.24595373193958001</v>
      </c>
      <c r="F680">
        <v>28</v>
      </c>
    </row>
    <row r="681" spans="1:9" x14ac:dyDescent="0.25">
      <c r="A681">
        <v>1678.6358786769999</v>
      </c>
      <c r="B681">
        <v>1712.9032159732001</v>
      </c>
      <c r="C681" s="1">
        <f t="shared" si="178"/>
        <v>2.0413800116799274E-2</v>
      </c>
      <c r="D681">
        <v>16.824691358024999</v>
      </c>
      <c r="E681">
        <v>0.24708852976237</v>
      </c>
      <c r="F681">
        <v>29</v>
      </c>
    </row>
    <row r="682" spans="1:9" x14ac:dyDescent="0.25">
      <c r="A682">
        <v>1673.2153635116999</v>
      </c>
      <c r="B682">
        <v>1710.7084285932001</v>
      </c>
      <c r="C682" s="1">
        <f t="shared" si="178"/>
        <v>2.240779393921577E-2</v>
      </c>
      <c r="D682">
        <v>17.027777777777999</v>
      </c>
      <c r="E682">
        <v>0.25194167033156001</v>
      </c>
      <c r="F682">
        <v>28</v>
      </c>
    </row>
    <row r="683" spans="1:9" x14ac:dyDescent="0.25">
      <c r="A683">
        <v>1679.1964639537</v>
      </c>
      <c r="B683">
        <v>1720.6831275720001</v>
      </c>
      <c r="C683" s="1">
        <f t="shared" si="178"/>
        <v>2.470625951689942E-2</v>
      </c>
      <c r="D683">
        <v>16.954320987654</v>
      </c>
      <c r="E683">
        <v>0.24968441281220999</v>
      </c>
      <c r="F683">
        <v>28</v>
      </c>
    </row>
    <row r="684" spans="1:9" x14ac:dyDescent="0.25">
      <c r="A684">
        <v>1687.3202255753999</v>
      </c>
      <c r="B684">
        <v>1725.1894528273001</v>
      </c>
      <c r="C684" s="1">
        <f t="shared" si="178"/>
        <v>2.244341452078924E-2</v>
      </c>
      <c r="D684">
        <v>16.803086419753001</v>
      </c>
      <c r="E684">
        <v>0.24533809447485999</v>
      </c>
      <c r="F684">
        <v>28</v>
      </c>
    </row>
    <row r="685" spans="1:9" x14ac:dyDescent="0.25">
      <c r="A685">
        <v>1704.4926078342</v>
      </c>
      <c r="B685">
        <v>1741.9609815577001</v>
      </c>
      <c r="C685" s="1">
        <f t="shared" si="178"/>
        <v>2.1982127438562982E-2</v>
      </c>
      <c r="D685">
        <v>17.204938271604998</v>
      </c>
      <c r="E685">
        <v>0.24942636027498</v>
      </c>
      <c r="F685">
        <v>28</v>
      </c>
    </row>
    <row r="686" spans="1:9" x14ac:dyDescent="0.25">
      <c r="A686">
        <v>1691.9536655997999</v>
      </c>
      <c r="B686">
        <v>1724.9644871208</v>
      </c>
      <c r="C686" s="1">
        <f t="shared" si="178"/>
        <v>1.9510476079909411E-2</v>
      </c>
      <c r="D686">
        <v>17.187654320987999</v>
      </c>
      <c r="E686">
        <v>0.25148264450888003</v>
      </c>
      <c r="F686">
        <v>29</v>
      </c>
    </row>
    <row r="687" spans="1:9" x14ac:dyDescent="0.25">
      <c r="A687">
        <v>1677.0763603109001</v>
      </c>
      <c r="B687">
        <v>1717.5412284711999</v>
      </c>
      <c r="C687" s="1">
        <f t="shared" si="178"/>
        <v>2.4128220466239414E-2</v>
      </c>
      <c r="D687">
        <v>16.990740740741</v>
      </c>
      <c r="E687">
        <v>0.25069688880777002</v>
      </c>
      <c r="F687">
        <v>28</v>
      </c>
    </row>
    <row r="688" spans="1:9" x14ac:dyDescent="0.25">
      <c r="A688">
        <v>1680.6642280139999</v>
      </c>
      <c r="B688">
        <v>1718.068282274</v>
      </c>
      <c r="C688" s="1">
        <f t="shared" si="178"/>
        <v>2.2255518762483328E-2</v>
      </c>
      <c r="D688">
        <v>16.959876543210001</v>
      </c>
      <c r="E688">
        <v>0.24937667492713</v>
      </c>
      <c r="F688">
        <v>28</v>
      </c>
      <c r="H688" t="s">
        <v>17</v>
      </c>
      <c r="I688">
        <f t="shared" ref="I688" si="191">STDEVP(A674:A693)</f>
        <v>8.1358681027869366</v>
      </c>
    </row>
    <row r="689" spans="1:9" x14ac:dyDescent="0.25">
      <c r="A689">
        <v>1688.5252248132999</v>
      </c>
      <c r="B689">
        <v>1717.7317482091</v>
      </c>
      <c r="C689" s="1">
        <f t="shared" si="178"/>
        <v>1.7297060752544891E-2</v>
      </c>
      <c r="D689">
        <v>16.872839506173001</v>
      </c>
      <c r="E689">
        <v>0.24649682888183</v>
      </c>
      <c r="F689">
        <v>29</v>
      </c>
      <c r="H689" t="s">
        <v>18</v>
      </c>
      <c r="I689">
        <f t="shared" ref="I689" si="192">STDEVP(B674:B693)</f>
        <v>7.9922933246375543</v>
      </c>
    </row>
    <row r="690" spans="1:9" x14ac:dyDescent="0.25">
      <c r="A690">
        <v>1688.9760707209</v>
      </c>
      <c r="B690">
        <v>1732.6502057613</v>
      </c>
      <c r="C690" s="1">
        <f t="shared" si="178"/>
        <v>2.5858350391997353E-2</v>
      </c>
      <c r="D690">
        <v>16.996913580247</v>
      </c>
      <c r="E690">
        <v>0.24871996110044001</v>
      </c>
      <c r="F690">
        <v>28</v>
      </c>
      <c r="H690" t="s">
        <v>19</v>
      </c>
      <c r="I690">
        <f t="shared" ref="I690" si="193">STDEVP(C674:C693)</f>
        <v>2.90067854479404E-3</v>
      </c>
    </row>
    <row r="691" spans="1:9" x14ac:dyDescent="0.25">
      <c r="A691">
        <v>1683.0041152263</v>
      </c>
      <c r="B691">
        <v>1722.1344307270001</v>
      </c>
      <c r="C691" s="1">
        <f t="shared" si="178"/>
        <v>2.3250279156589393E-2</v>
      </c>
      <c r="D691">
        <v>17.133333333332999</v>
      </c>
      <c r="E691">
        <v>0.25218493218510002</v>
      </c>
      <c r="F691">
        <v>28</v>
      </c>
      <c r="H691" t="s">
        <v>20</v>
      </c>
      <c r="I691">
        <f t="shared" ref="I691" si="194">STDEVP(D674:D693)</f>
        <v>0.1547229671970923</v>
      </c>
    </row>
    <row r="692" spans="1:9" x14ac:dyDescent="0.25">
      <c r="A692">
        <v>1674.8352385307001</v>
      </c>
      <c r="B692">
        <v>1721.8015546409999</v>
      </c>
      <c r="C692" s="1">
        <f t="shared" si="178"/>
        <v>2.8042350094987567E-2</v>
      </c>
      <c r="D692">
        <v>17.067283950617</v>
      </c>
      <c r="E692">
        <v>0.25238891654904999</v>
      </c>
      <c r="F692">
        <v>29</v>
      </c>
      <c r="H692" t="s">
        <v>21</v>
      </c>
      <c r="I692">
        <f t="shared" ref="I692" si="195">STDEVP(E674:E693)</f>
        <v>3.0144008459090294E-3</v>
      </c>
    </row>
    <row r="693" spans="1:9" x14ac:dyDescent="0.25">
      <c r="A693">
        <v>1686.9961896052</v>
      </c>
      <c r="B693">
        <v>1722.2606310014</v>
      </c>
      <c r="C693" s="1">
        <f t="shared" si="178"/>
        <v>2.090368763930206E-2</v>
      </c>
      <c r="D693">
        <v>16.765432098765</v>
      </c>
      <c r="E693">
        <v>0.24466593229445999</v>
      </c>
      <c r="F693">
        <v>28</v>
      </c>
      <c r="H693" t="s">
        <v>22</v>
      </c>
      <c r="I693">
        <f t="shared" ref="I693" si="196">STDEVP(F674:F693)</f>
        <v>0.4330127018922193</v>
      </c>
    </row>
    <row r="694" spans="1:9" x14ac:dyDescent="0.25">
      <c r="C694" s="1" t="str">
        <f t="shared" si="178"/>
        <v/>
      </c>
    </row>
    <row r="695" spans="1:9" x14ac:dyDescent="0.25">
      <c r="A695">
        <v>582.52892561983003</v>
      </c>
      <c r="B695">
        <v>637.25619834710994</v>
      </c>
      <c r="C695" s="1">
        <f t="shared" si="178"/>
        <v>9.3947734301860208E-2</v>
      </c>
      <c r="D695">
        <v>10.509090909091</v>
      </c>
      <c r="E695">
        <v>0.49249696123692999</v>
      </c>
      <c r="F695">
        <v>8</v>
      </c>
    </row>
    <row r="696" spans="1:9" x14ac:dyDescent="0.25">
      <c r="A696">
        <v>590.03305785123996</v>
      </c>
      <c r="B696">
        <v>634.67768595042003</v>
      </c>
      <c r="C696" s="1">
        <f t="shared" si="178"/>
        <v>7.5664621676902577E-2</v>
      </c>
      <c r="D696">
        <v>10.981818181817999</v>
      </c>
      <c r="E696">
        <v>0.51345451220088001</v>
      </c>
      <c r="F696">
        <v>8</v>
      </c>
    </row>
    <row r="697" spans="1:9" x14ac:dyDescent="0.25">
      <c r="A697">
        <v>565.96694214876004</v>
      </c>
      <c r="B697">
        <v>634.64462809917995</v>
      </c>
      <c r="C697" s="1">
        <f t="shared" si="178"/>
        <v>0.1213457550889403</v>
      </c>
      <c r="D697">
        <v>10.218181818182</v>
      </c>
      <c r="E697">
        <v>0.48987425668196999</v>
      </c>
      <c r="F697">
        <v>8</v>
      </c>
    </row>
    <row r="698" spans="1:9" x14ac:dyDescent="0.25">
      <c r="A698">
        <v>594</v>
      </c>
      <c r="B698">
        <v>655.95041322314</v>
      </c>
      <c r="C698" s="1">
        <f t="shared" si="178"/>
        <v>0.10429362495478123</v>
      </c>
      <c r="D698">
        <v>10.8</v>
      </c>
      <c r="E698">
        <v>0.4957599772697</v>
      </c>
      <c r="F698">
        <v>8</v>
      </c>
    </row>
    <row r="699" spans="1:9" x14ac:dyDescent="0.25">
      <c r="A699">
        <v>587.81818181818005</v>
      </c>
      <c r="B699">
        <v>641.96694214876004</v>
      </c>
      <c r="C699" s="1">
        <f t="shared" si="178"/>
        <v>9.2118212749208395E-2</v>
      </c>
      <c r="D699">
        <v>11.2</v>
      </c>
      <c r="E699">
        <v>0.53401171650743995</v>
      </c>
      <c r="F699">
        <v>8</v>
      </c>
    </row>
    <row r="700" spans="1:9" x14ac:dyDescent="0.25">
      <c r="A700">
        <v>589.04132231405003</v>
      </c>
      <c r="B700">
        <v>659.20661157024995</v>
      </c>
      <c r="C700" s="1">
        <f t="shared" si="178"/>
        <v>0.11911777085613529</v>
      </c>
      <c r="D700">
        <v>11.127272727273001</v>
      </c>
      <c r="E700">
        <v>0.52795710097648996</v>
      </c>
      <c r="F700">
        <v>8</v>
      </c>
    </row>
    <row r="701" spans="1:9" x14ac:dyDescent="0.25">
      <c r="A701">
        <v>594.85950413222997</v>
      </c>
      <c r="B701">
        <v>631.05785123966996</v>
      </c>
      <c r="C701" s="1">
        <f t="shared" si="178"/>
        <v>6.085192697769104E-2</v>
      </c>
      <c r="D701">
        <v>10.727272727273</v>
      </c>
      <c r="E701">
        <v>0.48914413737562001</v>
      </c>
      <c r="F701">
        <v>8</v>
      </c>
    </row>
    <row r="702" spans="1:9" x14ac:dyDescent="0.25">
      <c r="A702">
        <v>597.53719008264</v>
      </c>
      <c r="B702">
        <v>639.60330578513003</v>
      </c>
      <c r="C702" s="1">
        <f t="shared" si="178"/>
        <v>7.0399159082754847E-2</v>
      </c>
      <c r="D702">
        <v>11.054545454545</v>
      </c>
      <c r="E702">
        <v>0.51139144617943999</v>
      </c>
      <c r="F702">
        <v>8</v>
      </c>
    </row>
    <row r="703" spans="1:9" x14ac:dyDescent="0.25">
      <c r="A703">
        <v>557.32231404958998</v>
      </c>
      <c r="B703">
        <v>637.19008264463002</v>
      </c>
      <c r="C703" s="1">
        <f t="shared" si="178"/>
        <v>0.14330624592205643</v>
      </c>
      <c r="D703">
        <v>10.472727272727001</v>
      </c>
      <c r="E703">
        <v>0.52015756334993002</v>
      </c>
      <c r="F703">
        <v>8</v>
      </c>
    </row>
    <row r="704" spans="1:9" x14ac:dyDescent="0.25">
      <c r="A704">
        <v>566.54545454544996</v>
      </c>
      <c r="B704">
        <v>642.66115702479999</v>
      </c>
      <c r="C704" s="1">
        <f t="shared" si="178"/>
        <v>0.13435056599371897</v>
      </c>
      <c r="D704">
        <v>10</v>
      </c>
      <c r="E704">
        <v>0.47284583951569997</v>
      </c>
      <c r="F704">
        <v>8</v>
      </c>
    </row>
    <row r="705" spans="1:9" x14ac:dyDescent="0.25">
      <c r="A705">
        <v>597.00826446280996</v>
      </c>
      <c r="B705">
        <v>646.82644628099001</v>
      </c>
      <c r="C705" s="1">
        <f t="shared" si="178"/>
        <v>8.3446385558844094E-2</v>
      </c>
      <c r="D705">
        <v>11.345454545455</v>
      </c>
      <c r="E705">
        <v>0.53207110340032004</v>
      </c>
      <c r="F705">
        <v>8</v>
      </c>
    </row>
    <row r="706" spans="1:9" x14ac:dyDescent="0.25">
      <c r="A706">
        <v>591.50413223140004</v>
      </c>
      <c r="B706">
        <v>638.14876033057999</v>
      </c>
      <c r="C706" s="1">
        <f t="shared" ref="C706:C769" si="197">IFERROR((B706/A706)-1,"")</f>
        <v>7.8857653831118535E-2</v>
      </c>
      <c r="D706">
        <v>10.872727272726999</v>
      </c>
      <c r="E706">
        <v>0.50506943475343002</v>
      </c>
      <c r="F706">
        <v>8</v>
      </c>
    </row>
    <row r="707" spans="1:9" x14ac:dyDescent="0.25">
      <c r="A707">
        <v>588.39669421487997</v>
      </c>
      <c r="B707">
        <v>645.96694214876004</v>
      </c>
      <c r="C707" s="1">
        <f t="shared" si="197"/>
        <v>9.7842575425577838E-2</v>
      </c>
      <c r="D707">
        <v>10.981818181817999</v>
      </c>
      <c r="E707">
        <v>0.51907823678887999</v>
      </c>
      <c r="F707">
        <v>8</v>
      </c>
    </row>
    <row r="708" spans="1:9" x14ac:dyDescent="0.25">
      <c r="A708">
        <v>567.28925619835002</v>
      </c>
      <c r="B708">
        <v>618.33057851240005</v>
      </c>
      <c r="C708" s="1">
        <f t="shared" si="197"/>
        <v>8.9974068354651937E-2</v>
      </c>
      <c r="D708">
        <v>9.4909090909090992</v>
      </c>
      <c r="E708">
        <v>0.43973005628725997</v>
      </c>
      <c r="F708">
        <v>8</v>
      </c>
    </row>
    <row r="709" spans="1:9" x14ac:dyDescent="0.25">
      <c r="A709">
        <v>566.89256198347005</v>
      </c>
      <c r="B709">
        <v>643.17355371900999</v>
      </c>
      <c r="C709" s="1">
        <f t="shared" si="197"/>
        <v>0.13455987404146641</v>
      </c>
      <c r="D709">
        <v>10.109090909091</v>
      </c>
      <c r="E709">
        <v>0.48227338025645999</v>
      </c>
      <c r="F709">
        <v>8</v>
      </c>
      <c r="H709" t="s">
        <v>17</v>
      </c>
      <c r="I709">
        <f t="shared" ref="I709" si="198">STDEVP(A695:A714)</f>
        <v>13.154770016312414</v>
      </c>
    </row>
    <row r="710" spans="1:9" x14ac:dyDescent="0.25">
      <c r="A710">
        <v>606.57851239669003</v>
      </c>
      <c r="B710">
        <v>638.80991735536998</v>
      </c>
      <c r="C710" s="1">
        <f t="shared" si="197"/>
        <v>5.3136410703584769E-2</v>
      </c>
      <c r="D710">
        <v>10.981818181817999</v>
      </c>
      <c r="E710">
        <v>0.49248576044475001</v>
      </c>
      <c r="F710">
        <v>8</v>
      </c>
      <c r="H710" t="s">
        <v>18</v>
      </c>
      <c r="I710">
        <f t="shared" ref="I710" si="199">STDEVP(B695:B714)</f>
        <v>8.5215251944649104</v>
      </c>
    </row>
    <row r="711" spans="1:9" x14ac:dyDescent="0.25">
      <c r="A711">
        <v>576.44628099173997</v>
      </c>
      <c r="B711">
        <v>636.87603305785001</v>
      </c>
      <c r="C711" s="1">
        <f t="shared" si="197"/>
        <v>0.10483154121862737</v>
      </c>
      <c r="D711">
        <v>10.654545454545</v>
      </c>
      <c r="E711">
        <v>0.50790020154172999</v>
      </c>
      <c r="F711">
        <v>8</v>
      </c>
      <c r="H711" t="s">
        <v>19</v>
      </c>
      <c r="I711">
        <f t="shared" ref="I711" si="200">STDEVP(C695:C714)</f>
        <v>2.3889402010263992E-2</v>
      </c>
    </row>
    <row r="712" spans="1:9" x14ac:dyDescent="0.25">
      <c r="A712">
        <v>573.70247933884002</v>
      </c>
      <c r="B712">
        <v>631.73553719008999</v>
      </c>
      <c r="C712" s="1">
        <f t="shared" si="197"/>
        <v>0.10115531994585392</v>
      </c>
      <c r="D712">
        <v>10.363636363635999</v>
      </c>
      <c r="E712">
        <v>0.49257261527483998</v>
      </c>
      <c r="F712">
        <v>8</v>
      </c>
      <c r="H712" t="s">
        <v>20</v>
      </c>
      <c r="I712">
        <f t="shared" ref="I712" si="201">STDEVP(D695:D714)</f>
        <v>0.45380303005011402</v>
      </c>
    </row>
    <row r="713" spans="1:9" x14ac:dyDescent="0.25">
      <c r="A713">
        <v>584.99173553719004</v>
      </c>
      <c r="B713">
        <v>640.54545454545996</v>
      </c>
      <c r="C713" s="1">
        <f t="shared" si="197"/>
        <v>9.4964963833644056E-2</v>
      </c>
      <c r="D713">
        <v>10.654545454545</v>
      </c>
      <c r="E713">
        <v>0.49834387562920002</v>
      </c>
      <c r="F713">
        <v>8</v>
      </c>
      <c r="H713" t="s">
        <v>21</v>
      </c>
      <c r="I713">
        <f t="shared" ref="I713" si="202">STDEVP(E695:E714)</f>
        <v>2.3560959846671115E-2</v>
      </c>
    </row>
    <row r="714" spans="1:9" x14ac:dyDescent="0.25">
      <c r="A714">
        <v>596.26446280992002</v>
      </c>
      <c r="B714">
        <v>644.52892561984004</v>
      </c>
      <c r="C714" s="1">
        <f t="shared" si="197"/>
        <v>8.0944724732498363E-2</v>
      </c>
      <c r="D714">
        <v>10.254545454544999</v>
      </c>
      <c r="E714">
        <v>0.45629853545874</v>
      </c>
      <c r="F714">
        <v>8</v>
      </c>
      <c r="H714" t="s">
        <v>22</v>
      </c>
      <c r="I714">
        <f t="shared" ref="I714" si="203">STDEVP(F695:F714)</f>
        <v>0</v>
      </c>
    </row>
    <row r="715" spans="1:9" x14ac:dyDescent="0.25">
      <c r="C715" s="1" t="str">
        <f t="shared" si="197"/>
        <v/>
      </c>
    </row>
    <row r="716" spans="1:9" x14ac:dyDescent="0.25">
      <c r="A716">
        <v>1167.4847645428999</v>
      </c>
      <c r="B716">
        <v>1215.9612188366</v>
      </c>
      <c r="C716" s="1">
        <f t="shared" si="197"/>
        <v>4.1522130109063804E-2</v>
      </c>
      <c r="D716">
        <v>10.011695906432999</v>
      </c>
      <c r="E716">
        <v>0.19420924096572001</v>
      </c>
      <c r="F716">
        <v>14</v>
      </c>
    </row>
    <row r="717" spans="1:9" x14ac:dyDescent="0.25">
      <c r="A717">
        <v>1126.3822714681</v>
      </c>
      <c r="B717">
        <v>1203.6675900277</v>
      </c>
      <c r="C717" s="1">
        <f t="shared" si="197"/>
        <v>6.8613756197412501E-2</v>
      </c>
      <c r="D717">
        <v>9.8479532163743002</v>
      </c>
      <c r="E717">
        <v>0.19884333228390999</v>
      </c>
      <c r="F717">
        <v>14</v>
      </c>
    </row>
    <row r="718" spans="1:9" x14ac:dyDescent="0.25">
      <c r="A718">
        <v>1135.0747922437999</v>
      </c>
      <c r="B718">
        <v>1202.8310249307001</v>
      </c>
      <c r="C718" s="1">
        <f t="shared" si="197"/>
        <v>5.9693187752818178E-2</v>
      </c>
      <c r="D718">
        <v>10.023391812865</v>
      </c>
      <c r="E718">
        <v>0.20116879111298999</v>
      </c>
      <c r="F718">
        <v>15</v>
      </c>
    </row>
    <row r="719" spans="1:9" x14ac:dyDescent="0.25">
      <c r="A719">
        <v>1145.7340720222001</v>
      </c>
      <c r="B719">
        <v>1208.0886426592999</v>
      </c>
      <c r="C719" s="1">
        <f t="shared" si="197"/>
        <v>5.4423248954310388E-2</v>
      </c>
      <c r="D719">
        <v>9.7192982456140005</v>
      </c>
      <c r="E719">
        <v>0.19177511292616001</v>
      </c>
      <c r="F719">
        <v>14</v>
      </c>
    </row>
    <row r="720" spans="1:9" x14ac:dyDescent="0.25">
      <c r="A720">
        <v>1163.3074792243999</v>
      </c>
      <c r="B720">
        <v>1228.0498614958001</v>
      </c>
      <c r="C720" s="1">
        <f t="shared" si="197"/>
        <v>5.5653714454380721E-2</v>
      </c>
      <c r="D720">
        <v>9.8245614035088007</v>
      </c>
      <c r="E720">
        <v>0.19073197091734001</v>
      </c>
      <c r="F720">
        <v>15</v>
      </c>
    </row>
    <row r="721" spans="1:9" x14ac:dyDescent="0.25">
      <c r="A721">
        <v>1170.7590027701001</v>
      </c>
      <c r="B721">
        <v>1226.3490304709001</v>
      </c>
      <c r="C721" s="1">
        <f t="shared" si="197"/>
        <v>4.7482041623656102E-2</v>
      </c>
      <c r="D721">
        <v>10.023391812865</v>
      </c>
      <c r="E721">
        <v>0.19382905128579</v>
      </c>
      <c r="F721">
        <v>14</v>
      </c>
    </row>
    <row r="722" spans="1:9" x14ac:dyDescent="0.25">
      <c r="A722">
        <v>1145.7340720222001</v>
      </c>
      <c r="B722">
        <v>1215.9113573407001</v>
      </c>
      <c r="C722" s="1">
        <f t="shared" si="197"/>
        <v>6.1250936872845552E-2</v>
      </c>
      <c r="D722">
        <v>9.7192982456140005</v>
      </c>
      <c r="E722">
        <v>0.19175316772015</v>
      </c>
      <c r="F722">
        <v>15</v>
      </c>
    </row>
    <row r="723" spans="1:9" x14ac:dyDescent="0.25">
      <c r="A723">
        <v>1171.2409972298999</v>
      </c>
      <c r="B723">
        <v>1228.1385041551</v>
      </c>
      <c r="C723" s="1">
        <f t="shared" si="197"/>
        <v>4.857882114762746E-2</v>
      </c>
      <c r="D723">
        <v>10.198830409357001</v>
      </c>
      <c r="E723">
        <v>0.19794834225481001</v>
      </c>
      <c r="F723">
        <v>14</v>
      </c>
    </row>
    <row r="724" spans="1:9" x14ac:dyDescent="0.25">
      <c r="A724">
        <v>1155.2077562326999</v>
      </c>
      <c r="B724">
        <v>1198.7922437673001</v>
      </c>
      <c r="C724" s="1">
        <f t="shared" si="197"/>
        <v>3.7728700573077534E-2</v>
      </c>
      <c r="D724">
        <v>9.9415204678363001</v>
      </c>
      <c r="E724">
        <v>0.19508023224762</v>
      </c>
      <c r="F724">
        <v>15</v>
      </c>
    </row>
    <row r="725" spans="1:9" x14ac:dyDescent="0.25">
      <c r="A725">
        <v>1170.3988919668</v>
      </c>
      <c r="B725">
        <v>1219.9445983379001</v>
      </c>
      <c r="C725" s="1">
        <f t="shared" si="197"/>
        <v>4.2332325082639954E-2</v>
      </c>
      <c r="D725">
        <v>10.198830409357001</v>
      </c>
      <c r="E725">
        <v>0.1981834463289</v>
      </c>
      <c r="F725">
        <v>14</v>
      </c>
    </row>
    <row r="726" spans="1:9" x14ac:dyDescent="0.25">
      <c r="A726">
        <v>1163.595567867</v>
      </c>
      <c r="B726">
        <v>1219.0027700830999</v>
      </c>
      <c r="C726" s="1">
        <f t="shared" si="197"/>
        <v>4.7617233810599124E-2</v>
      </c>
      <c r="D726">
        <v>10.12865497076</v>
      </c>
      <c r="E726">
        <v>0.19773162135756001</v>
      </c>
      <c r="F726">
        <v>14</v>
      </c>
    </row>
    <row r="727" spans="1:9" x14ac:dyDescent="0.25">
      <c r="A727">
        <v>1164.2326869806</v>
      </c>
      <c r="B727">
        <v>1231.0249307479</v>
      </c>
      <c r="C727" s="1">
        <f t="shared" si="197"/>
        <v>5.7370184254595724E-2</v>
      </c>
      <c r="D727">
        <v>10.245614035088</v>
      </c>
      <c r="E727">
        <v>0.20046766554899001</v>
      </c>
      <c r="F727">
        <v>15</v>
      </c>
    </row>
    <row r="728" spans="1:9" x14ac:dyDescent="0.25">
      <c r="A728">
        <v>1159.6454293628999</v>
      </c>
      <c r="B728">
        <v>1209.5734072022001</v>
      </c>
      <c r="C728" s="1">
        <f t="shared" si="197"/>
        <v>4.3054520437967092E-2</v>
      </c>
      <c r="D728">
        <v>10.070175438595999</v>
      </c>
      <c r="E728">
        <v>0.19713583820665001</v>
      </c>
      <c r="F728">
        <v>14</v>
      </c>
    </row>
    <row r="729" spans="1:9" x14ac:dyDescent="0.25">
      <c r="A729">
        <v>1160.7091412742</v>
      </c>
      <c r="B729">
        <v>1223.2853185595</v>
      </c>
      <c r="C729" s="1">
        <f t="shared" si="197"/>
        <v>5.3912022452589081E-2</v>
      </c>
      <c r="D729">
        <v>10.304093567251</v>
      </c>
      <c r="E729">
        <v>0.20257121416525001</v>
      </c>
      <c r="F729">
        <v>15</v>
      </c>
    </row>
    <row r="730" spans="1:9" x14ac:dyDescent="0.25">
      <c r="A730">
        <v>1158.7202216066</v>
      </c>
      <c r="B730">
        <v>1226.0720221607</v>
      </c>
      <c r="C730" s="1">
        <f t="shared" si="197"/>
        <v>5.8126024987045444E-2</v>
      </c>
      <c r="D730">
        <v>10.093567251462</v>
      </c>
      <c r="E730">
        <v>0.19819258097423001</v>
      </c>
      <c r="F730">
        <v>14</v>
      </c>
      <c r="H730" t="s">
        <v>17</v>
      </c>
      <c r="I730">
        <f t="shared" ref="I730" si="204">STDEVP(A716:A735)</f>
        <v>13.467611926603379</v>
      </c>
    </row>
    <row r="731" spans="1:9" x14ac:dyDescent="0.25">
      <c r="A731">
        <v>1167.1911357341</v>
      </c>
      <c r="B731">
        <v>1218.6315789473999</v>
      </c>
      <c r="C731" s="1">
        <f t="shared" si="197"/>
        <v>4.4071996126792579E-2</v>
      </c>
      <c r="D731">
        <v>10.257309941520001</v>
      </c>
      <c r="E731">
        <v>0.20006072679376999</v>
      </c>
      <c r="F731">
        <v>15</v>
      </c>
      <c r="H731" t="s">
        <v>18</v>
      </c>
      <c r="I731">
        <f t="shared" ref="I731" si="205">STDEVP(B716:B735)</f>
        <v>9.0837535997768377</v>
      </c>
    </row>
    <row r="732" spans="1:9" x14ac:dyDescent="0.25">
      <c r="A732">
        <v>1188.2825484765001</v>
      </c>
      <c r="B732">
        <v>1222.2216066481999</v>
      </c>
      <c r="C732" s="1">
        <f t="shared" si="197"/>
        <v>2.856143786274834E-2</v>
      </c>
      <c r="D732">
        <v>10.187134502924</v>
      </c>
      <c r="E732">
        <v>0.19414354837455</v>
      </c>
      <c r="F732">
        <v>14</v>
      </c>
      <c r="H732" t="s">
        <v>19</v>
      </c>
      <c r="I732">
        <f t="shared" ref="I732" si="206">STDEVP(C716:C735)</f>
        <v>9.9078756955550649E-3</v>
      </c>
    </row>
    <row r="733" spans="1:9" x14ac:dyDescent="0.25">
      <c r="A733">
        <v>1156.9085872575999</v>
      </c>
      <c r="B733">
        <v>1221.7783933518001</v>
      </c>
      <c r="C733" s="1">
        <f t="shared" si="197"/>
        <v>5.6071678271462311E-2</v>
      </c>
      <c r="D733">
        <v>10.070175438595999</v>
      </c>
      <c r="E733">
        <v>0.1978831299994</v>
      </c>
      <c r="F733">
        <v>15</v>
      </c>
      <c r="H733" t="s">
        <v>20</v>
      </c>
      <c r="I733">
        <f t="shared" ref="I733" si="207">STDEVP(D716:D735)</f>
        <v>0.17064002818677509</v>
      </c>
    </row>
    <row r="734" spans="1:9" x14ac:dyDescent="0.25">
      <c r="A734">
        <v>1170.1883656509999</v>
      </c>
      <c r="B734">
        <v>1212.8033240996999</v>
      </c>
      <c r="C734" s="1">
        <f t="shared" si="197"/>
        <v>3.6417178378792325E-2</v>
      </c>
      <c r="D734">
        <v>10.198830409357001</v>
      </c>
      <c r="E734">
        <v>0.19800628767826001</v>
      </c>
      <c r="F734">
        <v>14</v>
      </c>
      <c r="H734" t="s">
        <v>21</v>
      </c>
      <c r="I734">
        <f t="shared" ref="I734" si="208">STDEVP(E716:E735)</f>
        <v>3.2213268185807089E-3</v>
      </c>
    </row>
    <row r="735" spans="1:9" x14ac:dyDescent="0.25">
      <c r="A735">
        <v>1154.3434903047</v>
      </c>
      <c r="B735">
        <v>1226.2271468143999</v>
      </c>
      <c r="C735" s="1">
        <f t="shared" si="197"/>
        <v>6.2272328049188808E-2</v>
      </c>
      <c r="D735">
        <v>9.9181286549708005</v>
      </c>
      <c r="E735">
        <v>0.19452710970442</v>
      </c>
      <c r="F735">
        <v>15</v>
      </c>
      <c r="H735" t="s">
        <v>22</v>
      </c>
      <c r="I735">
        <f t="shared" ref="I735" si="209">STDEVP(F716:F735)</f>
        <v>0.49749371855330993</v>
      </c>
    </row>
    <row r="736" spans="1:9" x14ac:dyDescent="0.25">
      <c r="C736" s="1" t="str">
        <f t="shared" si="197"/>
        <v/>
      </c>
    </row>
    <row r="737" spans="1:9" x14ac:dyDescent="0.25">
      <c r="A737">
        <v>1117.6719263642001</v>
      </c>
      <c r="B737">
        <v>1146.312294543</v>
      </c>
      <c r="C737" s="1">
        <f t="shared" si="197"/>
        <v>2.5625022426721822E-2</v>
      </c>
      <c r="D737">
        <v>12.711954711955</v>
      </c>
      <c r="E737">
        <v>0.29022022725884999</v>
      </c>
      <c r="F737">
        <v>20</v>
      </c>
    </row>
    <row r="738" spans="1:9" x14ac:dyDescent="0.25">
      <c r="A738">
        <v>1115.5489809336</v>
      </c>
      <c r="B738">
        <v>1148.5187376726001</v>
      </c>
      <c r="C738" s="1">
        <f t="shared" si="197"/>
        <v>2.9554736997211783E-2</v>
      </c>
      <c r="D738">
        <v>12.878454878455001</v>
      </c>
      <c r="E738">
        <v>0.29590609240235</v>
      </c>
      <c r="F738">
        <v>20</v>
      </c>
    </row>
    <row r="739" spans="1:9" x14ac:dyDescent="0.25">
      <c r="A739">
        <v>1122.8040762656001</v>
      </c>
      <c r="B739">
        <v>1150.8073635766</v>
      </c>
      <c r="C739" s="1">
        <f t="shared" si="197"/>
        <v>2.4940493094875116E-2</v>
      </c>
      <c r="D739">
        <v>12.771894771895001</v>
      </c>
      <c r="E739">
        <v>0.29014497328192002</v>
      </c>
      <c r="F739">
        <v>20</v>
      </c>
    </row>
    <row r="740" spans="1:9" x14ac:dyDescent="0.25">
      <c r="A740">
        <v>1136.1084812623001</v>
      </c>
      <c r="B740">
        <v>1164.8632478632001</v>
      </c>
      <c r="C740" s="1">
        <f t="shared" si="197"/>
        <v>2.5309877599849706E-2</v>
      </c>
      <c r="D740">
        <v>12.843156843157001</v>
      </c>
      <c r="E740">
        <v>0.28799460504209001</v>
      </c>
      <c r="F740">
        <v>21</v>
      </c>
    </row>
    <row r="741" spans="1:9" x14ac:dyDescent="0.25">
      <c r="A741">
        <v>1136.8152531229</v>
      </c>
      <c r="B741">
        <v>1167.5338593030999</v>
      </c>
      <c r="C741" s="1">
        <f t="shared" si="197"/>
        <v>2.7021634426362739E-2</v>
      </c>
      <c r="D741">
        <v>12.976356976357</v>
      </c>
      <c r="E741">
        <v>0.29207825604484</v>
      </c>
      <c r="F741">
        <v>20</v>
      </c>
    </row>
    <row r="742" spans="1:9" x14ac:dyDescent="0.25">
      <c r="A742">
        <v>1130.3813280735999</v>
      </c>
      <c r="B742">
        <v>1157.3076923077001</v>
      </c>
      <c r="C742" s="1">
        <f t="shared" si="197"/>
        <v>2.3820602451022577E-2</v>
      </c>
      <c r="D742">
        <v>12.876456876457</v>
      </c>
      <c r="E742">
        <v>0.29111148107589002</v>
      </c>
      <c r="F742">
        <v>20</v>
      </c>
    </row>
    <row r="743" spans="1:9" x14ac:dyDescent="0.25">
      <c r="A743">
        <v>1132.2577251808</v>
      </c>
      <c r="B743">
        <v>1159.4365548981</v>
      </c>
      <c r="C743" s="1">
        <f t="shared" si="197"/>
        <v>2.4004101816095025E-2</v>
      </c>
      <c r="D743">
        <v>12.911754911755001</v>
      </c>
      <c r="E743">
        <v>0.29131030162837002</v>
      </c>
      <c r="F743">
        <v>20</v>
      </c>
    </row>
    <row r="744" spans="1:9" x14ac:dyDescent="0.25">
      <c r="A744">
        <v>1132.2846811308</v>
      </c>
      <c r="B744">
        <v>1163.939513478</v>
      </c>
      <c r="C744" s="1">
        <f t="shared" si="197"/>
        <v>2.7956602146720355E-2</v>
      </c>
      <c r="D744">
        <v>12.940392940393</v>
      </c>
      <c r="E744">
        <v>0.29208538602147999</v>
      </c>
      <c r="F744">
        <v>21</v>
      </c>
    </row>
    <row r="745" spans="1:9" x14ac:dyDescent="0.25">
      <c r="A745">
        <v>1133.3727810651001</v>
      </c>
      <c r="B745">
        <v>1161.9099276791001</v>
      </c>
      <c r="C745" s="1">
        <f t="shared" si="197"/>
        <v>2.5178958848104616E-2</v>
      </c>
      <c r="D745">
        <v>12.833166833167001</v>
      </c>
      <c r="E745">
        <v>0.28879607258147999</v>
      </c>
      <c r="F745">
        <v>20</v>
      </c>
    </row>
    <row r="746" spans="1:9" x14ac:dyDescent="0.25">
      <c r="A746">
        <v>1132.6055226824001</v>
      </c>
      <c r="B746">
        <v>1159.8724523339999</v>
      </c>
      <c r="C746" s="1">
        <f t="shared" si="197"/>
        <v>2.4074515888835135E-2</v>
      </c>
      <c r="D746">
        <v>12.707292707293</v>
      </c>
      <c r="E746">
        <v>0.28515721750605999</v>
      </c>
      <c r="F746">
        <v>20</v>
      </c>
    </row>
    <row r="747" spans="1:9" x14ac:dyDescent="0.25">
      <c r="A747">
        <v>1127.1065088757</v>
      </c>
      <c r="B747">
        <v>1153.9237343852999</v>
      </c>
      <c r="C747" s="1">
        <f t="shared" si="197"/>
        <v>2.3792982560583598E-2</v>
      </c>
      <c r="D747">
        <v>12.969030969031</v>
      </c>
      <c r="E747">
        <v>0.29469494210062003</v>
      </c>
      <c r="F747">
        <v>21</v>
      </c>
    </row>
    <row r="748" spans="1:9" x14ac:dyDescent="0.25">
      <c r="A748">
        <v>1133.9046679815999</v>
      </c>
      <c r="B748">
        <v>1163.1406969099</v>
      </c>
      <c r="C748" s="1">
        <f t="shared" si="197"/>
        <v>2.5783498166862318E-2</v>
      </c>
      <c r="D748">
        <v>12.793872793873</v>
      </c>
      <c r="E748">
        <v>0.28733457388710998</v>
      </c>
      <c r="F748">
        <v>20</v>
      </c>
    </row>
    <row r="749" spans="1:9" x14ac:dyDescent="0.25">
      <c r="A749">
        <v>1124.2721893491</v>
      </c>
      <c r="B749">
        <v>1155.8461538460999</v>
      </c>
      <c r="C749" s="1">
        <f t="shared" si="197"/>
        <v>2.8083914906122276E-2</v>
      </c>
      <c r="D749">
        <v>12.915084915085</v>
      </c>
      <c r="E749">
        <v>0.29383450436968001</v>
      </c>
      <c r="F749">
        <v>20</v>
      </c>
    </row>
    <row r="750" spans="1:9" x14ac:dyDescent="0.25">
      <c r="A750">
        <v>1125.1499013806999</v>
      </c>
      <c r="B750">
        <v>1162.2386587771</v>
      </c>
      <c r="C750" s="1">
        <f t="shared" si="197"/>
        <v>3.2963392123029678E-2</v>
      </c>
      <c r="D750">
        <v>12.953046953047</v>
      </c>
      <c r="E750">
        <v>0.29466114878633998</v>
      </c>
      <c r="F750">
        <v>20</v>
      </c>
    </row>
    <row r="751" spans="1:9" x14ac:dyDescent="0.25">
      <c r="A751">
        <v>1126.5687047995</v>
      </c>
      <c r="B751">
        <v>1157.6666666666999</v>
      </c>
      <c r="C751" s="1">
        <f t="shared" si="197"/>
        <v>2.7604141438257512E-2</v>
      </c>
      <c r="D751">
        <v>12.996336996337</v>
      </c>
      <c r="E751">
        <v>0.29558109402476002</v>
      </c>
      <c r="F751">
        <v>21</v>
      </c>
      <c r="H751" t="s">
        <v>17</v>
      </c>
      <c r="I751">
        <f t="shared" ref="I751" si="210">STDEVP(A737:A756)</f>
        <v>5.6613799577093342</v>
      </c>
    </row>
    <row r="752" spans="1:9" x14ac:dyDescent="0.25">
      <c r="A752">
        <v>1132.0913872451999</v>
      </c>
      <c r="B752">
        <v>1163.6962524655</v>
      </c>
      <c r="C752" s="1">
        <f t="shared" si="197"/>
        <v>2.7917238463589511E-2</v>
      </c>
      <c r="D752">
        <v>12.990342990343001</v>
      </c>
      <c r="E752">
        <v>0.29363575664349001</v>
      </c>
      <c r="F752">
        <v>20</v>
      </c>
      <c r="H752" t="s">
        <v>18</v>
      </c>
      <c r="I752">
        <f t="shared" ref="I752" si="211">STDEVP(B737:B756)</f>
        <v>5.4900400486759002</v>
      </c>
    </row>
    <row r="753" spans="1:9" x14ac:dyDescent="0.25">
      <c r="A753">
        <v>1128.4628533859</v>
      </c>
      <c r="B753">
        <v>1158.5608152530999</v>
      </c>
      <c r="C753" s="1">
        <f t="shared" si="197"/>
        <v>2.6671646104160507E-2</v>
      </c>
      <c r="D753">
        <v>12.833832833833</v>
      </c>
      <c r="E753">
        <v>0.29044724569762997</v>
      </c>
      <c r="F753">
        <v>20</v>
      </c>
      <c r="H753" t="s">
        <v>19</v>
      </c>
      <c r="I753">
        <f t="shared" ref="I753" si="212">STDEVP(C737:C756)</f>
        <v>2.4235254486045131E-3</v>
      </c>
    </row>
    <row r="754" spans="1:9" x14ac:dyDescent="0.25">
      <c r="A754">
        <v>1132.5391190007001</v>
      </c>
      <c r="B754">
        <v>1156.8053911899999</v>
      </c>
      <c r="C754" s="1">
        <f t="shared" si="197"/>
        <v>2.1426431795761092E-2</v>
      </c>
      <c r="D754">
        <v>12.884448884449</v>
      </c>
      <c r="E754">
        <v>0.29039990660796999</v>
      </c>
      <c r="F754">
        <v>21</v>
      </c>
      <c r="H754" t="s">
        <v>20</v>
      </c>
      <c r="I754">
        <f t="shared" ref="I754" si="213">STDEVP(D737:D756)</f>
        <v>8.5304332041381548E-2</v>
      </c>
    </row>
    <row r="755" spans="1:9" x14ac:dyDescent="0.25">
      <c r="A755">
        <v>1129.4700854701</v>
      </c>
      <c r="B755">
        <v>1158.2439184747</v>
      </c>
      <c r="C755" s="1">
        <f t="shared" si="197"/>
        <v>2.5475515796971271E-2</v>
      </c>
      <c r="D755">
        <v>12.926406926406999</v>
      </c>
      <c r="E755">
        <v>0.29236153123800002</v>
      </c>
      <c r="F755">
        <v>20</v>
      </c>
      <c r="H755" t="s">
        <v>21</v>
      </c>
      <c r="I755">
        <f t="shared" ref="I755" si="214">STDEVP(E737:E756)</f>
        <v>2.7503190787713733E-3</v>
      </c>
    </row>
    <row r="756" spans="1:9" x14ac:dyDescent="0.25">
      <c r="A756">
        <v>1123.0092044707001</v>
      </c>
      <c r="B756">
        <v>1152.4825772518</v>
      </c>
      <c r="C756" s="1">
        <f t="shared" si="197"/>
        <v>2.6244996624930961E-2</v>
      </c>
      <c r="D756">
        <v>12.797868797869</v>
      </c>
      <c r="E756">
        <v>0.29076942655839999</v>
      </c>
      <c r="F756">
        <v>20</v>
      </c>
      <c r="H756" t="s">
        <v>22</v>
      </c>
      <c r="I756">
        <f t="shared" ref="I756" si="215">STDEVP(F737:F756)</f>
        <v>0.4330127018922193</v>
      </c>
    </row>
    <row r="757" spans="1:9" x14ac:dyDescent="0.25">
      <c r="C757" s="1" t="str">
        <f t="shared" si="197"/>
        <v/>
      </c>
    </row>
    <row r="758" spans="1:9" x14ac:dyDescent="0.25">
      <c r="A758">
        <v>736.24449732302003</v>
      </c>
      <c r="B758">
        <v>759.74598453301996</v>
      </c>
      <c r="C758" s="1">
        <f t="shared" si="197"/>
        <v>3.1920764495288134E-2</v>
      </c>
      <c r="D758">
        <v>13.381511592894</v>
      </c>
      <c r="E758">
        <v>0.56291174096727004</v>
      </c>
      <c r="F758">
        <v>22</v>
      </c>
    </row>
    <row r="759" spans="1:9" x14ac:dyDescent="0.25">
      <c r="A759">
        <v>748.44794765021004</v>
      </c>
      <c r="B759">
        <v>769.45925044616001</v>
      </c>
      <c r="C759" s="1">
        <f t="shared" si="197"/>
        <v>2.8073165090392704E-2</v>
      </c>
      <c r="D759">
        <v>13.562180066245</v>
      </c>
      <c r="E759">
        <v>0.56003938062198</v>
      </c>
      <c r="F759">
        <v>23</v>
      </c>
    </row>
    <row r="760" spans="1:9" x14ac:dyDescent="0.25">
      <c r="A760">
        <v>739.56216537775003</v>
      </c>
      <c r="B760">
        <v>759.18738845924997</v>
      </c>
      <c r="C760" s="1">
        <f t="shared" si="197"/>
        <v>2.653627240581713E-2</v>
      </c>
      <c r="D760">
        <v>13.503763926528</v>
      </c>
      <c r="E760">
        <v>0.56656453241994997</v>
      </c>
      <c r="F760">
        <v>22</v>
      </c>
    </row>
    <row r="761" spans="1:9" x14ac:dyDescent="0.25">
      <c r="A761">
        <v>744.72159428911004</v>
      </c>
      <c r="B761">
        <v>767.34384295063001</v>
      </c>
      <c r="C761" s="1">
        <f t="shared" si="197"/>
        <v>3.0376786217827467E-2</v>
      </c>
      <c r="D761">
        <v>13.452574525745</v>
      </c>
      <c r="E761">
        <v>0.55745306255283</v>
      </c>
      <c r="F761">
        <v>23</v>
      </c>
    </row>
    <row r="762" spans="1:9" x14ac:dyDescent="0.25">
      <c r="A762">
        <v>735.38845925043995</v>
      </c>
      <c r="B762">
        <v>759.21237358714995</v>
      </c>
      <c r="C762" s="1">
        <f t="shared" si="197"/>
        <v>3.2396366895658169E-2</v>
      </c>
      <c r="D762">
        <v>13.411020776874</v>
      </c>
      <c r="E762">
        <v>0.56674869384491</v>
      </c>
      <c r="F762">
        <v>23</v>
      </c>
    </row>
    <row r="763" spans="1:9" x14ac:dyDescent="0.25">
      <c r="A763">
        <v>737.46757882213001</v>
      </c>
      <c r="B763">
        <v>762.63593099345997</v>
      </c>
      <c r="C763" s="1">
        <f t="shared" si="197"/>
        <v>3.4128079517106835E-2</v>
      </c>
      <c r="D763">
        <v>13.473050286057999</v>
      </c>
      <c r="E763">
        <v>0.56730899930059997</v>
      </c>
      <c r="F763">
        <v>22</v>
      </c>
    </row>
    <row r="764" spans="1:9" x14ac:dyDescent="0.25">
      <c r="A764">
        <v>738.18976799524</v>
      </c>
      <c r="B764">
        <v>760.87566924450005</v>
      </c>
      <c r="C764" s="1">
        <f t="shared" si="197"/>
        <v>3.0731801269570536E-2</v>
      </c>
      <c r="D764">
        <v>13.591087021981</v>
      </c>
      <c r="E764">
        <v>0.57413318507890998</v>
      </c>
      <c r="F764">
        <v>23</v>
      </c>
    </row>
    <row r="765" spans="1:9" x14ac:dyDescent="0.25">
      <c r="A765">
        <v>742.63295657346998</v>
      </c>
      <c r="B765">
        <v>763.55264723379003</v>
      </c>
      <c r="C765" s="1">
        <f t="shared" si="197"/>
        <v>2.8169623331617322E-2</v>
      </c>
      <c r="D765">
        <v>13.360433604336</v>
      </c>
      <c r="E765">
        <v>0.55372246557464</v>
      </c>
      <c r="F765">
        <v>22</v>
      </c>
    </row>
    <row r="766" spans="1:9" x14ac:dyDescent="0.25">
      <c r="A766">
        <v>740.78048780487995</v>
      </c>
      <c r="B766">
        <v>760.19988102319996</v>
      </c>
      <c r="C766" s="1">
        <f t="shared" si="197"/>
        <v>2.6214774198311641E-2</v>
      </c>
      <c r="D766">
        <v>13.407407407407</v>
      </c>
      <c r="E766">
        <v>0.55861764765336996</v>
      </c>
      <c r="F766">
        <v>23</v>
      </c>
    </row>
    <row r="767" spans="1:9" x14ac:dyDescent="0.25">
      <c r="A767">
        <v>740.19571683521997</v>
      </c>
      <c r="B767">
        <v>761.23081499108002</v>
      </c>
      <c r="C767" s="1">
        <f t="shared" si="197"/>
        <v>2.8418292186014993E-2</v>
      </c>
      <c r="D767">
        <v>13.455585666968</v>
      </c>
      <c r="E767">
        <v>0.56274261933766001</v>
      </c>
      <c r="F767">
        <v>23</v>
      </c>
    </row>
    <row r="768" spans="1:9" x14ac:dyDescent="0.25">
      <c r="A768">
        <v>740.78881618083994</v>
      </c>
      <c r="B768">
        <v>761.38667459844999</v>
      </c>
      <c r="C768" s="1">
        <f t="shared" si="197"/>
        <v>2.7805304248251117E-2</v>
      </c>
      <c r="D768">
        <v>13.563384522733999</v>
      </c>
      <c r="E768">
        <v>0.56943486503782004</v>
      </c>
      <c r="F768">
        <v>22</v>
      </c>
    </row>
    <row r="769" spans="1:9" x14ac:dyDescent="0.25">
      <c r="A769">
        <v>742.56216537775003</v>
      </c>
      <c r="B769">
        <v>765.72456870910003</v>
      </c>
      <c r="C769" s="1">
        <f t="shared" si="197"/>
        <v>3.1192544424300195E-2</v>
      </c>
      <c r="D769">
        <v>13.454381210478999</v>
      </c>
      <c r="E769">
        <v>0.55999771690319999</v>
      </c>
      <c r="F769">
        <v>23</v>
      </c>
    </row>
    <row r="770" spans="1:9" x14ac:dyDescent="0.25">
      <c r="A770">
        <v>745.39381320641996</v>
      </c>
      <c r="B770">
        <v>768.39321832243002</v>
      </c>
      <c r="C770" s="1">
        <f t="shared" ref="C770:C833" si="216">IFERROR((B770/A770)-1,"")</f>
        <v>3.0855374311566708E-2</v>
      </c>
      <c r="D770">
        <v>13.498946100572001</v>
      </c>
      <c r="E770">
        <v>0.55910424566356998</v>
      </c>
      <c r="F770">
        <v>23</v>
      </c>
    </row>
    <row r="771" spans="1:9" x14ac:dyDescent="0.25">
      <c r="A771">
        <v>739.67519333730002</v>
      </c>
      <c r="B771">
        <v>764.96371207615005</v>
      </c>
      <c r="C771" s="1">
        <f t="shared" si="216"/>
        <v>3.4188680337855049E-2</v>
      </c>
      <c r="D771">
        <v>13.521830773863</v>
      </c>
      <c r="E771">
        <v>0.56838800958492997</v>
      </c>
      <c r="F771">
        <v>22</v>
      </c>
    </row>
    <row r="772" spans="1:9" x14ac:dyDescent="0.25">
      <c r="A772">
        <v>736.83402736465996</v>
      </c>
      <c r="B772">
        <v>755.76383105294997</v>
      </c>
      <c r="C772" s="1">
        <f t="shared" si="216"/>
        <v>2.5690729506608001E-2</v>
      </c>
      <c r="D772">
        <v>13.545919903643</v>
      </c>
      <c r="E772">
        <v>0.57238052985186005</v>
      </c>
      <c r="F772">
        <v>23</v>
      </c>
      <c r="H772" t="s">
        <v>17</v>
      </c>
      <c r="I772">
        <f t="shared" ref="I772" si="217">STDEVP(A758:A777)</f>
        <v>4.0515150653195136</v>
      </c>
    </row>
    <row r="773" spans="1:9" x14ac:dyDescent="0.25">
      <c r="A773">
        <v>750.19988102319996</v>
      </c>
      <c r="B773">
        <v>772.48185603806996</v>
      </c>
      <c r="C773" s="1">
        <f t="shared" si="216"/>
        <v>2.9701384362364358E-2</v>
      </c>
      <c r="D773">
        <v>13.718759409816</v>
      </c>
      <c r="E773">
        <v>0.56814726328251997</v>
      </c>
      <c r="F773">
        <v>23</v>
      </c>
      <c r="H773" t="s">
        <v>18</v>
      </c>
      <c r="I773">
        <f t="shared" ref="I773" si="218">STDEVP(B758:B777)</f>
        <v>4.217461177190315</v>
      </c>
    </row>
    <row r="774" spans="1:9" x14ac:dyDescent="0.25">
      <c r="A774">
        <v>742.63593099344996</v>
      </c>
      <c r="B774">
        <v>763.42891136229002</v>
      </c>
      <c r="C774" s="1">
        <f t="shared" si="216"/>
        <v>2.799888815105489E-2</v>
      </c>
      <c r="D774">
        <v>13.626016260163</v>
      </c>
      <c r="E774">
        <v>0.57123281355293998</v>
      </c>
      <c r="F774">
        <v>22</v>
      </c>
      <c r="H774" t="s">
        <v>19</v>
      </c>
      <c r="I774">
        <f t="shared" ref="I774" si="219">STDEVP(C758:C777)</f>
        <v>4.0763382607089194E-3</v>
      </c>
    </row>
    <row r="775" spans="1:9" x14ac:dyDescent="0.25">
      <c r="A775">
        <v>734.02795954788996</v>
      </c>
      <c r="B775">
        <v>765.45687091016998</v>
      </c>
      <c r="C775" s="1">
        <f t="shared" si="216"/>
        <v>4.2817049341878022E-2</v>
      </c>
      <c r="D775">
        <v>13.424872026498001</v>
      </c>
      <c r="E775">
        <v>0.56923425952079998</v>
      </c>
      <c r="F775">
        <v>23</v>
      </c>
      <c r="H775" t="s">
        <v>20</v>
      </c>
      <c r="I775">
        <f t="shared" ref="I775" si="220">STDEVP(D758:D777)</f>
        <v>8.5586804282320114E-2</v>
      </c>
    </row>
    <row r="776" spans="1:9" x14ac:dyDescent="0.25">
      <c r="A776">
        <v>740.44913741820005</v>
      </c>
      <c r="B776">
        <v>765.31409875074996</v>
      </c>
      <c r="C776" s="1">
        <f t="shared" si="216"/>
        <v>3.3580917413516209E-2</v>
      </c>
      <c r="D776">
        <v>13.485697079193001</v>
      </c>
      <c r="E776">
        <v>0.56433485563912</v>
      </c>
      <c r="F776">
        <v>22</v>
      </c>
      <c r="H776" t="s">
        <v>21</v>
      </c>
      <c r="I776">
        <f t="shared" ref="I776" si="221">STDEVP(E758:E777)</f>
        <v>5.3739649579995228E-3</v>
      </c>
    </row>
    <row r="777" spans="1:9" x14ac:dyDescent="0.25">
      <c r="A777">
        <v>742.42534205829998</v>
      </c>
      <c r="B777">
        <v>770.56751933373005</v>
      </c>
      <c r="C777" s="1">
        <f t="shared" si="216"/>
        <v>3.7905733655869911E-2</v>
      </c>
      <c r="D777">
        <v>13.459801264678999</v>
      </c>
      <c r="E777">
        <v>0.56128415578357005</v>
      </c>
      <c r="F777">
        <v>23</v>
      </c>
      <c r="H777" t="s">
        <v>22</v>
      </c>
      <c r="I777">
        <f t="shared" ref="I777" si="222">STDEVP(F758:F777)</f>
        <v>0.48989794855663565</v>
      </c>
    </row>
    <row r="778" spans="1:9" x14ac:dyDescent="0.25">
      <c r="C778" s="1" t="str">
        <f t="shared" si="216"/>
        <v/>
      </c>
    </row>
    <row r="779" spans="1:9" x14ac:dyDescent="0.25">
      <c r="A779">
        <v>1818.6683002896</v>
      </c>
      <c r="B779">
        <v>1861.4778347070001</v>
      </c>
      <c r="C779" s="1">
        <f t="shared" si="216"/>
        <v>2.3538945727807015E-2</v>
      </c>
      <c r="D779">
        <v>17.882406151063002</v>
      </c>
      <c r="E779">
        <v>0.24044762626915001</v>
      </c>
      <c r="F779">
        <v>33</v>
      </c>
    </row>
    <row r="780" spans="1:9" x14ac:dyDescent="0.25">
      <c r="A780">
        <v>1832.2655379816999</v>
      </c>
      <c r="B780">
        <v>1871.1343283582</v>
      </c>
      <c r="C780" s="1">
        <f t="shared" si="216"/>
        <v>2.1213513855265376E-2</v>
      </c>
      <c r="D780">
        <v>17.849841700588001</v>
      </c>
      <c r="E780">
        <v>0.23784232464150001</v>
      </c>
      <c r="F780">
        <v>32</v>
      </c>
    </row>
    <row r="781" spans="1:9" x14ac:dyDescent="0.25">
      <c r="A781">
        <v>1836.0752951659999</v>
      </c>
      <c r="B781">
        <v>1879.9394074403999</v>
      </c>
      <c r="C781" s="1">
        <f t="shared" si="216"/>
        <v>2.3890148944264444E-2</v>
      </c>
      <c r="D781">
        <v>17.902306648574999</v>
      </c>
      <c r="E781">
        <v>0.23824993522099</v>
      </c>
      <c r="F781">
        <v>33</v>
      </c>
    </row>
    <row r="782" spans="1:9" x14ac:dyDescent="0.25">
      <c r="A782">
        <v>1825.6613945199001</v>
      </c>
      <c r="B782">
        <v>1878.0035642682001</v>
      </c>
      <c r="C782" s="1">
        <f t="shared" si="216"/>
        <v>2.8670250631040339E-2</v>
      </c>
      <c r="D782">
        <v>17.800995024875998</v>
      </c>
      <c r="E782">
        <v>0.23805504774842001</v>
      </c>
      <c r="F782">
        <v>33</v>
      </c>
    </row>
    <row r="783" spans="1:9" x14ac:dyDescent="0.25">
      <c r="A783">
        <v>1829.2024949877</v>
      </c>
      <c r="B783">
        <v>1877.0416573847001</v>
      </c>
      <c r="C783" s="1">
        <f t="shared" si="216"/>
        <v>2.6153016152168362E-2</v>
      </c>
      <c r="D783">
        <v>18.035278154680999</v>
      </c>
      <c r="E783">
        <v>0.24135539676105999</v>
      </c>
      <c r="F783">
        <v>33</v>
      </c>
    </row>
    <row r="784" spans="1:9" x14ac:dyDescent="0.25">
      <c r="A784">
        <v>1829.3936288706</v>
      </c>
      <c r="B784">
        <v>1874.3203386055</v>
      </c>
      <c r="C784" s="1">
        <f t="shared" si="216"/>
        <v>2.4558251994479807E-2</v>
      </c>
      <c r="D784">
        <v>17.913161465400002</v>
      </c>
      <c r="E784">
        <v>0.23942433190494</v>
      </c>
      <c r="F784">
        <v>32</v>
      </c>
    </row>
    <row r="785" spans="1:9" x14ac:dyDescent="0.25">
      <c r="A785">
        <v>1825.0969035420001</v>
      </c>
      <c r="B785">
        <v>1869.9100022276</v>
      </c>
      <c r="C785" s="1">
        <f t="shared" si="216"/>
        <v>2.4553818812924622E-2</v>
      </c>
      <c r="D785">
        <v>17.834464043419</v>
      </c>
      <c r="E785">
        <v>0.23866148130032999</v>
      </c>
      <c r="F785">
        <v>33</v>
      </c>
    </row>
    <row r="786" spans="1:9" x14ac:dyDescent="0.25">
      <c r="A786">
        <v>1824.6041434618</v>
      </c>
      <c r="B786">
        <v>1864.7868122076</v>
      </c>
      <c r="C786" s="1">
        <f t="shared" si="216"/>
        <v>2.2022677570797233E-2</v>
      </c>
      <c r="D786">
        <v>17.927634554499999</v>
      </c>
      <c r="E786">
        <v>0.24022118149353999</v>
      </c>
      <c r="F786">
        <v>33</v>
      </c>
    </row>
    <row r="787" spans="1:9" x14ac:dyDescent="0.25">
      <c r="A787">
        <v>1818.1590554689001</v>
      </c>
      <c r="B787">
        <v>1855.3882824682</v>
      </c>
      <c r="C787" s="1">
        <f t="shared" si="216"/>
        <v>2.0476331202881726E-2</v>
      </c>
      <c r="D787">
        <v>17.718679330619999</v>
      </c>
      <c r="E787">
        <v>0.23793189760316</v>
      </c>
      <c r="F787">
        <v>33</v>
      </c>
    </row>
    <row r="788" spans="1:9" x14ac:dyDescent="0.25">
      <c r="A788">
        <v>1833.1672978392</v>
      </c>
      <c r="B788">
        <v>1879.13076409</v>
      </c>
      <c r="C788" s="1">
        <f t="shared" si="216"/>
        <v>2.5073252345805042E-2</v>
      </c>
      <c r="D788">
        <v>17.847127996382</v>
      </c>
      <c r="E788">
        <v>0.23769635231950001</v>
      </c>
      <c r="F788">
        <v>33</v>
      </c>
    </row>
    <row r="789" spans="1:9" x14ac:dyDescent="0.25">
      <c r="A789">
        <v>1834.1938070839999</v>
      </c>
      <c r="B789">
        <v>1876.3853865003</v>
      </c>
      <c r="C789" s="1">
        <f t="shared" si="216"/>
        <v>2.3002792427576857E-2</v>
      </c>
      <c r="D789">
        <v>18.153776571687001</v>
      </c>
      <c r="E789">
        <v>0.24248021716868001</v>
      </c>
      <c r="F789">
        <v>33</v>
      </c>
    </row>
    <row r="790" spans="1:9" x14ac:dyDescent="0.25">
      <c r="A790">
        <v>1833.0126977054999</v>
      </c>
      <c r="B790">
        <v>1887.5598128759</v>
      </c>
      <c r="C790" s="1">
        <f t="shared" si="216"/>
        <v>2.9758176382891577E-2</v>
      </c>
      <c r="D790">
        <v>17.840796019900001</v>
      </c>
      <c r="E790">
        <v>0.23748956427953</v>
      </c>
      <c r="F790">
        <v>33</v>
      </c>
    </row>
    <row r="791" spans="1:9" x14ac:dyDescent="0.25">
      <c r="A791">
        <v>1834.3657830252</v>
      </c>
      <c r="B791">
        <v>1880.5074626865</v>
      </c>
      <c r="C791" s="1">
        <f t="shared" si="216"/>
        <v>2.5154023307829121E-2</v>
      </c>
      <c r="D791">
        <v>17.983717774763001</v>
      </c>
      <c r="E791">
        <v>0.23966128755256999</v>
      </c>
      <c r="F791">
        <v>33</v>
      </c>
    </row>
    <row r="792" spans="1:9" x14ac:dyDescent="0.25">
      <c r="A792">
        <v>1838.1033637780999</v>
      </c>
      <c r="B792">
        <v>1875.0625974604</v>
      </c>
      <c r="C792" s="1">
        <f t="shared" si="216"/>
        <v>2.0107266223773568E-2</v>
      </c>
      <c r="D792">
        <v>17.799185888737998</v>
      </c>
      <c r="E792">
        <v>0.23604882019835999</v>
      </c>
      <c r="F792">
        <v>33</v>
      </c>
    </row>
    <row r="793" spans="1:9" x14ac:dyDescent="0.25">
      <c r="A793">
        <v>1822.9182445979</v>
      </c>
      <c r="B793">
        <v>1862.7190911115999</v>
      </c>
      <c r="C793" s="1">
        <f t="shared" si="216"/>
        <v>2.1833588331044096E-2</v>
      </c>
      <c r="D793">
        <v>17.587516960651001</v>
      </c>
      <c r="E793">
        <v>0.23503008493565999</v>
      </c>
      <c r="F793">
        <v>33</v>
      </c>
      <c r="H793" t="s">
        <v>17</v>
      </c>
      <c r="I793">
        <f t="shared" ref="I793" si="223">STDEVP(A779:A798)</f>
        <v>6.3712817811545275</v>
      </c>
    </row>
    <row r="794" spans="1:9" x14ac:dyDescent="0.25">
      <c r="A794">
        <v>1826.3613276899</v>
      </c>
      <c r="B794">
        <v>1864.7556248608</v>
      </c>
      <c r="C794" s="1">
        <f t="shared" si="216"/>
        <v>2.1022289833230179E-2</v>
      </c>
      <c r="D794">
        <v>18.028946178199998</v>
      </c>
      <c r="E794">
        <v>0.24188459363223</v>
      </c>
      <c r="F794">
        <v>33</v>
      </c>
      <c r="H794" t="s">
        <v>18</v>
      </c>
      <c r="I794">
        <f t="shared" ref="I794" si="224">STDEVP(B779:B798)</f>
        <v>7.5629242043799847</v>
      </c>
    </row>
    <row r="795" spans="1:9" x14ac:dyDescent="0.25">
      <c r="A795">
        <v>1819.1205168188999</v>
      </c>
      <c r="B795">
        <v>1871.7865894408001</v>
      </c>
      <c r="C795" s="1">
        <f t="shared" si="216"/>
        <v>2.8951392793918673E-2</v>
      </c>
      <c r="D795">
        <v>17.655359565807</v>
      </c>
      <c r="E795">
        <v>0.23691929581431001</v>
      </c>
      <c r="F795">
        <v>33</v>
      </c>
      <c r="H795" t="s">
        <v>19</v>
      </c>
      <c r="I795">
        <f t="shared" ref="I795" si="225">STDEVP(C779:C798)</f>
        <v>2.9136214260120159E-3</v>
      </c>
    </row>
    <row r="796" spans="1:9" x14ac:dyDescent="0.25">
      <c r="A796">
        <v>1823.9086656270999</v>
      </c>
      <c r="B796">
        <v>1868.4219202495001</v>
      </c>
      <c r="C796" s="1">
        <f t="shared" si="216"/>
        <v>2.4405418682023505E-2</v>
      </c>
      <c r="D796">
        <v>17.836273179557001</v>
      </c>
      <c r="E796">
        <v>0.23889035372517001</v>
      </c>
      <c r="F796">
        <v>33</v>
      </c>
      <c r="H796" t="s">
        <v>20</v>
      </c>
      <c r="I796">
        <f t="shared" ref="I796" si="226">STDEVP(D779:D798)</f>
        <v>0.13345934719277114</v>
      </c>
    </row>
    <row r="797" spans="1:9" x14ac:dyDescent="0.25">
      <c r="A797">
        <v>1837.4724883046999</v>
      </c>
      <c r="B797">
        <v>1872.5074626865</v>
      </c>
      <c r="C797" s="1">
        <f t="shared" si="216"/>
        <v>1.9066938201683925E-2</v>
      </c>
      <c r="D797">
        <v>17.900497512438001</v>
      </c>
      <c r="E797">
        <v>0.23789530299395001</v>
      </c>
      <c r="F797">
        <v>33</v>
      </c>
      <c r="H797" t="s">
        <v>21</v>
      </c>
      <c r="I797">
        <f t="shared" ref="I797" si="227">STDEVP(E779:E798)</f>
        <v>1.8781314444808312E-3</v>
      </c>
    </row>
    <row r="798" spans="1:9" x14ac:dyDescent="0.25">
      <c r="A798">
        <v>1819.6809979950999</v>
      </c>
      <c r="B798">
        <v>1867.0171530406999</v>
      </c>
      <c r="C798" s="1">
        <f t="shared" si="216"/>
        <v>2.601343592517269E-2</v>
      </c>
      <c r="D798">
        <v>17.662596110357001</v>
      </c>
      <c r="E798">
        <v>0.23682187292595999</v>
      </c>
      <c r="F798">
        <v>33</v>
      </c>
      <c r="H798" t="s">
        <v>22</v>
      </c>
      <c r="I798">
        <f t="shared" ref="I798" si="228">STDEVP(F779:F798)</f>
        <v>0.29999999999999988</v>
      </c>
    </row>
    <row r="799" spans="1:9" x14ac:dyDescent="0.25">
      <c r="C799" s="1" t="str">
        <f t="shared" si="216"/>
        <v/>
      </c>
    </row>
    <row r="800" spans="1:9" x14ac:dyDescent="0.25">
      <c r="A800">
        <v>265.8</v>
      </c>
      <c r="B800">
        <v>287.85000000000002</v>
      </c>
      <c r="C800" s="1">
        <f t="shared" si="216"/>
        <v>8.2957110609480855E-2</v>
      </c>
      <c r="D800">
        <v>5.6717948717948996</v>
      </c>
      <c r="E800">
        <v>0.72054762798242999</v>
      </c>
      <c r="F800">
        <v>7</v>
      </c>
    </row>
    <row r="801" spans="1:9" x14ac:dyDescent="0.25">
      <c r="A801">
        <v>268.95</v>
      </c>
      <c r="B801">
        <v>287.7</v>
      </c>
      <c r="C801" s="1">
        <f t="shared" si="216"/>
        <v>6.9715560513106567E-2</v>
      </c>
      <c r="D801">
        <v>5.6641025641025999</v>
      </c>
      <c r="E801">
        <v>0.70273040937926001</v>
      </c>
      <c r="F801">
        <v>7</v>
      </c>
    </row>
    <row r="802" spans="1:9" x14ac:dyDescent="0.25">
      <c r="A802">
        <v>270.14999999999998</v>
      </c>
      <c r="B802">
        <v>287.14999999999998</v>
      </c>
      <c r="C802" s="1">
        <f t="shared" si="216"/>
        <v>6.2928002961317731E-2</v>
      </c>
      <c r="D802">
        <v>5.5461538461537998</v>
      </c>
      <c r="E802">
        <v>0.67567327936004995</v>
      </c>
      <c r="F802">
        <v>8</v>
      </c>
    </row>
    <row r="803" spans="1:9" x14ac:dyDescent="0.25">
      <c r="A803">
        <v>266</v>
      </c>
      <c r="B803">
        <v>287.875</v>
      </c>
      <c r="C803" s="1">
        <f t="shared" si="216"/>
        <v>8.2236842105263053E-2</v>
      </c>
      <c r="D803">
        <v>5.4230769230769003</v>
      </c>
      <c r="E803">
        <v>0.66656451433413</v>
      </c>
      <c r="F803">
        <v>7</v>
      </c>
    </row>
    <row r="804" spans="1:9" x14ac:dyDescent="0.25">
      <c r="A804">
        <v>266.7</v>
      </c>
      <c r="B804">
        <v>286.875</v>
      </c>
      <c r="C804" s="1">
        <f t="shared" si="216"/>
        <v>7.5646794150731278E-2</v>
      </c>
      <c r="D804">
        <v>5.6230769230769004</v>
      </c>
      <c r="E804">
        <v>0.70482469901406997</v>
      </c>
      <c r="F804">
        <v>7</v>
      </c>
    </row>
    <row r="805" spans="1:9" x14ac:dyDescent="0.25">
      <c r="A805">
        <v>268.7</v>
      </c>
      <c r="B805">
        <v>286.35000000000002</v>
      </c>
      <c r="C805" s="1">
        <f t="shared" si="216"/>
        <v>6.5686639374767486E-2</v>
      </c>
      <c r="D805">
        <v>5.6743589743590004</v>
      </c>
      <c r="E805">
        <v>0.71047589267822997</v>
      </c>
      <c r="F805">
        <v>7</v>
      </c>
    </row>
    <row r="806" spans="1:9" x14ac:dyDescent="0.25">
      <c r="A806">
        <v>268</v>
      </c>
      <c r="B806">
        <v>289</v>
      </c>
      <c r="C806" s="1">
        <f t="shared" si="216"/>
        <v>7.835820895522394E-2</v>
      </c>
      <c r="D806">
        <v>5.7128205128204996</v>
      </c>
      <c r="E806">
        <v>0.71633239114015002</v>
      </c>
      <c r="F806">
        <v>7</v>
      </c>
    </row>
    <row r="807" spans="1:9" x14ac:dyDescent="0.25">
      <c r="A807">
        <v>264.45</v>
      </c>
      <c r="B807">
        <v>289.375</v>
      </c>
      <c r="C807" s="1">
        <f t="shared" si="216"/>
        <v>9.4252221591983432E-2</v>
      </c>
      <c r="D807">
        <v>5.5666666666667002</v>
      </c>
      <c r="E807">
        <v>0.7035305475893</v>
      </c>
      <c r="F807">
        <v>7</v>
      </c>
    </row>
    <row r="808" spans="1:9" x14ac:dyDescent="0.25">
      <c r="A808">
        <v>271.95</v>
      </c>
      <c r="B808">
        <v>288.22500000000002</v>
      </c>
      <c r="C808" s="1">
        <f t="shared" si="216"/>
        <v>5.9845559845560059E-2</v>
      </c>
      <c r="D808">
        <v>5.8025641025640997</v>
      </c>
      <c r="E808">
        <v>0.72217362263569995</v>
      </c>
      <c r="F808">
        <v>7</v>
      </c>
    </row>
    <row r="809" spans="1:9" x14ac:dyDescent="0.25">
      <c r="A809">
        <v>272.10000000000002</v>
      </c>
      <c r="B809">
        <v>287.57499999999999</v>
      </c>
      <c r="C809" s="1">
        <f t="shared" si="216"/>
        <v>5.6872473355383812E-2</v>
      </c>
      <c r="D809">
        <v>5.7897435897436003</v>
      </c>
      <c r="E809">
        <v>0.71791723628815995</v>
      </c>
      <c r="F809">
        <v>8</v>
      </c>
    </row>
    <row r="810" spans="1:9" x14ac:dyDescent="0.25">
      <c r="A810">
        <v>263.25</v>
      </c>
      <c r="B810">
        <v>283.45</v>
      </c>
      <c r="C810" s="1">
        <f t="shared" si="216"/>
        <v>7.6733143399809967E-2</v>
      </c>
      <c r="D810">
        <v>5.6</v>
      </c>
      <c r="E810">
        <v>0.71608726655138</v>
      </c>
      <c r="F810">
        <v>7</v>
      </c>
    </row>
    <row r="811" spans="1:9" x14ac:dyDescent="0.25">
      <c r="A811">
        <v>273.75</v>
      </c>
      <c r="B811">
        <v>287.27499999999998</v>
      </c>
      <c r="C811" s="1">
        <f t="shared" si="216"/>
        <v>4.9406392694063772E-2</v>
      </c>
      <c r="D811">
        <v>5.7333333333332996</v>
      </c>
      <c r="E811">
        <v>0.69684697685095998</v>
      </c>
      <c r="F811">
        <v>7</v>
      </c>
    </row>
    <row r="812" spans="1:9" x14ac:dyDescent="0.25">
      <c r="A812">
        <v>268.75</v>
      </c>
      <c r="B812">
        <v>284.67500000000001</v>
      </c>
      <c r="C812" s="1">
        <f t="shared" si="216"/>
        <v>5.9255813953488445E-2</v>
      </c>
      <c r="D812">
        <v>5.5153846153846002</v>
      </c>
      <c r="E812">
        <v>0.67425805868399002</v>
      </c>
      <c r="F812">
        <v>7</v>
      </c>
    </row>
    <row r="813" spans="1:9" x14ac:dyDescent="0.25">
      <c r="A813">
        <v>273.5</v>
      </c>
      <c r="B813">
        <v>287.64999999999998</v>
      </c>
      <c r="C813" s="1">
        <f t="shared" si="216"/>
        <v>5.1736745886654445E-2</v>
      </c>
      <c r="D813">
        <v>5.7358974358974004</v>
      </c>
      <c r="E813">
        <v>0.70018919813141001</v>
      </c>
      <c r="F813">
        <v>7</v>
      </c>
    </row>
    <row r="814" spans="1:9" x14ac:dyDescent="0.25">
      <c r="A814">
        <v>270.64999999999998</v>
      </c>
      <c r="B814">
        <v>285.95</v>
      </c>
      <c r="C814" s="1">
        <f t="shared" si="216"/>
        <v>5.6530574542767553E-2</v>
      </c>
      <c r="D814">
        <v>5.6769230769231003</v>
      </c>
      <c r="E814">
        <v>0.70350885885439995</v>
      </c>
      <c r="F814">
        <v>7</v>
      </c>
      <c r="H814" t="s">
        <v>17</v>
      </c>
      <c r="I814">
        <f t="shared" ref="I814" si="229">STDEVP(A800:A819)</f>
        <v>2.8734680701201474</v>
      </c>
    </row>
    <row r="815" spans="1:9" x14ac:dyDescent="0.25">
      <c r="A815">
        <v>268.85000000000002</v>
      </c>
      <c r="B815">
        <v>287.875</v>
      </c>
      <c r="C815" s="1">
        <f t="shared" si="216"/>
        <v>7.0764366747256835E-2</v>
      </c>
      <c r="D815">
        <v>5.6461538461538003</v>
      </c>
      <c r="E815">
        <v>0.70247332454579003</v>
      </c>
      <c r="F815">
        <v>7</v>
      </c>
      <c r="H815" t="s">
        <v>18</v>
      </c>
      <c r="I815">
        <f t="shared" ref="I815" si="230">STDEVP(B800:B819)</f>
        <v>1.5622954866157683</v>
      </c>
    </row>
    <row r="816" spans="1:9" x14ac:dyDescent="0.25">
      <c r="A816">
        <v>271.45</v>
      </c>
      <c r="B816">
        <v>289.875</v>
      </c>
      <c r="C816" s="1">
        <f t="shared" si="216"/>
        <v>6.7876220298397572E-2</v>
      </c>
      <c r="D816">
        <v>5.6589743589744002</v>
      </c>
      <c r="E816">
        <v>0.69564552075746</v>
      </c>
      <c r="F816">
        <v>8</v>
      </c>
      <c r="H816" t="s">
        <v>19</v>
      </c>
      <c r="I816">
        <f t="shared" ref="I816" si="231">STDEVP(C800:C819)</f>
        <v>1.1101238873486382E-2</v>
      </c>
    </row>
    <row r="817" spans="1:9" x14ac:dyDescent="0.25">
      <c r="A817">
        <v>272.05</v>
      </c>
      <c r="B817">
        <v>288.7</v>
      </c>
      <c r="C817" s="1">
        <f t="shared" si="216"/>
        <v>6.1201984929240894E-2</v>
      </c>
      <c r="D817">
        <v>5.6461538461538003</v>
      </c>
      <c r="E817">
        <v>0.68779298288612001</v>
      </c>
      <c r="F817">
        <v>7</v>
      </c>
      <c r="H817" t="s">
        <v>20</v>
      </c>
      <c r="I817">
        <f t="shared" ref="I817" si="232">STDEVP(D800:D819)</f>
        <v>9.0774663027367503E-2</v>
      </c>
    </row>
    <row r="818" spans="1:9" x14ac:dyDescent="0.25">
      <c r="A818">
        <v>271.2</v>
      </c>
      <c r="B818">
        <v>289.95</v>
      </c>
      <c r="C818" s="1">
        <f t="shared" si="216"/>
        <v>6.9137168141592875E-2</v>
      </c>
      <c r="D818">
        <v>5.5769230769230997</v>
      </c>
      <c r="E818">
        <v>0.67535928143126001</v>
      </c>
      <c r="F818">
        <v>7</v>
      </c>
      <c r="H818" t="s">
        <v>21</v>
      </c>
      <c r="I818">
        <f t="shared" ref="I818" si="233">STDEVP(E800:E819)</f>
        <v>1.6492158715796883E-2</v>
      </c>
    </row>
    <row r="819" spans="1:9" x14ac:dyDescent="0.25">
      <c r="A819">
        <v>267.89999999999998</v>
      </c>
      <c r="B819">
        <v>286.95</v>
      </c>
      <c r="C819" s="1">
        <f t="shared" si="216"/>
        <v>7.1108622620380757E-2</v>
      </c>
      <c r="D819">
        <v>5.725641025641</v>
      </c>
      <c r="E819">
        <v>0.71890849947885005</v>
      </c>
      <c r="F819">
        <v>7</v>
      </c>
      <c r="H819" t="s">
        <v>22</v>
      </c>
      <c r="I819">
        <f t="shared" ref="I819" si="234">STDEVP(F800:F819)</f>
        <v>0.35707142142714249</v>
      </c>
    </row>
    <row r="820" spans="1:9" x14ac:dyDescent="0.25">
      <c r="C820" s="1" t="str">
        <f t="shared" si="216"/>
        <v/>
      </c>
    </row>
    <row r="821" spans="1:9" x14ac:dyDescent="0.25">
      <c r="A821">
        <v>2601.0355029585999</v>
      </c>
      <c r="B821">
        <v>2715.3550295859</v>
      </c>
      <c r="C821" s="1">
        <f t="shared" si="216"/>
        <v>4.3951544105132356E-2</v>
      </c>
      <c r="D821">
        <v>17.193846153846</v>
      </c>
      <c r="E821">
        <v>0.14566875815559999</v>
      </c>
      <c r="F821">
        <v>41</v>
      </c>
    </row>
    <row r="822" spans="1:9" x14ac:dyDescent="0.25">
      <c r="A822">
        <v>2593.4792899407998</v>
      </c>
      <c r="B822">
        <v>2702.4911242603998</v>
      </c>
      <c r="C822" s="1">
        <f t="shared" si="216"/>
        <v>4.2033046009821273E-2</v>
      </c>
      <c r="D822">
        <v>17.556923076922999</v>
      </c>
      <c r="E822">
        <v>0.14977558278997</v>
      </c>
      <c r="F822">
        <v>40</v>
      </c>
    </row>
    <row r="823" spans="1:9" x14ac:dyDescent="0.25">
      <c r="A823">
        <v>2610.8165680472998</v>
      </c>
      <c r="B823">
        <v>2696.5147928995002</v>
      </c>
      <c r="C823" s="1">
        <f t="shared" si="216"/>
        <v>3.282429945520704E-2</v>
      </c>
      <c r="D823">
        <v>17.378461538461998</v>
      </c>
      <c r="E823">
        <v>0.14706760177063</v>
      </c>
      <c r="F823">
        <v>42</v>
      </c>
    </row>
    <row r="824" spans="1:9" x14ac:dyDescent="0.25">
      <c r="A824">
        <v>2585.6331360947001</v>
      </c>
      <c r="B824">
        <v>2695.5266272190001</v>
      </c>
      <c r="C824" s="1">
        <f t="shared" si="216"/>
        <v>4.2501579048558114E-2</v>
      </c>
      <c r="D824">
        <v>17.316923076923</v>
      </c>
      <c r="E824">
        <v>0.14801705505039001</v>
      </c>
      <c r="F824">
        <v>43</v>
      </c>
    </row>
    <row r="825" spans="1:9" x14ac:dyDescent="0.25">
      <c r="A825">
        <v>2582.7159763313998</v>
      </c>
      <c r="B825">
        <v>2723.1656804733998</v>
      </c>
      <c r="C825" s="1">
        <f t="shared" si="216"/>
        <v>5.4380623122756599E-2</v>
      </c>
      <c r="D825">
        <v>17.809230769231</v>
      </c>
      <c r="E825">
        <v>0.15306026145397</v>
      </c>
      <c r="F825">
        <v>43</v>
      </c>
    </row>
    <row r="826" spans="1:9" x14ac:dyDescent="0.25">
      <c r="A826">
        <v>2574.8224852070998</v>
      </c>
      <c r="B826">
        <v>2710.9822485208001</v>
      </c>
      <c r="C826" s="1">
        <f t="shared" si="216"/>
        <v>5.288122350024782E-2</v>
      </c>
      <c r="D826">
        <v>17.230769230768999</v>
      </c>
      <c r="E826">
        <v>0.14791639485531999</v>
      </c>
      <c r="F826">
        <v>41</v>
      </c>
    </row>
    <row r="827" spans="1:9" x14ac:dyDescent="0.25">
      <c r="A827">
        <v>2592.6568047337</v>
      </c>
      <c r="B827">
        <v>2709.7633136095001</v>
      </c>
      <c r="C827" s="1">
        <f t="shared" si="216"/>
        <v>4.5168534710026353E-2</v>
      </c>
      <c r="D827">
        <v>17.526153846153999</v>
      </c>
      <c r="E827">
        <v>0.14956068452881999</v>
      </c>
      <c r="F827">
        <v>40</v>
      </c>
    </row>
    <row r="828" spans="1:9" x14ac:dyDescent="0.25">
      <c r="A828">
        <v>2614.4792899407998</v>
      </c>
      <c r="B828">
        <v>2698.9704142012001</v>
      </c>
      <c r="C828" s="1">
        <f t="shared" si="216"/>
        <v>3.2316616385327457E-2</v>
      </c>
      <c r="D828">
        <v>17.876923076922999</v>
      </c>
      <c r="E828">
        <v>0.15164372413975</v>
      </c>
      <c r="F828">
        <v>47</v>
      </c>
    </row>
    <row r="829" spans="1:9" x14ac:dyDescent="0.25">
      <c r="A829">
        <v>2636.2721893490998</v>
      </c>
      <c r="B829">
        <v>2713.7041420118999</v>
      </c>
      <c r="C829" s="1">
        <f t="shared" si="216"/>
        <v>2.9371759477506032E-2</v>
      </c>
      <c r="D829">
        <v>17.606153846154001</v>
      </c>
      <c r="E829">
        <v>0.14765037508233</v>
      </c>
      <c r="F829">
        <v>42</v>
      </c>
    </row>
    <row r="830" spans="1:9" x14ac:dyDescent="0.25">
      <c r="A830">
        <v>2611.7633136095001</v>
      </c>
      <c r="B830">
        <v>2718.2781065088998</v>
      </c>
      <c r="C830" s="1">
        <f t="shared" si="216"/>
        <v>4.0782712715339731E-2</v>
      </c>
      <c r="D830">
        <v>17.507692307692</v>
      </c>
      <c r="E830">
        <v>0.14819230768683</v>
      </c>
      <c r="F830">
        <v>41</v>
      </c>
    </row>
    <row r="831" spans="1:9" x14ac:dyDescent="0.25">
      <c r="A831">
        <v>2624.4970414200998</v>
      </c>
      <c r="B831">
        <v>2709.3727810650998</v>
      </c>
      <c r="C831" s="1">
        <f t="shared" si="216"/>
        <v>3.2339811516447492E-2</v>
      </c>
      <c r="D831">
        <v>17.753846153845998</v>
      </c>
      <c r="E831">
        <v>0.14984403463273999</v>
      </c>
      <c r="F831">
        <v>39</v>
      </c>
    </row>
    <row r="832" spans="1:9" x14ac:dyDescent="0.25">
      <c r="A832">
        <v>2609.2366863904999</v>
      </c>
      <c r="B832">
        <v>2682.4023668640002</v>
      </c>
      <c r="C832" s="1">
        <f t="shared" si="216"/>
        <v>2.8041028571736959E-2</v>
      </c>
      <c r="D832">
        <v>17.692307692307999</v>
      </c>
      <c r="E832">
        <v>0.15019429270922</v>
      </c>
      <c r="F832">
        <v>44</v>
      </c>
    </row>
    <row r="833" spans="1:9" x14ac:dyDescent="0.25">
      <c r="A833">
        <v>2613.2662721892998</v>
      </c>
      <c r="B833">
        <v>2679.0177514792999</v>
      </c>
      <c r="C833" s="1">
        <f t="shared" si="216"/>
        <v>2.5160650481635072E-2</v>
      </c>
      <c r="D833">
        <v>17.193846153846</v>
      </c>
      <c r="E833">
        <v>0.14500835745769999</v>
      </c>
      <c r="F833">
        <v>44</v>
      </c>
    </row>
    <row r="834" spans="1:9" x14ac:dyDescent="0.25">
      <c r="A834">
        <v>2599.5207100592002</v>
      </c>
      <c r="B834">
        <v>2727.8047337278999</v>
      </c>
      <c r="C834" s="1">
        <f t="shared" ref="C834:C897" si="235">IFERROR((B834/A834)-1,"")</f>
        <v>4.9349106230347495E-2</v>
      </c>
      <c r="D834">
        <v>17.243076923076998</v>
      </c>
      <c r="E834">
        <v>0.14633449169566001</v>
      </c>
      <c r="F834">
        <v>40</v>
      </c>
    </row>
    <row r="835" spans="1:9" x14ac:dyDescent="0.25">
      <c r="A835">
        <v>2616.8284023668998</v>
      </c>
      <c r="B835">
        <v>2691.2011834320001</v>
      </c>
      <c r="C835" s="1">
        <f t="shared" si="235"/>
        <v>2.8420962183775877E-2</v>
      </c>
      <c r="D835">
        <v>17.483076923077</v>
      </c>
      <c r="E835">
        <v>0.14746579876995999</v>
      </c>
      <c r="F835">
        <v>37</v>
      </c>
      <c r="H835" t="s">
        <v>17</v>
      </c>
      <c r="I835">
        <f t="shared" ref="I835" si="236">STDEVP(A821:A840)</f>
        <v>15.151934829398378</v>
      </c>
    </row>
    <row r="836" spans="1:9" x14ac:dyDescent="0.25">
      <c r="A836">
        <v>2599.4260355030001</v>
      </c>
      <c r="B836">
        <v>2690.9644970415002</v>
      </c>
      <c r="C836" s="1">
        <f t="shared" si="235"/>
        <v>3.5214874471620528E-2</v>
      </c>
      <c r="D836">
        <v>17.606153846154001</v>
      </c>
      <c r="E836">
        <v>0.14996269273355001</v>
      </c>
      <c r="F836">
        <v>40</v>
      </c>
      <c r="H836" t="s">
        <v>18</v>
      </c>
      <c r="I836">
        <f t="shared" ref="I836" si="237">STDEVP(B821:B840)</f>
        <v>13.377301351536403</v>
      </c>
    </row>
    <row r="837" spans="1:9" x14ac:dyDescent="0.25">
      <c r="A837">
        <v>2616.1420118342999</v>
      </c>
      <c r="B837">
        <v>2711.3609467455999</v>
      </c>
      <c r="C837" s="1">
        <f t="shared" si="235"/>
        <v>3.6396699598328697E-2</v>
      </c>
      <c r="D837">
        <v>17.655384615385</v>
      </c>
      <c r="E837">
        <v>0.14937348410125001</v>
      </c>
      <c r="F837">
        <v>39</v>
      </c>
      <c r="H837" t="s">
        <v>19</v>
      </c>
      <c r="I837">
        <f t="shared" ref="I837" si="238">STDEVP(C821:C840)</f>
        <v>8.0302103048937937E-3</v>
      </c>
    </row>
    <row r="838" spans="1:9" x14ac:dyDescent="0.25">
      <c r="A838">
        <v>2581.9526627219002</v>
      </c>
      <c r="B838">
        <v>2684.0769230770002</v>
      </c>
      <c r="C838" s="1">
        <f t="shared" si="235"/>
        <v>3.9553111034746902E-2</v>
      </c>
      <c r="D838">
        <v>17.101538461537999</v>
      </c>
      <c r="E838">
        <v>0.14608698181252999</v>
      </c>
      <c r="F838">
        <v>41</v>
      </c>
      <c r="H838" t="s">
        <v>20</v>
      </c>
      <c r="I838">
        <f t="shared" ref="I838" si="239">STDEVP(D821:D840)</f>
        <v>0.22209332224768644</v>
      </c>
    </row>
    <row r="839" spans="1:9" x14ac:dyDescent="0.25">
      <c r="A839">
        <v>2608.8934911243</v>
      </c>
      <c r="B839">
        <v>2712.7455621302001</v>
      </c>
      <c r="C839" s="1">
        <f t="shared" si="235"/>
        <v>3.9806941662898332E-2</v>
      </c>
      <c r="D839">
        <v>17.218461538462002</v>
      </c>
      <c r="E839">
        <v>0.1455665124595</v>
      </c>
      <c r="F839">
        <v>43</v>
      </c>
      <c r="H839" t="s">
        <v>21</v>
      </c>
      <c r="I839">
        <f t="shared" ref="I839" si="240">STDEVP(E821:E840)</f>
        <v>2.0557736719196674E-3</v>
      </c>
    </row>
    <row r="840" spans="1:9" x14ac:dyDescent="0.25">
      <c r="A840">
        <v>2596.7810650888</v>
      </c>
      <c r="B840">
        <v>2703.3905325443998</v>
      </c>
      <c r="C840" s="1">
        <f t="shared" si="235"/>
        <v>4.1054468891837059E-2</v>
      </c>
      <c r="D840">
        <v>17.464615384615001</v>
      </c>
      <c r="E840">
        <v>0.14877885926465001</v>
      </c>
      <c r="F840">
        <v>40</v>
      </c>
      <c r="H840" t="s">
        <v>22</v>
      </c>
      <c r="I840">
        <f t="shared" ref="I840" si="241">STDEVP(F821:F840)</f>
        <v>2.1742814905158903</v>
      </c>
    </row>
    <row r="841" spans="1:9" x14ac:dyDescent="0.25">
      <c r="C841" s="1" t="str">
        <f t="shared" si="235"/>
        <v/>
      </c>
    </row>
    <row r="842" spans="1:9" x14ac:dyDescent="0.25">
      <c r="A842">
        <v>1677.1290858725999</v>
      </c>
      <c r="B842">
        <v>1709.0847645429001</v>
      </c>
      <c r="C842" s="1">
        <f t="shared" si="235"/>
        <v>1.9053797909463821E-2</v>
      </c>
      <c r="D842">
        <v>17.060246360581999</v>
      </c>
      <c r="E842">
        <v>0.25233800167079001</v>
      </c>
      <c r="F842">
        <v>34</v>
      </c>
    </row>
    <row r="843" spans="1:9" x14ac:dyDescent="0.25">
      <c r="A843">
        <v>1675.6653739612</v>
      </c>
      <c r="B843">
        <v>1716.3722991689001</v>
      </c>
      <c r="C843" s="1">
        <f t="shared" si="235"/>
        <v>2.429299181105038E-2</v>
      </c>
      <c r="D843">
        <v>16.938409854423</v>
      </c>
      <c r="E843">
        <v>0.25046910722172</v>
      </c>
      <c r="F843">
        <v>35</v>
      </c>
    </row>
    <row r="844" spans="1:9" x14ac:dyDescent="0.25">
      <c r="A844">
        <v>1676.1939058171999</v>
      </c>
      <c r="B844">
        <v>1713.4781163434</v>
      </c>
      <c r="C844" s="1">
        <f t="shared" si="235"/>
        <v>2.2243375540744958E-2</v>
      </c>
      <c r="D844">
        <v>17.068309070548999</v>
      </c>
      <c r="E844">
        <v>0.25270370173640999</v>
      </c>
      <c r="F844">
        <v>35</v>
      </c>
    </row>
    <row r="845" spans="1:9" x14ac:dyDescent="0.25">
      <c r="A845">
        <v>1672.1263157895</v>
      </c>
      <c r="B845">
        <v>1703.0659279777999</v>
      </c>
      <c r="C845" s="1">
        <f t="shared" si="235"/>
        <v>1.850315487301657E-2</v>
      </c>
      <c r="D845">
        <v>16.868085106382999</v>
      </c>
      <c r="E845">
        <v>0.24973753767765</v>
      </c>
      <c r="F845">
        <v>35</v>
      </c>
    </row>
    <row r="846" spans="1:9" x14ac:dyDescent="0.25">
      <c r="A846">
        <v>1684.3213296398999</v>
      </c>
      <c r="B846">
        <v>1720.2847645428999</v>
      </c>
      <c r="C846" s="1">
        <f t="shared" si="235"/>
        <v>2.1351884744396532E-2</v>
      </c>
      <c r="D846">
        <v>16.963045912654</v>
      </c>
      <c r="E846">
        <v>0.24934933111765001</v>
      </c>
      <c r="F846">
        <v>35</v>
      </c>
    </row>
    <row r="847" spans="1:9" x14ac:dyDescent="0.25">
      <c r="A847">
        <v>1671.0360110803001</v>
      </c>
      <c r="B847">
        <v>1704.4099722991</v>
      </c>
      <c r="C847" s="1">
        <f t="shared" si="235"/>
        <v>1.9972017956228383E-2</v>
      </c>
      <c r="D847">
        <v>16.557670772676001</v>
      </c>
      <c r="E847">
        <v>0.24423084281457999</v>
      </c>
      <c r="F847">
        <v>34</v>
      </c>
    </row>
    <row r="848" spans="1:9" x14ac:dyDescent="0.25">
      <c r="A848">
        <v>1682.8653739612</v>
      </c>
      <c r="B848">
        <v>1716.1019390581</v>
      </c>
      <c r="C848" s="1">
        <f t="shared" si="235"/>
        <v>1.9749984527084541E-2</v>
      </c>
      <c r="D848">
        <v>17.134154535274</v>
      </c>
      <c r="E848">
        <v>0.25268076773516002</v>
      </c>
      <c r="F848">
        <v>35</v>
      </c>
    </row>
    <row r="849" spans="1:9" x14ac:dyDescent="0.25">
      <c r="A849">
        <v>1684.3523545706</v>
      </c>
      <c r="B849">
        <v>1724.0698060940999</v>
      </c>
      <c r="C849" s="1">
        <f t="shared" si="235"/>
        <v>2.3580251136719799E-2</v>
      </c>
      <c r="D849">
        <v>16.926315789474</v>
      </c>
      <c r="E849">
        <v>0.24865362349551001</v>
      </c>
      <c r="F849">
        <v>34</v>
      </c>
    </row>
    <row r="850" spans="1:9" x14ac:dyDescent="0.25">
      <c r="A850">
        <v>1675.7595567866999</v>
      </c>
      <c r="B850">
        <v>1712.7047091412001</v>
      </c>
      <c r="C850" s="1">
        <f t="shared" si="235"/>
        <v>2.2046809880853724E-2</v>
      </c>
      <c r="D850">
        <v>16.791041433370999</v>
      </c>
      <c r="E850">
        <v>0.24778174216078</v>
      </c>
      <c r="F850">
        <v>35</v>
      </c>
    </row>
    <row r="851" spans="1:9" x14ac:dyDescent="0.25">
      <c r="A851">
        <v>1683.7429362881001</v>
      </c>
      <c r="B851">
        <v>1719.6675900276</v>
      </c>
      <c r="C851" s="1">
        <f t="shared" si="235"/>
        <v>2.1336186757046072E-2</v>
      </c>
      <c r="D851">
        <v>17.008286674131998</v>
      </c>
      <c r="E851">
        <v>0.25026485252540998</v>
      </c>
      <c r="F851">
        <v>34</v>
      </c>
    </row>
    <row r="852" spans="1:9" x14ac:dyDescent="0.25">
      <c r="A852">
        <v>1672.9584487535001</v>
      </c>
      <c r="B852">
        <v>1711.986703601</v>
      </c>
      <c r="C852" s="1">
        <f t="shared" si="235"/>
        <v>2.3328884752983114E-2</v>
      </c>
      <c r="D852">
        <v>16.913325867861001</v>
      </c>
      <c r="E852">
        <v>0.25029852301291</v>
      </c>
      <c r="F852">
        <v>35</v>
      </c>
    </row>
    <row r="853" spans="1:9" x14ac:dyDescent="0.25">
      <c r="A853">
        <v>1686.7301939058</v>
      </c>
      <c r="B853">
        <v>1717.2609418282</v>
      </c>
      <c r="C853" s="1">
        <f t="shared" si="235"/>
        <v>1.8100552200173148E-2</v>
      </c>
      <c r="D853">
        <v>17.244344904815001</v>
      </c>
      <c r="E853">
        <v>0.25402267251915001</v>
      </c>
      <c r="F853">
        <v>35</v>
      </c>
    </row>
    <row r="854" spans="1:9" x14ac:dyDescent="0.25">
      <c r="A854">
        <v>1683.7983379500999</v>
      </c>
      <c r="B854">
        <v>1710.35900277</v>
      </c>
      <c r="C854" s="1">
        <f t="shared" si="235"/>
        <v>1.5774255278239391E-2</v>
      </c>
      <c r="D854">
        <v>17.217469204926999</v>
      </c>
      <c r="E854">
        <v>0.25390414701441</v>
      </c>
      <c r="F854">
        <v>34</v>
      </c>
    </row>
    <row r="855" spans="1:9" x14ac:dyDescent="0.25">
      <c r="A855">
        <v>1681.0714681439999</v>
      </c>
      <c r="B855">
        <v>1714.3135734071</v>
      </c>
      <c r="C855" s="1">
        <f t="shared" si="235"/>
        <v>1.9774355756451811E-2</v>
      </c>
      <c r="D855">
        <v>17.291377379619</v>
      </c>
      <c r="E855">
        <v>0.25590203441287002</v>
      </c>
      <c r="F855">
        <v>34</v>
      </c>
    </row>
    <row r="856" spans="1:9" x14ac:dyDescent="0.25">
      <c r="A856">
        <v>1691.0481994459999</v>
      </c>
      <c r="B856">
        <v>1721.2199445982999</v>
      </c>
      <c r="C856" s="1">
        <f t="shared" si="235"/>
        <v>1.7842037360132235E-2</v>
      </c>
      <c r="D856">
        <v>16.931690929451001</v>
      </c>
      <c r="E856">
        <v>0.24746341323088</v>
      </c>
      <c r="F856">
        <v>34</v>
      </c>
      <c r="H856" t="s">
        <v>17</v>
      </c>
      <c r="I856">
        <f t="shared" ref="I856" si="242">STDEVP(A842:A861)</f>
        <v>6.0825520973164542</v>
      </c>
    </row>
    <row r="857" spans="1:9" x14ac:dyDescent="0.25">
      <c r="A857">
        <v>1679.1567867035999</v>
      </c>
      <c r="B857">
        <v>1715.1667590027</v>
      </c>
      <c r="C857" s="1">
        <f t="shared" si="235"/>
        <v>2.1445270974244313E-2</v>
      </c>
      <c r="D857">
        <v>17.101007838746</v>
      </c>
      <c r="E857">
        <v>0.25278065805583</v>
      </c>
      <c r="F857">
        <v>35</v>
      </c>
      <c r="H857" t="s">
        <v>18</v>
      </c>
      <c r="I857">
        <f t="shared" ref="I857" si="243">STDEVP(B842:B861)</f>
        <v>5.2494024780297837</v>
      </c>
    </row>
    <row r="858" spans="1:9" x14ac:dyDescent="0.25">
      <c r="A858">
        <v>1664.979501385</v>
      </c>
      <c r="B858">
        <v>1708.8631578947</v>
      </c>
      <c r="C858" s="1">
        <f t="shared" si="235"/>
        <v>2.6356874948427755E-2</v>
      </c>
      <c r="D858">
        <v>16.879283314670001</v>
      </c>
      <c r="E858">
        <v>0.25118576743563997</v>
      </c>
      <c r="F858">
        <v>34</v>
      </c>
      <c r="H858" t="s">
        <v>19</v>
      </c>
      <c r="I858">
        <f t="shared" ref="I858" si="244">STDEVP(C842:C861)</f>
        <v>2.7820883919136359E-3</v>
      </c>
    </row>
    <row r="859" spans="1:9" x14ac:dyDescent="0.25">
      <c r="A859">
        <v>1683.1756232687001</v>
      </c>
      <c r="B859">
        <v>1712.2493074792001</v>
      </c>
      <c r="C859" s="1">
        <f t="shared" si="235"/>
        <v>1.7273113873904178E-2</v>
      </c>
      <c r="D859">
        <v>16.996640537514001</v>
      </c>
      <c r="E859">
        <v>0.25012617482527</v>
      </c>
      <c r="F859">
        <v>34</v>
      </c>
      <c r="H859" t="s">
        <v>20</v>
      </c>
      <c r="I859">
        <f t="shared" ref="I859" si="245">STDEVP(D842:D861)</f>
        <v>0.18818233151928285</v>
      </c>
    </row>
    <row r="860" spans="1:9" x14ac:dyDescent="0.25">
      <c r="A860">
        <v>1675.2853185596</v>
      </c>
      <c r="B860">
        <v>1717.2022160664001</v>
      </c>
      <c r="C860" s="1">
        <f t="shared" si="235"/>
        <v>2.5020751416146902E-2</v>
      </c>
      <c r="D860">
        <v>16.686226203806999</v>
      </c>
      <c r="E860">
        <v>0.24585502410290999</v>
      </c>
      <c r="F860">
        <v>35</v>
      </c>
      <c r="H860" t="s">
        <v>21</v>
      </c>
      <c r="I860">
        <f t="shared" ref="I860" si="246">STDEVP(E842:E861)</f>
        <v>3.0394684395609346E-3</v>
      </c>
    </row>
    <row r="861" spans="1:9" x14ac:dyDescent="0.25">
      <c r="A861">
        <v>1681.388365651</v>
      </c>
      <c r="B861">
        <v>1710.9573407201999</v>
      </c>
      <c r="C861" s="1">
        <f t="shared" si="235"/>
        <v>1.7586047146074701E-2</v>
      </c>
      <c r="D861">
        <v>17.296752519597</v>
      </c>
      <c r="E861">
        <v>0.25612227146386002</v>
      </c>
      <c r="F861">
        <v>35</v>
      </c>
      <c r="H861" t="s">
        <v>22</v>
      </c>
      <c r="I861">
        <f t="shared" ref="I861" si="247">STDEVP(F842:F861)</f>
        <v>0.49749371855330987</v>
      </c>
    </row>
    <row r="862" spans="1:9" x14ac:dyDescent="0.25">
      <c r="C862" s="1" t="str">
        <f t="shared" si="235"/>
        <v/>
      </c>
    </row>
    <row r="863" spans="1:9" x14ac:dyDescent="0.25">
      <c r="A863">
        <v>1146.0107417622</v>
      </c>
      <c r="B863">
        <v>1172.2212222384001</v>
      </c>
      <c r="C863" s="1">
        <f t="shared" si="235"/>
        <v>2.2871060035525081E-2</v>
      </c>
      <c r="D863">
        <v>14.78225095504</v>
      </c>
      <c r="E863">
        <v>0.34278035877808999</v>
      </c>
      <c r="F863">
        <v>41</v>
      </c>
    </row>
    <row r="864" spans="1:9" x14ac:dyDescent="0.25">
      <c r="A864">
        <v>1143.8812599797</v>
      </c>
      <c r="B864">
        <v>1167.5546523442999</v>
      </c>
      <c r="C864" s="1">
        <f t="shared" si="235"/>
        <v>2.0695672875189919E-2</v>
      </c>
      <c r="D864">
        <v>14.631795474581001</v>
      </c>
      <c r="E864">
        <v>0.33901689766849002</v>
      </c>
      <c r="F864">
        <v>41</v>
      </c>
    </row>
    <row r="865" spans="1:9" x14ac:dyDescent="0.25">
      <c r="A865">
        <v>1149.2114965887999</v>
      </c>
      <c r="B865">
        <v>1173.6757149078001</v>
      </c>
      <c r="C865" s="1">
        <f t="shared" si="235"/>
        <v>2.128782943054186E-2</v>
      </c>
      <c r="D865">
        <v>14.852776961505</v>
      </c>
      <c r="E865">
        <v>0.34393384456780002</v>
      </c>
      <c r="F865">
        <v>40</v>
      </c>
    </row>
    <row r="866" spans="1:9" x14ac:dyDescent="0.25">
      <c r="A866">
        <v>1140.9356945856</v>
      </c>
      <c r="B866">
        <v>1169.752358833</v>
      </c>
      <c r="C866" s="1">
        <f t="shared" si="235"/>
        <v>2.5257045058850958E-2</v>
      </c>
      <c r="D866">
        <v>14.704672347928</v>
      </c>
      <c r="E866">
        <v>0.34241188723983002</v>
      </c>
      <c r="F866">
        <v>39</v>
      </c>
    </row>
    <row r="867" spans="1:9" x14ac:dyDescent="0.25">
      <c r="A867">
        <v>1143.9567426332001</v>
      </c>
      <c r="B867">
        <v>1172.4433154303999</v>
      </c>
      <c r="C867" s="1">
        <f t="shared" si="235"/>
        <v>2.4901791943311213E-2</v>
      </c>
      <c r="D867">
        <v>14.806347340582001</v>
      </c>
      <c r="E867">
        <v>0.34422000552067</v>
      </c>
      <c r="F867">
        <v>42</v>
      </c>
    </row>
    <row r="868" spans="1:9" x14ac:dyDescent="0.25">
      <c r="A868">
        <v>1141.2048192770999</v>
      </c>
      <c r="B868">
        <v>1166.4044128321</v>
      </c>
      <c r="C868" s="1">
        <f t="shared" si="235"/>
        <v>2.2081569521378963E-2</v>
      </c>
      <c r="D868">
        <v>14.585365853659001</v>
      </c>
      <c r="E868">
        <v>0.33852056997486002</v>
      </c>
      <c r="F868">
        <v>37</v>
      </c>
    </row>
    <row r="869" spans="1:9" x14ac:dyDescent="0.25">
      <c r="A869">
        <v>1139.1778197126</v>
      </c>
      <c r="B869">
        <v>1166.4830889825</v>
      </c>
      <c r="C869" s="1">
        <f t="shared" si="235"/>
        <v>2.3969277488907537E-2</v>
      </c>
      <c r="D869">
        <v>14.621804290331999</v>
      </c>
      <c r="E869">
        <v>0.34045851169821001</v>
      </c>
      <c r="F869">
        <v>35</v>
      </c>
    </row>
    <row r="870" spans="1:9" x14ac:dyDescent="0.25">
      <c r="A870">
        <v>1148.4767019886999</v>
      </c>
      <c r="B870">
        <v>1173.0132094644</v>
      </c>
      <c r="C870" s="1">
        <f t="shared" si="235"/>
        <v>2.1364392880772076E-2</v>
      </c>
      <c r="D870">
        <v>14.494857478695</v>
      </c>
      <c r="E870">
        <v>0.3333455867647</v>
      </c>
      <c r="F870">
        <v>41</v>
      </c>
    </row>
    <row r="871" spans="1:9" x14ac:dyDescent="0.25">
      <c r="A871">
        <v>1130.9310494992001</v>
      </c>
      <c r="B871">
        <v>1159.8681956743001</v>
      </c>
      <c r="C871" s="1">
        <f t="shared" si="235"/>
        <v>2.558701185886969E-2</v>
      </c>
      <c r="D871">
        <v>14.548339700264</v>
      </c>
      <c r="E871">
        <v>0.34155235078071</v>
      </c>
      <c r="F871">
        <v>38</v>
      </c>
    </row>
    <row r="872" spans="1:9" x14ac:dyDescent="0.25">
      <c r="A872">
        <v>1151.6556829729</v>
      </c>
      <c r="B872">
        <v>1178.4180577733</v>
      </c>
      <c r="C872" s="1">
        <f t="shared" si="235"/>
        <v>2.3238173697293973E-2</v>
      </c>
      <c r="D872">
        <v>14.789891272407001</v>
      </c>
      <c r="E872">
        <v>0.34071349053074002</v>
      </c>
      <c r="F872">
        <v>40</v>
      </c>
    </row>
    <row r="873" spans="1:9" x14ac:dyDescent="0.25">
      <c r="A873">
        <v>1153.9921614166999</v>
      </c>
      <c r="B873">
        <v>1179.5990709828</v>
      </c>
      <c r="C873" s="1">
        <f t="shared" si="235"/>
        <v>2.2189847056381717E-2</v>
      </c>
      <c r="D873">
        <v>14.791066705847999</v>
      </c>
      <c r="E873">
        <v>0.33996757457322002</v>
      </c>
      <c r="F873">
        <v>39</v>
      </c>
    </row>
    <row r="874" spans="1:9" x14ac:dyDescent="0.25">
      <c r="A874">
        <v>1148.7562781245001</v>
      </c>
      <c r="B874">
        <v>1177.3909130498</v>
      </c>
      <c r="C874" s="1">
        <f t="shared" si="235"/>
        <v>2.4926640637864317E-2</v>
      </c>
      <c r="D874">
        <v>14.507787246547</v>
      </c>
      <c r="E874">
        <v>0.33331695579198001</v>
      </c>
      <c r="F874">
        <v>39</v>
      </c>
    </row>
    <row r="875" spans="1:9" x14ac:dyDescent="0.25">
      <c r="A875">
        <v>1140.4293801713</v>
      </c>
      <c r="B875">
        <v>1172.0795471040999</v>
      </c>
      <c r="C875" s="1">
        <f t="shared" si="235"/>
        <v>2.7752851235773868E-2</v>
      </c>
      <c r="D875">
        <v>14.835145459888</v>
      </c>
      <c r="E875">
        <v>0.34713509033717999</v>
      </c>
      <c r="F875">
        <v>36</v>
      </c>
    </row>
    <row r="876" spans="1:9" x14ac:dyDescent="0.25">
      <c r="A876">
        <v>1150.3457686166</v>
      </c>
      <c r="B876">
        <v>1181.4301059661</v>
      </c>
      <c r="C876" s="1">
        <f t="shared" si="235"/>
        <v>2.7021733984279983E-2</v>
      </c>
      <c r="D876">
        <v>14.606523655598</v>
      </c>
      <c r="E876">
        <v>0.33601043744531001</v>
      </c>
      <c r="F876">
        <v>37</v>
      </c>
    </row>
    <row r="877" spans="1:9" x14ac:dyDescent="0.25">
      <c r="A877">
        <v>1146.0914501379</v>
      </c>
      <c r="B877">
        <v>1173.7451008855001</v>
      </c>
      <c r="C877" s="1">
        <f t="shared" si="235"/>
        <v>2.4128659841474942E-2</v>
      </c>
      <c r="D877">
        <v>14.803408756979</v>
      </c>
      <c r="E877">
        <v>0.34350452338734</v>
      </c>
      <c r="F877">
        <v>38</v>
      </c>
      <c r="H877" t="s">
        <v>17</v>
      </c>
      <c r="I877">
        <f t="shared" ref="I877" si="248">STDEVP(A863:A882)</f>
        <v>5.5425787270142726</v>
      </c>
    </row>
    <row r="878" spans="1:9" x14ac:dyDescent="0.25">
      <c r="A878">
        <v>1148.3692843664001</v>
      </c>
      <c r="B878">
        <v>1172.7075047177</v>
      </c>
      <c r="C878" s="1">
        <f t="shared" si="235"/>
        <v>2.1193722857824726E-2</v>
      </c>
      <c r="D878">
        <v>14.574786952688999</v>
      </c>
      <c r="E878">
        <v>0.33556420002342002</v>
      </c>
      <c r="F878">
        <v>40</v>
      </c>
      <c r="H878" t="s">
        <v>18</v>
      </c>
      <c r="I878">
        <f t="shared" ref="I878" si="249">STDEVP(B863:B882)</f>
        <v>5.4396443239231589</v>
      </c>
    </row>
    <row r="879" spans="1:9" x14ac:dyDescent="0.25">
      <c r="A879">
        <v>1137.0547249238</v>
      </c>
      <c r="B879">
        <v>1166.6128610829001</v>
      </c>
      <c r="C879" s="1">
        <f t="shared" si="235"/>
        <v>2.5995350541356599E-2</v>
      </c>
      <c r="D879">
        <v>14.527769615045999</v>
      </c>
      <c r="E879">
        <v>0.33869541555437999</v>
      </c>
      <c r="F879">
        <v>41</v>
      </c>
      <c r="H879" t="s">
        <v>19</v>
      </c>
      <c r="I879">
        <f t="shared" ref="I879" si="250">STDEVP(C863:C882)</f>
        <v>2.0360805103084847E-3</v>
      </c>
    </row>
    <row r="880" spans="1:9" x14ac:dyDescent="0.25">
      <c r="A880">
        <v>1138.492959791</v>
      </c>
      <c r="B880">
        <v>1162.3123820584001</v>
      </c>
      <c r="C880" s="1">
        <f t="shared" si="235"/>
        <v>2.0921888064878935E-2</v>
      </c>
      <c r="D880">
        <v>14.505436379664999</v>
      </c>
      <c r="E880">
        <v>0.33733233473787</v>
      </c>
      <c r="F880">
        <v>42</v>
      </c>
      <c r="H880" t="s">
        <v>20</v>
      </c>
      <c r="I880">
        <f t="shared" ref="I880" si="251">STDEVP(D863:D882)</f>
        <v>0.12584315733470297</v>
      </c>
    </row>
    <row r="881" spans="1:9" x14ac:dyDescent="0.25">
      <c r="A881">
        <v>1145.0799825808999</v>
      </c>
      <c r="B881">
        <v>1171.0210480476001</v>
      </c>
      <c r="C881" s="1">
        <f t="shared" si="235"/>
        <v>2.2654369879238967E-2</v>
      </c>
      <c r="D881">
        <v>14.640023508669</v>
      </c>
      <c r="E881">
        <v>0.33872740949875002</v>
      </c>
      <c r="F881">
        <v>41</v>
      </c>
      <c r="H881" t="s">
        <v>21</v>
      </c>
      <c r="I881">
        <f t="shared" ref="I881" si="252">STDEVP(E863:E882)</f>
        <v>3.6699959357752499E-3</v>
      </c>
    </row>
    <row r="882" spans="1:9" x14ac:dyDescent="0.25">
      <c r="A882">
        <v>1148.7786326027001</v>
      </c>
      <c r="B882">
        <v>1175.5552329801001</v>
      </c>
      <c r="C882" s="1">
        <f t="shared" si="235"/>
        <v>2.3308755592654329E-2</v>
      </c>
      <c r="D882">
        <v>14.851601528063</v>
      </c>
      <c r="E882">
        <v>0.34426652302248001</v>
      </c>
      <c r="F882">
        <v>36</v>
      </c>
      <c r="H882" t="s">
        <v>22</v>
      </c>
      <c r="I882">
        <f t="shared" ref="I882" si="253">STDEVP(F863:F882)</f>
        <v>2.056088519495209</v>
      </c>
    </row>
    <row r="883" spans="1:9" x14ac:dyDescent="0.25">
      <c r="C883" s="1" t="str">
        <f t="shared" si="235"/>
        <v/>
      </c>
    </row>
    <row r="884" spans="1:9" x14ac:dyDescent="0.25">
      <c r="A884">
        <v>1992.2214532871999</v>
      </c>
      <c r="B884">
        <v>2075.8615916955</v>
      </c>
      <c r="C884" s="1">
        <f t="shared" si="235"/>
        <v>4.1983353944057056E-2</v>
      </c>
      <c r="D884">
        <v>15.161764705882</v>
      </c>
      <c r="E884">
        <v>0.16721842732638001</v>
      </c>
      <c r="F884">
        <v>106</v>
      </c>
    </row>
    <row r="885" spans="1:9" x14ac:dyDescent="0.25">
      <c r="A885">
        <v>2005.6885813148999</v>
      </c>
      <c r="B885">
        <v>2064.3044982698998</v>
      </c>
      <c r="C885" s="1">
        <f t="shared" si="235"/>
        <v>2.9224834553613466E-2</v>
      </c>
      <c r="D885">
        <v>15.014705882353001</v>
      </c>
      <c r="E885">
        <v>0.16405575458207999</v>
      </c>
      <c r="F885">
        <v>102</v>
      </c>
    </row>
    <row r="886" spans="1:9" x14ac:dyDescent="0.25">
      <c r="A886">
        <v>2021.1903114187</v>
      </c>
      <c r="B886">
        <v>2082.6366782006999</v>
      </c>
      <c r="C886" s="1">
        <f t="shared" si="235"/>
        <v>3.0401079222901028E-2</v>
      </c>
      <c r="D886">
        <v>15.588235294118</v>
      </c>
      <c r="E886">
        <v>0.17016455904694</v>
      </c>
      <c r="F886">
        <v>141</v>
      </c>
    </row>
    <row r="887" spans="1:9" x14ac:dyDescent="0.25">
      <c r="A887">
        <v>1981.4602076125</v>
      </c>
      <c r="B887">
        <v>2090.1453287197</v>
      </c>
      <c r="C887" s="1">
        <f t="shared" si="235"/>
        <v>5.485102385081797E-2</v>
      </c>
      <c r="D887">
        <v>15.058823529412001</v>
      </c>
      <c r="E887">
        <v>0.16698055841588999</v>
      </c>
      <c r="F887">
        <v>85</v>
      </c>
    </row>
    <row r="888" spans="1:9" x14ac:dyDescent="0.25">
      <c r="A888">
        <v>2021.4048442907001</v>
      </c>
      <c r="B888">
        <v>2089.8892733563998</v>
      </c>
      <c r="C888" s="1">
        <f t="shared" si="235"/>
        <v>3.3879620531794385E-2</v>
      </c>
      <c r="D888">
        <v>16.205882352941</v>
      </c>
      <c r="E888">
        <v>0.17791900786549</v>
      </c>
      <c r="F888">
        <v>130</v>
      </c>
    </row>
    <row r="889" spans="1:9" x14ac:dyDescent="0.25">
      <c r="A889">
        <v>2006.0069204152001</v>
      </c>
      <c r="B889">
        <v>2083.7093425605999</v>
      </c>
      <c r="C889" s="1">
        <f t="shared" si="235"/>
        <v>3.8734872424725841E-2</v>
      </c>
      <c r="D889">
        <v>15.544117647059</v>
      </c>
      <c r="E889">
        <v>0.17101861938827001</v>
      </c>
      <c r="F889">
        <v>107</v>
      </c>
    </row>
    <row r="890" spans="1:9" x14ac:dyDescent="0.25">
      <c r="A890">
        <v>1996.4221453287</v>
      </c>
      <c r="B890">
        <v>2066.7612456748002</v>
      </c>
      <c r="C890" s="1">
        <f t="shared" si="235"/>
        <v>3.5232578696185124E-2</v>
      </c>
      <c r="D890">
        <v>14.691176470587999</v>
      </c>
      <c r="E890">
        <v>0.16092005420100999</v>
      </c>
      <c r="F890">
        <v>120</v>
      </c>
    </row>
    <row r="891" spans="1:9" x14ac:dyDescent="0.25">
      <c r="A891">
        <v>2013.4602076125</v>
      </c>
      <c r="B891">
        <v>2074.8858131488</v>
      </c>
      <c r="C891" s="1">
        <f t="shared" si="235"/>
        <v>3.0507484232398463E-2</v>
      </c>
      <c r="D891">
        <v>15.558823529412001</v>
      </c>
      <c r="E891">
        <v>0.17044592766033001</v>
      </c>
      <c r="F891">
        <v>145</v>
      </c>
    </row>
    <row r="892" spans="1:9" x14ac:dyDescent="0.25">
      <c r="A892">
        <v>2009.6539792388</v>
      </c>
      <c r="B892">
        <v>2069.2318339100002</v>
      </c>
      <c r="C892" s="1">
        <f t="shared" si="235"/>
        <v>2.9645827235276867E-2</v>
      </c>
      <c r="D892">
        <v>15.544117647059</v>
      </c>
      <c r="E892">
        <v>0.17063223054148999</v>
      </c>
      <c r="F892">
        <v>141</v>
      </c>
    </row>
    <row r="893" spans="1:9" x14ac:dyDescent="0.25">
      <c r="A893">
        <v>1994.5121107266</v>
      </c>
      <c r="B893">
        <v>2063.3425605535999</v>
      </c>
      <c r="C893" s="1">
        <f t="shared" si="235"/>
        <v>3.4509918218508684E-2</v>
      </c>
      <c r="D893">
        <v>15.264705882353001</v>
      </c>
      <c r="E893">
        <v>0.16853055766569999</v>
      </c>
      <c r="F893">
        <v>91</v>
      </c>
    </row>
    <row r="894" spans="1:9" x14ac:dyDescent="0.25">
      <c r="A894">
        <v>1993.9653979238999</v>
      </c>
      <c r="B894">
        <v>2079.3564013841001</v>
      </c>
      <c r="C894" s="1">
        <f t="shared" si="235"/>
        <v>4.2824716792532413E-2</v>
      </c>
      <c r="D894">
        <v>14.529411764705999</v>
      </c>
      <c r="E894">
        <v>0.15899658143812001</v>
      </c>
      <c r="F894">
        <v>116</v>
      </c>
    </row>
    <row r="895" spans="1:9" x14ac:dyDescent="0.25">
      <c r="A895">
        <v>1977.8339100346</v>
      </c>
      <c r="B895">
        <v>2070.5743944637002</v>
      </c>
      <c r="C895" s="1">
        <f t="shared" si="235"/>
        <v>4.6889925366623952E-2</v>
      </c>
      <c r="D895">
        <v>14.941176470587999</v>
      </c>
      <c r="E895">
        <v>0.16580369840461001</v>
      </c>
      <c r="F895">
        <v>120</v>
      </c>
    </row>
    <row r="896" spans="1:9" x14ac:dyDescent="0.25">
      <c r="A896">
        <v>2012.8719723183001</v>
      </c>
      <c r="B896">
        <v>2066.0692041522998</v>
      </c>
      <c r="C896" s="1">
        <f t="shared" si="235"/>
        <v>2.6428522313185487E-2</v>
      </c>
      <c r="D896">
        <v>15.558823529412001</v>
      </c>
      <c r="E896">
        <v>0.17049768194928999</v>
      </c>
      <c r="F896">
        <v>144</v>
      </c>
    </row>
    <row r="897" spans="1:9" x14ac:dyDescent="0.25">
      <c r="A897">
        <v>1981.2733564014</v>
      </c>
      <c r="B897">
        <v>2075.7301038062001</v>
      </c>
      <c r="C897" s="1">
        <f t="shared" si="235"/>
        <v>4.7674767895916403E-2</v>
      </c>
      <c r="D897">
        <v>15.117647058824</v>
      </c>
      <c r="E897">
        <v>0.16774525066092999</v>
      </c>
      <c r="F897">
        <v>135</v>
      </c>
    </row>
    <row r="898" spans="1:9" x14ac:dyDescent="0.25">
      <c r="A898">
        <v>2001.8961937716001</v>
      </c>
      <c r="B898">
        <v>2062.3598615916999</v>
      </c>
      <c r="C898" s="1">
        <f t="shared" ref="C898:C961" si="254">IFERROR((B898/A898)-1,"")</f>
        <v>3.0203198351751448E-2</v>
      </c>
      <c r="D898">
        <v>15.588235294118</v>
      </c>
      <c r="E898">
        <v>0.17180536952285999</v>
      </c>
      <c r="F898">
        <v>101</v>
      </c>
      <c r="H898" t="s">
        <v>17</v>
      </c>
      <c r="I898">
        <f t="shared" ref="I898" si="255">STDEVP(A884:A903)</f>
        <v>12.910272464813406</v>
      </c>
    </row>
    <row r="899" spans="1:9" x14ac:dyDescent="0.25">
      <c r="A899">
        <v>1977.598615917</v>
      </c>
      <c r="B899">
        <v>2044.1868512111</v>
      </c>
      <c r="C899" s="1">
        <f t="shared" si="254"/>
        <v>3.3671259050322311E-2</v>
      </c>
      <c r="D899">
        <v>15.691176470587999</v>
      </c>
      <c r="E899">
        <v>0.17575954415393999</v>
      </c>
      <c r="F899">
        <v>136</v>
      </c>
      <c r="H899" t="s">
        <v>18</v>
      </c>
      <c r="I899">
        <f t="shared" ref="I899" si="256">STDEVP(B884:B903)</f>
        <v>12.398966003089651</v>
      </c>
    </row>
    <row r="900" spans="1:9" x14ac:dyDescent="0.25">
      <c r="A900">
        <v>2002.6089965398</v>
      </c>
      <c r="B900">
        <v>2088.3667820068999</v>
      </c>
      <c r="C900" s="1">
        <f t="shared" si="254"/>
        <v>4.2823030164788056E-2</v>
      </c>
      <c r="D900">
        <v>15.132352941176</v>
      </c>
      <c r="E900">
        <v>0.16590051707378001</v>
      </c>
      <c r="F900">
        <v>144</v>
      </c>
      <c r="H900" t="s">
        <v>19</v>
      </c>
      <c r="I900">
        <f t="shared" ref="I900" si="257">STDEVP(C884:C903)</f>
        <v>7.5423927037696729E-3</v>
      </c>
    </row>
    <row r="901" spans="1:9" x14ac:dyDescent="0.25">
      <c r="A901">
        <v>2007.5155709343001</v>
      </c>
      <c r="B901">
        <v>2095.7508650518998</v>
      </c>
      <c r="C901" s="1">
        <f t="shared" si="254"/>
        <v>4.3952483056724168E-2</v>
      </c>
      <c r="D901">
        <v>15.411764705882</v>
      </c>
      <c r="E901">
        <v>0.16906232778833</v>
      </c>
      <c r="F901">
        <v>133</v>
      </c>
      <c r="H901" t="s">
        <v>20</v>
      </c>
      <c r="I901">
        <f t="shared" ref="I901" si="258">STDEVP(D884:D903)</f>
        <v>0.36938120424360843</v>
      </c>
    </row>
    <row r="902" spans="1:9" x14ac:dyDescent="0.25">
      <c r="A902">
        <v>1996.2975778547</v>
      </c>
      <c r="B902">
        <v>2086.1868512111</v>
      </c>
      <c r="C902" s="1">
        <f t="shared" si="254"/>
        <v>4.5027992997416E-2</v>
      </c>
      <c r="D902">
        <v>15.397058823528999</v>
      </c>
      <c r="E902">
        <v>0.16992019761006</v>
      </c>
      <c r="F902">
        <v>150</v>
      </c>
      <c r="H902" t="s">
        <v>21</v>
      </c>
      <c r="I902">
        <f t="shared" ref="I902" si="259">STDEVP(E884:E903)</f>
        <v>4.2558095837842841E-3</v>
      </c>
    </row>
    <row r="903" spans="1:9" x14ac:dyDescent="0.25">
      <c r="A903">
        <v>2003.1972318339001</v>
      </c>
      <c r="B903">
        <v>2088.8304498269999</v>
      </c>
      <c r="C903" s="1">
        <f t="shared" si="254"/>
        <v>4.2748270930218712E-2</v>
      </c>
      <c r="D903">
        <v>15.382352941176</v>
      </c>
      <c r="E903">
        <v>0.16909875396391</v>
      </c>
      <c r="F903">
        <v>144</v>
      </c>
      <c r="H903" t="s">
        <v>22</v>
      </c>
      <c r="I903">
        <f t="shared" ref="I903" si="260">STDEVP(F884:F903)</f>
        <v>19.497371617733503</v>
      </c>
    </row>
    <row r="904" spans="1:9" x14ac:dyDescent="0.25">
      <c r="C904" s="1" t="str">
        <f t="shared" si="254"/>
        <v/>
      </c>
    </row>
    <row r="905" spans="1:9" x14ac:dyDescent="0.25">
      <c r="A905">
        <v>1316.8609418282999</v>
      </c>
      <c r="B905">
        <v>1341.6975069252001</v>
      </c>
      <c r="C905" s="1">
        <f t="shared" si="254"/>
        <v>1.8860431126780597E-2</v>
      </c>
      <c r="D905">
        <v>15.163717805151</v>
      </c>
      <c r="E905">
        <v>0.29610517010846998</v>
      </c>
      <c r="F905">
        <v>43</v>
      </c>
    </row>
    <row r="906" spans="1:9" x14ac:dyDescent="0.25">
      <c r="A906">
        <v>1315.140166205</v>
      </c>
      <c r="B906">
        <v>1342.3745152353999</v>
      </c>
      <c r="C906" s="1">
        <f t="shared" si="254"/>
        <v>2.0708324276178081E-2</v>
      </c>
      <c r="D906">
        <v>15.165061590145999</v>
      </c>
      <c r="E906">
        <v>0.29628697741144</v>
      </c>
      <c r="F906">
        <v>43</v>
      </c>
    </row>
    <row r="907" spans="1:9" x14ac:dyDescent="0.25">
      <c r="A907">
        <v>1321.7329639889001</v>
      </c>
      <c r="B907">
        <v>1348.6171745152001</v>
      </c>
      <c r="C907" s="1">
        <f t="shared" si="254"/>
        <v>2.0340122595690735E-2</v>
      </c>
      <c r="D907">
        <v>15.096080627099999</v>
      </c>
      <c r="E907">
        <v>0.29285721693707001</v>
      </c>
      <c r="F907">
        <v>44</v>
      </c>
    </row>
    <row r="908" spans="1:9" x14ac:dyDescent="0.25">
      <c r="A908">
        <v>1325.7329639889001</v>
      </c>
      <c r="B908">
        <v>1353.9191135734</v>
      </c>
      <c r="C908" s="1">
        <f t="shared" si="254"/>
        <v>2.1260804664381849E-2</v>
      </c>
      <c r="D908">
        <v>15.05352743561</v>
      </c>
      <c r="E908">
        <v>0.29068599698247999</v>
      </c>
      <c r="F908">
        <v>45</v>
      </c>
    </row>
    <row r="909" spans="1:9" x14ac:dyDescent="0.25">
      <c r="A909">
        <v>1322.8842105263</v>
      </c>
      <c r="B909">
        <v>1348.8365650968999</v>
      </c>
      <c r="C909" s="1">
        <f t="shared" si="254"/>
        <v>1.9618009168221207E-2</v>
      </c>
      <c r="D909">
        <v>15.140425531915</v>
      </c>
      <c r="E909">
        <v>0.29348524876556997</v>
      </c>
      <c r="F909">
        <v>47</v>
      </c>
    </row>
    <row r="910" spans="1:9" x14ac:dyDescent="0.25">
      <c r="A910">
        <v>1312.0421052632</v>
      </c>
      <c r="B910">
        <v>1336.367867036</v>
      </c>
      <c r="C910" s="1">
        <f t="shared" si="254"/>
        <v>1.8540381955135521E-2</v>
      </c>
      <c r="D910">
        <v>15.2</v>
      </c>
      <c r="E910">
        <v>0.29830212360031</v>
      </c>
      <c r="F910">
        <v>44</v>
      </c>
    </row>
    <row r="911" spans="1:9" x14ac:dyDescent="0.25">
      <c r="A911">
        <v>1321.8980609417999</v>
      </c>
      <c r="B911">
        <v>1343.8437673129999</v>
      </c>
      <c r="C911" s="1">
        <f t="shared" si="254"/>
        <v>1.6601663183895221E-2</v>
      </c>
      <c r="D911">
        <v>14.765061590146001</v>
      </c>
      <c r="E911">
        <v>0.28446317918922998</v>
      </c>
      <c r="F911">
        <v>44</v>
      </c>
    </row>
    <row r="912" spans="1:9" x14ac:dyDescent="0.25">
      <c r="A912">
        <v>1314.7246537395999</v>
      </c>
      <c r="B912">
        <v>1343.5168975069</v>
      </c>
      <c r="C912" s="1">
        <f t="shared" si="254"/>
        <v>2.1899827987102549E-2</v>
      </c>
      <c r="D912">
        <v>15.030235162374</v>
      </c>
      <c r="E912">
        <v>0.29327431859672998</v>
      </c>
      <c r="F912">
        <v>45</v>
      </c>
    </row>
    <row r="913" spans="1:9" x14ac:dyDescent="0.25">
      <c r="A913">
        <v>1313.0581717452001</v>
      </c>
      <c r="B913">
        <v>1337.8315789472999</v>
      </c>
      <c r="C913" s="1">
        <f t="shared" si="254"/>
        <v>1.8866953296648781E-2</v>
      </c>
      <c r="D913">
        <v>14.911982082867</v>
      </c>
      <c r="E913">
        <v>0.29061200294537998</v>
      </c>
      <c r="F913">
        <v>44</v>
      </c>
    </row>
    <row r="914" spans="1:9" x14ac:dyDescent="0.25">
      <c r="A914">
        <v>1328.7556786703999</v>
      </c>
      <c r="B914">
        <v>1354.8044321329</v>
      </c>
      <c r="C914" s="1">
        <f t="shared" si="254"/>
        <v>1.9603869906742677E-2</v>
      </c>
      <c r="D914">
        <v>15.121164613662</v>
      </c>
      <c r="E914">
        <v>0.29136261861243001</v>
      </c>
      <c r="F914">
        <v>44</v>
      </c>
    </row>
    <row r="915" spans="1:9" x14ac:dyDescent="0.25">
      <c r="A915">
        <v>1316.5584487535</v>
      </c>
      <c r="B915">
        <v>1344.4498614958</v>
      </c>
      <c r="C915" s="1">
        <f t="shared" si="254"/>
        <v>2.1185092669989025E-2</v>
      </c>
      <c r="D915">
        <v>14.964389697648</v>
      </c>
      <c r="E915">
        <v>0.29097475180887</v>
      </c>
      <c r="F915">
        <v>43</v>
      </c>
    </row>
    <row r="916" spans="1:9" x14ac:dyDescent="0.25">
      <c r="A916">
        <v>1319.0138504155</v>
      </c>
      <c r="B916">
        <v>1348.0698060940999</v>
      </c>
      <c r="C916" s="1">
        <f t="shared" si="254"/>
        <v>2.2028544787036974E-2</v>
      </c>
      <c r="D916">
        <v>15.088465845465</v>
      </c>
      <c r="E916">
        <v>0.29374060252789003</v>
      </c>
      <c r="F916">
        <v>44</v>
      </c>
    </row>
    <row r="917" spans="1:9" x14ac:dyDescent="0.25">
      <c r="A917">
        <v>1330.5351800553999</v>
      </c>
      <c r="B917">
        <v>1353.7595567866999</v>
      </c>
      <c r="C917" s="1">
        <f t="shared" si="254"/>
        <v>1.7454913691446361E-2</v>
      </c>
      <c r="D917">
        <v>15.064277715566</v>
      </c>
      <c r="E917">
        <v>0.28949386603697003</v>
      </c>
      <c r="F917">
        <v>44</v>
      </c>
    </row>
    <row r="918" spans="1:9" x14ac:dyDescent="0.25">
      <c r="A918">
        <v>1326.3867036011</v>
      </c>
      <c r="B918">
        <v>1348.7113573407</v>
      </c>
      <c r="C918" s="1">
        <f t="shared" si="254"/>
        <v>1.6831180287761649E-2</v>
      </c>
      <c r="D918">
        <v>15.075923852183999</v>
      </c>
      <c r="E918">
        <v>0.29108481853554002</v>
      </c>
      <c r="F918">
        <v>44</v>
      </c>
    </row>
    <row r="919" spans="1:9" x14ac:dyDescent="0.25">
      <c r="A919">
        <v>1328.0908587258</v>
      </c>
      <c r="B919">
        <v>1352.3689750691999</v>
      </c>
      <c r="C919" s="1">
        <f t="shared" si="254"/>
        <v>1.8280463406466607E-2</v>
      </c>
      <c r="D919">
        <v>14.934378499439999</v>
      </c>
      <c r="E919">
        <v>0.28693053971810001</v>
      </c>
      <c r="F919">
        <v>44</v>
      </c>
      <c r="H919" t="s">
        <v>17</v>
      </c>
      <c r="I919">
        <f t="shared" ref="I919" si="261">STDEVP(A905:A924)</f>
        <v>5.5336297603976545</v>
      </c>
    </row>
    <row r="920" spans="1:9" x14ac:dyDescent="0.25">
      <c r="A920">
        <v>1327.6731301939001</v>
      </c>
      <c r="B920">
        <v>1349.8836565096001</v>
      </c>
      <c r="C920" s="1">
        <f t="shared" si="254"/>
        <v>1.6728911514881872E-2</v>
      </c>
      <c r="D920">
        <v>14.941993281075</v>
      </c>
      <c r="E920">
        <v>0.28729710714779</v>
      </c>
      <c r="F920">
        <v>46</v>
      </c>
      <c r="H920" t="s">
        <v>18</v>
      </c>
      <c r="I920">
        <f t="shared" ref="I920" si="262">STDEVP(B905:B924)</f>
        <v>5.0245603051323977</v>
      </c>
    </row>
    <row r="921" spans="1:9" x14ac:dyDescent="0.25">
      <c r="A921">
        <v>1323.8072022161</v>
      </c>
      <c r="B921">
        <v>1350.9329639888999</v>
      </c>
      <c r="C921" s="1">
        <f t="shared" si="254"/>
        <v>2.0490719288571935E-2</v>
      </c>
      <c r="D921">
        <v>14.868980963046001</v>
      </c>
      <c r="E921">
        <v>0.28682564736005001</v>
      </c>
      <c r="F921">
        <v>42</v>
      </c>
      <c r="H921" t="s">
        <v>19</v>
      </c>
      <c r="I921">
        <f t="shared" ref="I921" si="263">STDEVP(C905:C924)</f>
        <v>2.0251784420127934E-3</v>
      </c>
    </row>
    <row r="922" spans="1:9" x14ac:dyDescent="0.25">
      <c r="A922">
        <v>1315.9058171745</v>
      </c>
      <c r="B922">
        <v>1347.4072022160001</v>
      </c>
      <c r="C922" s="1">
        <f t="shared" si="254"/>
        <v>2.3938935925626792E-2</v>
      </c>
      <c r="D922">
        <v>15.092049272116</v>
      </c>
      <c r="E922">
        <v>0.29446953806706</v>
      </c>
      <c r="F922">
        <v>45</v>
      </c>
      <c r="H922" t="s">
        <v>20</v>
      </c>
      <c r="I922">
        <f t="shared" ref="I922" si="264">STDEVP(D905:D924)</f>
        <v>0.12469647970136884</v>
      </c>
    </row>
    <row r="923" spans="1:9" x14ac:dyDescent="0.25">
      <c r="A923">
        <v>1319.6310249308001</v>
      </c>
      <c r="B923">
        <v>1343.4603878116</v>
      </c>
      <c r="C923" s="1">
        <f t="shared" si="254"/>
        <v>1.8057595214578503E-2</v>
      </c>
      <c r="D923">
        <v>15.112206047032</v>
      </c>
      <c r="E923">
        <v>0.29361280312048998</v>
      </c>
      <c r="F923">
        <v>44</v>
      </c>
      <c r="H923" t="s">
        <v>21</v>
      </c>
      <c r="I923">
        <f t="shared" ref="I923" si="265">STDEVP(E905:E924)</f>
        <v>3.846009285017717E-3</v>
      </c>
    </row>
    <row r="924" spans="1:9" x14ac:dyDescent="0.25">
      <c r="A924">
        <v>1325.2797783934</v>
      </c>
      <c r="B924">
        <v>1347.2354570637001</v>
      </c>
      <c r="C924" s="1">
        <f t="shared" si="254"/>
        <v>1.656682538151788E-2</v>
      </c>
      <c r="D924">
        <v>14.761478163494001</v>
      </c>
      <c r="E924">
        <v>0.28353669912212998</v>
      </c>
      <c r="F924">
        <v>46</v>
      </c>
      <c r="H924" t="s">
        <v>22</v>
      </c>
      <c r="I924">
        <f t="shared" ref="I924" si="266">STDEVP(F905:F924)</f>
        <v>1.1346805717910218</v>
      </c>
    </row>
    <row r="925" spans="1:9" x14ac:dyDescent="0.25">
      <c r="C925" s="1" t="str">
        <f t="shared" si="254"/>
        <v/>
      </c>
    </row>
    <row r="926" spans="1:9" x14ac:dyDescent="0.25">
      <c r="A926">
        <v>279.34720570748999</v>
      </c>
      <c r="B926">
        <v>292.04399524375998</v>
      </c>
      <c r="C926" s="1">
        <f t="shared" si="254"/>
        <v>4.5451643248456408E-2</v>
      </c>
      <c r="D926">
        <v>6.0738052026618004</v>
      </c>
      <c r="E926">
        <v>0.75323833719921995</v>
      </c>
      <c r="F926">
        <v>8</v>
      </c>
    </row>
    <row r="927" spans="1:9" x14ac:dyDescent="0.25">
      <c r="A927">
        <v>273.61712247324999</v>
      </c>
      <c r="B927">
        <v>286.85374554101998</v>
      </c>
      <c r="C927" s="1">
        <f t="shared" si="254"/>
        <v>4.8376442775667439E-2</v>
      </c>
      <c r="D927">
        <v>5.9419237749546001</v>
      </c>
      <c r="E927">
        <v>0.75010307172652002</v>
      </c>
      <c r="F927">
        <v>8</v>
      </c>
    </row>
    <row r="928" spans="1:9" x14ac:dyDescent="0.25">
      <c r="A928">
        <v>274.72532699167999</v>
      </c>
      <c r="B928">
        <v>285.91082045183998</v>
      </c>
      <c r="C928" s="1">
        <f t="shared" si="254"/>
        <v>4.0715188448929407E-2</v>
      </c>
      <c r="D928">
        <v>6.0193587416818</v>
      </c>
      <c r="E928">
        <v>0.76057939489565995</v>
      </c>
      <c r="F928">
        <v>8</v>
      </c>
    </row>
    <row r="929" spans="1:9" x14ac:dyDescent="0.25">
      <c r="A929">
        <v>274.65992865636002</v>
      </c>
      <c r="B929">
        <v>290.38406658740001</v>
      </c>
      <c r="C929" s="1">
        <f t="shared" si="254"/>
        <v>5.7249479412459836E-2</v>
      </c>
      <c r="D929">
        <v>6.0072595281307004</v>
      </c>
      <c r="E929">
        <v>0.75980810328283999</v>
      </c>
      <c r="F929">
        <v>8</v>
      </c>
    </row>
    <row r="930" spans="1:9" x14ac:dyDescent="0.25">
      <c r="A930">
        <v>273.30796670630002</v>
      </c>
      <c r="B930">
        <v>289.32699167658001</v>
      </c>
      <c r="C930" s="1">
        <f t="shared" si="254"/>
        <v>5.8611628352181366E-2</v>
      </c>
      <c r="D930">
        <v>5.8911070780398997</v>
      </c>
      <c r="E930">
        <v>0.74359869358734998</v>
      </c>
      <c r="F930">
        <v>8</v>
      </c>
    </row>
    <row r="931" spans="1:9" x14ac:dyDescent="0.25">
      <c r="A931">
        <v>272.00237812128</v>
      </c>
      <c r="B931">
        <v>286.45897740785</v>
      </c>
      <c r="C931" s="1">
        <f t="shared" si="254"/>
        <v>5.3148797398102632E-2</v>
      </c>
      <c r="D931">
        <v>5.8983666061706002</v>
      </c>
      <c r="E931">
        <v>0.74752522412405997</v>
      </c>
      <c r="F931">
        <v>9</v>
      </c>
    </row>
    <row r="932" spans="1:9" x14ac:dyDescent="0.25">
      <c r="A932">
        <v>274.0820451843</v>
      </c>
      <c r="B932">
        <v>289.35671819263001</v>
      </c>
      <c r="C932" s="1">
        <f t="shared" si="254"/>
        <v>5.5730294182747109E-2</v>
      </c>
      <c r="D932">
        <v>5.9673321234119996</v>
      </c>
      <c r="E932">
        <v>0.75355831289638997</v>
      </c>
      <c r="F932">
        <v>8</v>
      </c>
    </row>
    <row r="933" spans="1:9" x14ac:dyDescent="0.25">
      <c r="A933">
        <v>277.05469678954</v>
      </c>
      <c r="B933">
        <v>291.46373365042001</v>
      </c>
      <c r="C933" s="1">
        <f t="shared" si="254"/>
        <v>5.2007914061191984E-2</v>
      </c>
      <c r="D933">
        <v>6.1185722928009998</v>
      </c>
      <c r="E933">
        <v>0.77257841858849996</v>
      </c>
      <c r="F933">
        <v>8</v>
      </c>
    </row>
    <row r="934" spans="1:9" x14ac:dyDescent="0.25">
      <c r="A934">
        <v>271.21284185492999</v>
      </c>
      <c r="B934">
        <v>286.16052318668</v>
      </c>
      <c r="C934" s="1">
        <f t="shared" si="254"/>
        <v>5.5114209303353867E-2</v>
      </c>
      <c r="D934">
        <v>5.8511796733211998</v>
      </c>
      <c r="E934">
        <v>0.74073851475246</v>
      </c>
      <c r="F934">
        <v>8</v>
      </c>
    </row>
    <row r="935" spans="1:9" x14ac:dyDescent="0.25">
      <c r="A935">
        <v>272.71700356717997</v>
      </c>
      <c r="B935">
        <v>285.68608799049002</v>
      </c>
      <c r="C935" s="1">
        <f t="shared" si="254"/>
        <v>4.755510017223874E-2</v>
      </c>
      <c r="D935">
        <v>5.9540229885056997</v>
      </c>
      <c r="E935">
        <v>0.76045801681789005</v>
      </c>
      <c r="F935">
        <v>8</v>
      </c>
    </row>
    <row r="936" spans="1:9" x14ac:dyDescent="0.25">
      <c r="A936">
        <v>274.29845422116</v>
      </c>
      <c r="B936">
        <v>285.88585017835999</v>
      </c>
      <c r="C936" s="1">
        <f t="shared" si="254"/>
        <v>4.2243752302947302E-2</v>
      </c>
      <c r="D936">
        <v>6.0871143375681003</v>
      </c>
      <c r="E936">
        <v>0.77997610299049003</v>
      </c>
      <c r="F936">
        <v>9</v>
      </c>
    </row>
    <row r="937" spans="1:9" x14ac:dyDescent="0.25">
      <c r="A937">
        <v>273.87752675386002</v>
      </c>
      <c r="B937">
        <v>289.16409036861</v>
      </c>
      <c r="C937" s="1">
        <f t="shared" si="254"/>
        <v>5.5815326638641416E-2</v>
      </c>
      <c r="D937">
        <v>6.0060496067756004</v>
      </c>
      <c r="E937">
        <v>0.76266191328762001</v>
      </c>
      <c r="F937">
        <v>8</v>
      </c>
    </row>
    <row r="938" spans="1:9" x14ac:dyDescent="0.25">
      <c r="A938">
        <v>271.66349583828998</v>
      </c>
      <c r="B938">
        <v>288.14506539834002</v>
      </c>
      <c r="C938" s="1">
        <f t="shared" si="254"/>
        <v>6.0669062323562395E-2</v>
      </c>
      <c r="D938">
        <v>5.9249848759830996</v>
      </c>
      <c r="E938">
        <v>0.75509158117207997</v>
      </c>
      <c r="F938">
        <v>8</v>
      </c>
    </row>
    <row r="939" spans="1:9" x14ac:dyDescent="0.25">
      <c r="A939">
        <v>274.00713436385001</v>
      </c>
      <c r="B939">
        <v>288.56361474434999</v>
      </c>
      <c r="C939" s="1">
        <f t="shared" si="254"/>
        <v>5.3124457559454052E-2</v>
      </c>
      <c r="D939">
        <v>6.0108892921960004</v>
      </c>
      <c r="E939">
        <v>0.76334146403363001</v>
      </c>
      <c r="F939">
        <v>8</v>
      </c>
    </row>
    <row r="940" spans="1:9" x14ac:dyDescent="0.25">
      <c r="A940">
        <v>280.73483947681001</v>
      </c>
      <c r="B940">
        <v>294.28299643282003</v>
      </c>
      <c r="C940" s="1">
        <f t="shared" si="254"/>
        <v>4.8259621004856257E-2</v>
      </c>
      <c r="D940">
        <v>5.9987900786449</v>
      </c>
      <c r="E940">
        <v>0.73311187495885</v>
      </c>
      <c r="F940">
        <v>8</v>
      </c>
      <c r="H940" t="s">
        <v>17</v>
      </c>
      <c r="I940">
        <f t="shared" ref="I940" si="267">STDEVP(A926:A945)</f>
        <v>2.5204111649164065</v>
      </c>
    </row>
    <row r="941" spans="1:9" x14ac:dyDescent="0.25">
      <c r="A941">
        <v>271.36385255648003</v>
      </c>
      <c r="B941">
        <v>284.84898929845002</v>
      </c>
      <c r="C941" s="1">
        <f t="shared" si="254"/>
        <v>4.969393165275493E-2</v>
      </c>
      <c r="D941">
        <v>5.8185117967332003</v>
      </c>
      <c r="E941">
        <v>0.73456572339640003</v>
      </c>
      <c r="F941">
        <v>9</v>
      </c>
      <c r="H941" t="s">
        <v>18</v>
      </c>
      <c r="I941">
        <f t="shared" ref="I941" si="268">STDEVP(B926:B945)</f>
        <v>2.5716260276727656</v>
      </c>
    </row>
    <row r="942" spans="1:9" x14ac:dyDescent="0.25">
      <c r="A942">
        <v>274.65992865636002</v>
      </c>
      <c r="B942">
        <v>290.94768133175</v>
      </c>
      <c r="C942" s="1">
        <f t="shared" si="254"/>
        <v>5.9301525180865955E-2</v>
      </c>
      <c r="D942">
        <v>5.9721718088323996</v>
      </c>
      <c r="E942">
        <v>0.75343809313513999</v>
      </c>
      <c r="F942">
        <v>8</v>
      </c>
      <c r="H942" t="s">
        <v>19</v>
      </c>
      <c r="I942">
        <f t="shared" ref="I942" si="269">STDEVP(C926:C945)</f>
        <v>5.5599825168558192E-3</v>
      </c>
    </row>
    <row r="943" spans="1:9" x14ac:dyDescent="0.25">
      <c r="A943">
        <v>273.68846611177003</v>
      </c>
      <c r="B943">
        <v>289.29013079666998</v>
      </c>
      <c r="C943" s="1">
        <f t="shared" si="254"/>
        <v>5.7005196114214396E-2</v>
      </c>
      <c r="D943">
        <v>5.9455535390199996</v>
      </c>
      <c r="E943">
        <v>0.75288620514646998</v>
      </c>
      <c r="F943">
        <v>8</v>
      </c>
      <c r="H943" t="s">
        <v>20</v>
      </c>
      <c r="I943">
        <f t="shared" ref="I943" si="270">STDEVP(D926:D945)</f>
        <v>7.3005771283438423E-2</v>
      </c>
    </row>
    <row r="944" spans="1:9" x14ac:dyDescent="0.25">
      <c r="A944">
        <v>275.41260404281002</v>
      </c>
      <c r="B944">
        <v>288.09869203328998</v>
      </c>
      <c r="C944" s="1">
        <f t="shared" si="254"/>
        <v>4.6062118451587031E-2</v>
      </c>
      <c r="D944">
        <v>5.9806412583182</v>
      </c>
      <c r="E944">
        <v>0.75151541234166996</v>
      </c>
      <c r="F944">
        <v>8</v>
      </c>
      <c r="H944" t="s">
        <v>21</v>
      </c>
      <c r="I944">
        <f t="shared" ref="I944" si="271">STDEVP(E926:E945)</f>
        <v>1.2185093030613891E-2</v>
      </c>
    </row>
    <row r="945" spans="1:9" x14ac:dyDescent="0.25">
      <c r="A945">
        <v>278.43043995244</v>
      </c>
      <c r="B945">
        <v>292.94054696789999</v>
      </c>
      <c r="C945" s="1">
        <f t="shared" si="254"/>
        <v>5.2113939186888336E-2</v>
      </c>
      <c r="D945">
        <v>5.9552329098609</v>
      </c>
      <c r="E945">
        <v>0.73110977789521003</v>
      </c>
      <c r="F945">
        <v>8</v>
      </c>
      <c r="H945" t="s">
        <v>22</v>
      </c>
      <c r="I945">
        <f t="shared" ref="I945" si="272">STDEVP(F926:F945)</f>
        <v>0.35707142142714249</v>
      </c>
    </row>
    <row r="946" spans="1:9" x14ac:dyDescent="0.25">
      <c r="C946" s="1" t="str">
        <f t="shared" si="254"/>
        <v/>
      </c>
    </row>
    <row r="947" spans="1:9" x14ac:dyDescent="0.25">
      <c r="A947">
        <v>984.98036882808003</v>
      </c>
      <c r="B947">
        <v>1009.747174301</v>
      </c>
      <c r="C947" s="1">
        <f t="shared" si="254"/>
        <v>2.5144466079448202E-2</v>
      </c>
      <c r="D947">
        <v>14.113821138211</v>
      </c>
      <c r="E947">
        <v>0.39618565871988998</v>
      </c>
      <c r="F947">
        <v>47</v>
      </c>
    </row>
    <row r="948" spans="1:9" x14ac:dyDescent="0.25">
      <c r="A948">
        <v>981.25401546698004</v>
      </c>
      <c r="B948">
        <v>1014.1100535396</v>
      </c>
      <c r="C948" s="1">
        <f t="shared" si="254"/>
        <v>3.3483723434225787E-2</v>
      </c>
      <c r="D948">
        <v>13.831376091538999</v>
      </c>
      <c r="E948">
        <v>0.38699386552974002</v>
      </c>
      <c r="F948">
        <v>48</v>
      </c>
    </row>
    <row r="949" spans="1:9" x14ac:dyDescent="0.25">
      <c r="A949">
        <v>994.71088637715002</v>
      </c>
      <c r="B949">
        <v>1019.3277810827</v>
      </c>
      <c r="C949" s="1">
        <f t="shared" si="254"/>
        <v>2.4747788571217288E-2</v>
      </c>
      <c r="D949">
        <v>14.042155977115</v>
      </c>
      <c r="E949">
        <v>0.38788223343016998</v>
      </c>
      <c r="F949">
        <v>46</v>
      </c>
    </row>
    <row r="950" spans="1:9" x14ac:dyDescent="0.25">
      <c r="A950">
        <v>990.28554431886005</v>
      </c>
      <c r="B950">
        <v>1016.9744199881</v>
      </c>
      <c r="C950" s="1">
        <f t="shared" si="254"/>
        <v>2.6950686922929012E-2</v>
      </c>
      <c r="D950">
        <v>13.915688045769</v>
      </c>
      <c r="E950">
        <v>0.38515868299931999</v>
      </c>
      <c r="F950">
        <v>45</v>
      </c>
    </row>
    <row r="951" spans="1:9" x14ac:dyDescent="0.25">
      <c r="A951">
        <v>999.23616894705003</v>
      </c>
      <c r="B951">
        <v>1026.7162403330999</v>
      </c>
      <c r="C951" s="1">
        <f t="shared" si="254"/>
        <v>2.7501077563082177E-2</v>
      </c>
      <c r="D951">
        <v>13.966275218308001</v>
      </c>
      <c r="E951">
        <v>0.38226049402508999</v>
      </c>
      <c r="F951">
        <v>46</v>
      </c>
    </row>
    <row r="952" spans="1:9" x14ac:dyDescent="0.25">
      <c r="A952">
        <v>990.58298631767002</v>
      </c>
      <c r="B952">
        <v>1019.6466389054</v>
      </c>
      <c r="C952" s="1">
        <f t="shared" si="254"/>
        <v>2.9339947272635225E-2</v>
      </c>
      <c r="D952">
        <v>14.078891900029999</v>
      </c>
      <c r="E952">
        <v>0.39114651882008999</v>
      </c>
      <c r="F952">
        <v>47</v>
      </c>
    </row>
    <row r="953" spans="1:9" x14ac:dyDescent="0.25">
      <c r="A953">
        <v>986.26710291492998</v>
      </c>
      <c r="B953">
        <v>1016.8655562165</v>
      </c>
      <c r="C953" s="1">
        <f t="shared" si="254"/>
        <v>3.1024509700400271E-2</v>
      </c>
      <c r="D953">
        <v>14.051791629027001</v>
      </c>
      <c r="E953">
        <v>0.39248220052233002</v>
      </c>
      <c r="F953">
        <v>45</v>
      </c>
    </row>
    <row r="954" spans="1:9" x14ac:dyDescent="0.25">
      <c r="A954">
        <v>1000.6008328376</v>
      </c>
      <c r="B954">
        <v>1029.1921475311999</v>
      </c>
      <c r="C954" s="1">
        <f t="shared" si="254"/>
        <v>2.8574146408131496E-2</v>
      </c>
      <c r="D954">
        <v>13.993375489310001</v>
      </c>
      <c r="E954">
        <v>0.38326791603749999</v>
      </c>
      <c r="F954">
        <v>46</v>
      </c>
    </row>
    <row r="955" spans="1:9" x14ac:dyDescent="0.25">
      <c r="A955">
        <v>991.85127900059001</v>
      </c>
      <c r="B955">
        <v>1020.8560380726</v>
      </c>
      <c r="C955" s="1">
        <f t="shared" si="254"/>
        <v>2.9243052548397985E-2</v>
      </c>
      <c r="D955">
        <v>13.930743751882</v>
      </c>
      <c r="E955">
        <v>0.38509845955848998</v>
      </c>
      <c r="F955">
        <v>48</v>
      </c>
    </row>
    <row r="956" spans="1:9" x14ac:dyDescent="0.25">
      <c r="A956">
        <v>992.80071386079999</v>
      </c>
      <c r="B956">
        <v>1018.6977989292</v>
      </c>
      <c r="C956" s="1">
        <f t="shared" si="254"/>
        <v>2.6084877565902831E-2</v>
      </c>
      <c r="D956">
        <v>13.983739837398</v>
      </c>
      <c r="E956">
        <v>0.38649888654894998</v>
      </c>
      <c r="F956">
        <v>45</v>
      </c>
    </row>
    <row r="957" spans="1:9" x14ac:dyDescent="0.25">
      <c r="A957">
        <v>992.67043426531995</v>
      </c>
      <c r="B957">
        <v>1017.512790006</v>
      </c>
      <c r="C957" s="1">
        <f t="shared" si="254"/>
        <v>2.5025783868606988E-2</v>
      </c>
      <c r="D957">
        <v>13.827762722072</v>
      </c>
      <c r="E957">
        <v>0.38097899655653999</v>
      </c>
      <c r="F957">
        <v>43</v>
      </c>
    </row>
    <row r="958" spans="1:9" x14ac:dyDescent="0.25">
      <c r="A958">
        <v>996.52468768589995</v>
      </c>
      <c r="B958">
        <v>1016.5258774539</v>
      </c>
      <c r="C958" s="1">
        <f t="shared" si="254"/>
        <v>2.0070942561840832E-2</v>
      </c>
      <c r="D958">
        <v>14.073471845829999</v>
      </c>
      <c r="E958">
        <v>0.38801039965936002</v>
      </c>
      <c r="F958">
        <v>48</v>
      </c>
    </row>
    <row r="959" spans="1:9" x14ac:dyDescent="0.25">
      <c r="A959">
        <v>990.21951219512005</v>
      </c>
      <c r="B959">
        <v>1017.2040452112</v>
      </c>
      <c r="C959" s="1">
        <f t="shared" si="254"/>
        <v>2.7251061692634693E-2</v>
      </c>
      <c r="D959">
        <v>13.925925925926</v>
      </c>
      <c r="E959">
        <v>0.38573157887743997</v>
      </c>
      <c r="F959">
        <v>47</v>
      </c>
    </row>
    <row r="960" spans="1:9" x14ac:dyDescent="0.25">
      <c r="A960">
        <v>993.59309934562998</v>
      </c>
      <c r="B960">
        <v>1019.4187983343</v>
      </c>
      <c r="C960" s="1">
        <f t="shared" si="254"/>
        <v>2.5992228615193236E-2</v>
      </c>
      <c r="D960">
        <v>14.058416139717</v>
      </c>
      <c r="E960">
        <v>0.38938086665077998</v>
      </c>
      <c r="F960">
        <v>48</v>
      </c>
    </row>
    <row r="961" spans="1:9" x14ac:dyDescent="0.25">
      <c r="A961">
        <v>989.71029149315996</v>
      </c>
      <c r="B961">
        <v>1017.4116597264</v>
      </c>
      <c r="C961" s="1">
        <f t="shared" si="254"/>
        <v>2.7989370699022853E-2</v>
      </c>
      <c r="D961">
        <v>14.01866907558</v>
      </c>
      <c r="E961">
        <v>0.38958909642304002</v>
      </c>
      <c r="F961">
        <v>46</v>
      </c>
      <c r="H961" t="s">
        <v>17</v>
      </c>
      <c r="I961">
        <f t="shared" ref="I961" si="273">STDEVP(A947:A966)</f>
        <v>5.0012718693799032</v>
      </c>
    </row>
    <row r="962" spans="1:9" x14ac:dyDescent="0.25">
      <c r="A962">
        <v>985.94943486019997</v>
      </c>
      <c r="B962">
        <v>1016.8494943486</v>
      </c>
      <c r="C962" s="1">
        <f t="shared" ref="C962:C1025" si="274">IFERROR((B962/A962)-1,"")</f>
        <v>3.1340409960051829E-2</v>
      </c>
      <c r="D962">
        <v>14.077687443541</v>
      </c>
      <c r="E962">
        <v>0.39426758962976999</v>
      </c>
      <c r="F962">
        <v>46</v>
      </c>
      <c r="H962" t="s">
        <v>18</v>
      </c>
      <c r="I962">
        <f t="shared" ref="I962" si="275">STDEVP(B947:B966)</f>
        <v>4.1066283521516329</v>
      </c>
    </row>
    <row r="963" spans="1:9" x14ac:dyDescent="0.25">
      <c r="A963">
        <v>989.73408685306003</v>
      </c>
      <c r="B963">
        <v>1021.4301011303</v>
      </c>
      <c r="C963" s="1">
        <f t="shared" si="274"/>
        <v>3.2024777865355736E-2</v>
      </c>
      <c r="D963">
        <v>13.822342667871</v>
      </c>
      <c r="E963">
        <v>0.38192459864183997</v>
      </c>
      <c r="F963">
        <v>45</v>
      </c>
      <c r="H963" t="s">
        <v>19</v>
      </c>
      <c r="I963">
        <f t="shared" ref="I963" si="276">STDEVP(C947:C966)</f>
        <v>3.5826852052839946E-3</v>
      </c>
    </row>
    <row r="964" spans="1:9" x14ac:dyDescent="0.25">
      <c r="A964">
        <v>985.44556811422001</v>
      </c>
      <c r="B964">
        <v>1016.9309934563</v>
      </c>
      <c r="C964" s="1">
        <f t="shared" si="274"/>
        <v>3.1950445931104632E-2</v>
      </c>
      <c r="D964">
        <v>13.962059620595999</v>
      </c>
      <c r="E964">
        <v>0.38972894886801002</v>
      </c>
      <c r="F964">
        <v>43</v>
      </c>
      <c r="H964" t="s">
        <v>20</v>
      </c>
      <c r="I964">
        <f t="shared" ref="I964" si="277">STDEVP(D947:D966)</f>
        <v>0.10297678595061752</v>
      </c>
    </row>
    <row r="965" spans="1:9" x14ac:dyDescent="0.25">
      <c r="A965">
        <v>983.81737061272997</v>
      </c>
      <c r="B965">
        <v>1014.5990481856001</v>
      </c>
      <c r="C965" s="1">
        <f t="shared" si="274"/>
        <v>3.1287999675894129E-2</v>
      </c>
      <c r="D965">
        <v>13.727792833483999</v>
      </c>
      <c r="E965">
        <v>0.38154544821712999</v>
      </c>
      <c r="F965">
        <v>44</v>
      </c>
      <c r="H965" t="s">
        <v>21</v>
      </c>
      <c r="I965">
        <f t="shared" ref="I965" si="278">STDEVP(E947:E966)</f>
        <v>4.3435183530358811E-3</v>
      </c>
    </row>
    <row r="966" spans="1:9" x14ac:dyDescent="0.25">
      <c r="A966">
        <v>995.17073170731999</v>
      </c>
      <c r="B966">
        <v>1015.254015467</v>
      </c>
      <c r="C966" s="1">
        <f t="shared" si="274"/>
        <v>2.0180741977032568E-2</v>
      </c>
      <c r="D966">
        <v>13.876543209876999</v>
      </c>
      <c r="E966">
        <v>0.38114625442585998</v>
      </c>
      <c r="F966">
        <v>44</v>
      </c>
      <c r="H966" t="s">
        <v>22</v>
      </c>
      <c r="I966">
        <f t="shared" ref="I966" si="279">STDEVP(F947:F966)</f>
        <v>1.5580436450882884</v>
      </c>
    </row>
    <row r="967" spans="1:9" x14ac:dyDescent="0.25">
      <c r="C967" s="1" t="str">
        <f t="shared" si="274"/>
        <v/>
      </c>
    </row>
    <row r="968" spans="1:9" x14ac:dyDescent="0.25">
      <c r="A968">
        <v>1773.1074380165001</v>
      </c>
      <c r="B968">
        <v>1831.8842975207001</v>
      </c>
      <c r="C968" s="1">
        <f t="shared" si="274"/>
        <v>3.314906826511943E-2</v>
      </c>
      <c r="D968">
        <v>15.490909090909</v>
      </c>
      <c r="E968">
        <v>0.18898159679571</v>
      </c>
      <c r="F968">
        <v>97</v>
      </c>
    </row>
    <row r="969" spans="1:9" x14ac:dyDescent="0.25">
      <c r="A969">
        <v>1710.347107438</v>
      </c>
      <c r="B969">
        <v>1826.4958677686</v>
      </c>
      <c r="C969" s="1">
        <f t="shared" si="274"/>
        <v>6.7909466929542806E-2</v>
      </c>
      <c r="D969">
        <v>14.509090909091</v>
      </c>
      <c r="E969">
        <v>0.18230910425943</v>
      </c>
      <c r="F969">
        <v>91</v>
      </c>
    </row>
    <row r="970" spans="1:9" x14ac:dyDescent="0.25">
      <c r="A970">
        <v>1733.6859504132001</v>
      </c>
      <c r="B970">
        <v>1816.0330578512001</v>
      </c>
      <c r="C970" s="1">
        <f t="shared" si="274"/>
        <v>4.7498283883752768E-2</v>
      </c>
      <c r="D970">
        <v>14.872727272726999</v>
      </c>
      <c r="E970">
        <v>0.18493432696049</v>
      </c>
      <c r="F970">
        <v>90</v>
      </c>
    </row>
    <row r="971" spans="1:9" x14ac:dyDescent="0.25">
      <c r="A971">
        <v>1697.7520661157</v>
      </c>
      <c r="B971">
        <v>1825.1074380165001</v>
      </c>
      <c r="C971" s="1">
        <f t="shared" si="274"/>
        <v>7.5014116868181713E-2</v>
      </c>
      <c r="D971">
        <v>14.036363636363999</v>
      </c>
      <c r="E971">
        <v>0.17700275277251001</v>
      </c>
      <c r="F971">
        <v>104</v>
      </c>
    </row>
    <row r="972" spans="1:9" x14ac:dyDescent="0.25">
      <c r="A972">
        <v>1727.5702479339</v>
      </c>
      <c r="B972">
        <v>1804.6611570248001</v>
      </c>
      <c r="C972" s="1">
        <f t="shared" si="274"/>
        <v>4.4623892535251564E-2</v>
      </c>
      <c r="D972">
        <v>14.036363636363999</v>
      </c>
      <c r="E972">
        <v>0.17363595459442999</v>
      </c>
      <c r="F972">
        <v>99</v>
      </c>
    </row>
    <row r="973" spans="1:9" x14ac:dyDescent="0.25">
      <c r="A973">
        <v>1721.2396694214999</v>
      </c>
      <c r="B973">
        <v>1795.4049586777001</v>
      </c>
      <c r="C973" s="1">
        <f t="shared" si="274"/>
        <v>4.3088298842848927E-2</v>
      </c>
      <c r="D973">
        <v>14.218181818182</v>
      </c>
      <c r="E973">
        <v>0.17675642295833</v>
      </c>
      <c r="F973">
        <v>85</v>
      </c>
    </row>
    <row r="974" spans="1:9" x14ac:dyDescent="0.25">
      <c r="A974">
        <v>1729.2396694214999</v>
      </c>
      <c r="B974">
        <v>1826.2148760330001</v>
      </c>
      <c r="C974" s="1">
        <f t="shared" si="274"/>
        <v>5.6079679599267074E-2</v>
      </c>
      <c r="D974">
        <v>14.618181818182</v>
      </c>
      <c r="E974">
        <v>0.18187305634984999</v>
      </c>
      <c r="F974">
        <v>120</v>
      </c>
    </row>
    <row r="975" spans="1:9" x14ac:dyDescent="0.25">
      <c r="A975">
        <v>1724.9421487602999</v>
      </c>
      <c r="B975">
        <v>1831.2727272727</v>
      </c>
      <c r="C975" s="1">
        <f t="shared" si="274"/>
        <v>6.1642982397304591E-2</v>
      </c>
      <c r="D975">
        <v>14.981818181817999</v>
      </c>
      <c r="E975">
        <v>0.18778272366325999</v>
      </c>
      <c r="F975">
        <v>91</v>
      </c>
    </row>
    <row r="976" spans="1:9" x14ac:dyDescent="0.25">
      <c r="A976">
        <v>1709.0413223139999</v>
      </c>
      <c r="B976">
        <v>1815.2561983471001</v>
      </c>
      <c r="C976" s="1">
        <f t="shared" si="274"/>
        <v>6.2148805091083448E-2</v>
      </c>
      <c r="D976">
        <v>14.727272727273</v>
      </c>
      <c r="E976">
        <v>0.18588028226215</v>
      </c>
      <c r="F976">
        <v>93</v>
      </c>
    </row>
    <row r="977" spans="1:9" x14ac:dyDescent="0.25">
      <c r="A977">
        <v>1711.4380165289001</v>
      </c>
      <c r="B977">
        <v>1814.9421487602999</v>
      </c>
      <c r="C977" s="1">
        <f t="shared" si="274"/>
        <v>6.0477873713080443E-2</v>
      </c>
      <c r="D977">
        <v>14.109090909091</v>
      </c>
      <c r="E977">
        <v>0.17627758561981</v>
      </c>
      <c r="F977">
        <v>100</v>
      </c>
    </row>
    <row r="978" spans="1:9" x14ac:dyDescent="0.25">
      <c r="A978">
        <v>1708.0330578512001</v>
      </c>
      <c r="B978">
        <v>1825.4876033057999</v>
      </c>
      <c r="C978" s="1">
        <f t="shared" si="274"/>
        <v>6.8765967329908806E-2</v>
      </c>
      <c r="D978">
        <v>14.581818181818001</v>
      </c>
      <c r="E978">
        <v>0.18389723967072</v>
      </c>
      <c r="F978">
        <v>100</v>
      </c>
    </row>
    <row r="979" spans="1:9" x14ac:dyDescent="0.25">
      <c r="A979">
        <v>1727.0909090908999</v>
      </c>
      <c r="B979">
        <v>1814.0330578512001</v>
      </c>
      <c r="C979" s="1">
        <f t="shared" si="274"/>
        <v>5.0340227200932119E-2</v>
      </c>
      <c r="D979">
        <v>14</v>
      </c>
      <c r="E979">
        <v>0.17296782722605999</v>
      </c>
      <c r="F979">
        <v>106</v>
      </c>
    </row>
    <row r="980" spans="1:9" x14ac:dyDescent="0.25">
      <c r="A980">
        <v>1730.5619834710999</v>
      </c>
      <c r="B980">
        <v>1813.9008264463</v>
      </c>
      <c r="C980" s="1">
        <f t="shared" si="274"/>
        <v>4.8157097966547324E-2</v>
      </c>
      <c r="D980">
        <v>14.290909090909</v>
      </c>
      <c r="E980">
        <v>0.17678017182740999</v>
      </c>
      <c r="F980">
        <v>99</v>
      </c>
    </row>
    <row r="981" spans="1:9" x14ac:dyDescent="0.25">
      <c r="A981">
        <v>1718.3636363636001</v>
      </c>
      <c r="B981">
        <v>1827.6694214875999</v>
      </c>
      <c r="C981" s="1">
        <f t="shared" si="274"/>
        <v>6.3610392358693479E-2</v>
      </c>
      <c r="D981">
        <v>14.4</v>
      </c>
      <c r="E981">
        <v>0.17980605789365001</v>
      </c>
      <c r="F981">
        <v>117</v>
      </c>
    </row>
    <row r="982" spans="1:9" x14ac:dyDescent="0.25">
      <c r="A982">
        <v>1738.7438016528999</v>
      </c>
      <c r="B982">
        <v>1842.9752066116</v>
      </c>
      <c r="C982" s="1">
        <f t="shared" si="274"/>
        <v>5.9946384774809625E-2</v>
      </c>
      <c r="D982">
        <v>14.690909090909001</v>
      </c>
      <c r="E982">
        <v>0.18174526419049</v>
      </c>
      <c r="F982">
        <v>111</v>
      </c>
      <c r="H982" t="s">
        <v>17</v>
      </c>
      <c r="I982">
        <f t="shared" ref="I982" si="280">STDEVP(A968:A987)</f>
        <v>14.90792073618139</v>
      </c>
    </row>
    <row r="983" spans="1:9" x14ac:dyDescent="0.25">
      <c r="A983">
        <v>1720.9752066116</v>
      </c>
      <c r="B983">
        <v>1839.7355371901001</v>
      </c>
      <c r="C983" s="1">
        <f t="shared" si="274"/>
        <v>6.9007577867623793E-2</v>
      </c>
      <c r="D983">
        <v>14.763636363636</v>
      </c>
      <c r="E983">
        <v>0.18487935936246999</v>
      </c>
      <c r="F983">
        <v>100</v>
      </c>
      <c r="H983" t="s">
        <v>18</v>
      </c>
      <c r="I983">
        <f t="shared" ref="I983" si="281">STDEVP(B968:B987)</f>
        <v>11.21647275125131</v>
      </c>
    </row>
    <row r="984" spans="1:9" x14ac:dyDescent="0.25">
      <c r="A984">
        <v>1732.3305785124001</v>
      </c>
      <c r="B984">
        <v>1820.5619834710999</v>
      </c>
      <c r="C984" s="1">
        <f t="shared" si="274"/>
        <v>5.0932198538264251E-2</v>
      </c>
      <c r="D984">
        <v>14.218181818182</v>
      </c>
      <c r="E984">
        <v>0.17566357906888</v>
      </c>
      <c r="F984">
        <v>92</v>
      </c>
      <c r="H984" t="s">
        <v>19</v>
      </c>
      <c r="I984">
        <f t="shared" ref="I984" si="282">STDEVP(C968:C987)</f>
        <v>1.0195810604383621E-2</v>
      </c>
    </row>
    <row r="985" spans="1:9" x14ac:dyDescent="0.25">
      <c r="A985">
        <v>1723.9669421487999</v>
      </c>
      <c r="B985">
        <v>1809.2561983471001</v>
      </c>
      <c r="C985" s="1">
        <f t="shared" si="274"/>
        <v>4.9472674976002384E-2</v>
      </c>
      <c r="D985">
        <v>14.218181818182</v>
      </c>
      <c r="E985">
        <v>0.17658163097067001</v>
      </c>
      <c r="F985">
        <v>104</v>
      </c>
      <c r="H985" t="s">
        <v>20</v>
      </c>
      <c r="I985">
        <f t="shared" ref="I985" si="283">STDEVP(D968:D987)</f>
        <v>0.38333465085401958</v>
      </c>
    </row>
    <row r="986" spans="1:9" x14ac:dyDescent="0.25">
      <c r="A986">
        <v>1725.2396694214999</v>
      </c>
      <c r="B986">
        <v>1813.4545454545</v>
      </c>
      <c r="C986" s="1">
        <f t="shared" si="274"/>
        <v>5.1131954357726883E-2</v>
      </c>
      <c r="D986">
        <v>15.018181818182001</v>
      </c>
      <c r="E986">
        <v>0.18838874044153001</v>
      </c>
      <c r="F986">
        <v>96</v>
      </c>
      <c r="H986" t="s">
        <v>21</v>
      </c>
      <c r="I986">
        <f t="shared" ref="I986" si="284">STDEVP(E968:E987)</f>
        <v>4.8844361194340033E-3</v>
      </c>
    </row>
    <row r="987" spans="1:9" x14ac:dyDescent="0.25">
      <c r="A987">
        <v>1723.9008264463</v>
      </c>
      <c r="B987">
        <v>1824.0165289255999</v>
      </c>
      <c r="C987" s="1">
        <f t="shared" si="274"/>
        <v>5.8075093963311897E-2</v>
      </c>
      <c r="D987">
        <v>14.654545454545</v>
      </c>
      <c r="E987">
        <v>0.18319917680830999</v>
      </c>
      <c r="F987">
        <v>66</v>
      </c>
      <c r="H987" t="s">
        <v>22</v>
      </c>
      <c r="I987">
        <f t="shared" ref="I987" si="285">STDEVP(F968:F987)</f>
        <v>11.368707050496111</v>
      </c>
    </row>
    <row r="988" spans="1:9" x14ac:dyDescent="0.25">
      <c r="C988" s="1" t="str">
        <f t="shared" si="274"/>
        <v/>
      </c>
    </row>
    <row r="989" spans="1:9" x14ac:dyDescent="0.25">
      <c r="A989">
        <v>3134.652892562</v>
      </c>
      <c r="B989">
        <v>3221.5950413222999</v>
      </c>
      <c r="C989" s="1">
        <f t="shared" si="274"/>
        <v>2.7735813737654658E-2</v>
      </c>
      <c r="D989">
        <v>18.943722943722999</v>
      </c>
      <c r="E989">
        <v>0.13049586218751</v>
      </c>
      <c r="F989">
        <v>174</v>
      </c>
    </row>
    <row r="990" spans="1:9" x14ac:dyDescent="0.25">
      <c r="A990">
        <v>3141.4793388429998</v>
      </c>
      <c r="B990">
        <v>3227.5206611571002</v>
      </c>
      <c r="C990" s="1">
        <f t="shared" si="274"/>
        <v>2.7388791404812984E-2</v>
      </c>
      <c r="D990">
        <v>18.701298701298999</v>
      </c>
      <c r="E990">
        <v>0.12830123157552001</v>
      </c>
      <c r="F990">
        <v>159</v>
      </c>
    </row>
    <row r="991" spans="1:9" x14ac:dyDescent="0.25">
      <c r="A991">
        <v>3138.2314049586998</v>
      </c>
      <c r="B991">
        <v>3215.8842975206999</v>
      </c>
      <c r="C991" s="1">
        <f t="shared" si="274"/>
        <v>2.4744157629453811E-2</v>
      </c>
      <c r="D991">
        <v>18.735930735930999</v>
      </c>
      <c r="E991">
        <v>0.12867411133453999</v>
      </c>
      <c r="F991">
        <v>189</v>
      </c>
    </row>
    <row r="992" spans="1:9" x14ac:dyDescent="0.25">
      <c r="A992">
        <v>3137.3801652892998</v>
      </c>
      <c r="B992">
        <v>3237.1735537190002</v>
      </c>
      <c r="C992" s="1">
        <f t="shared" si="274"/>
        <v>3.1807872547220839E-2</v>
      </c>
      <c r="D992">
        <v>19.229437229437</v>
      </c>
      <c r="E992">
        <v>0.13261414019696</v>
      </c>
      <c r="F992">
        <v>145</v>
      </c>
    </row>
    <row r="993" spans="1:9" x14ac:dyDescent="0.25">
      <c r="A993">
        <v>3174.1322314049999</v>
      </c>
      <c r="B993">
        <v>3259.3884297520999</v>
      </c>
      <c r="C993" s="1">
        <f t="shared" si="274"/>
        <v>2.6859687036214774E-2</v>
      </c>
      <c r="D993">
        <v>18.597402597403001</v>
      </c>
      <c r="E993">
        <v>0.12600716105918</v>
      </c>
      <c r="F993">
        <v>191</v>
      </c>
    </row>
    <row r="994" spans="1:9" x14ac:dyDescent="0.25">
      <c r="A994">
        <v>3157.8677685950001</v>
      </c>
      <c r="B994">
        <v>3236.4876033057999</v>
      </c>
      <c r="C994" s="1">
        <f t="shared" si="274"/>
        <v>2.4896493606437309E-2</v>
      </c>
      <c r="D994">
        <v>18.926406926407001</v>
      </c>
      <c r="E994">
        <v>0.12928648849162999</v>
      </c>
      <c r="F994">
        <v>148</v>
      </c>
    </row>
    <row r="995" spans="1:9" x14ac:dyDescent="0.25">
      <c r="A995">
        <v>3160.9338842974998</v>
      </c>
      <c r="B995">
        <v>3251.347107438</v>
      </c>
      <c r="C995" s="1">
        <f t="shared" si="274"/>
        <v>2.8603326247867322E-2</v>
      </c>
      <c r="D995">
        <v>18.987012987012999</v>
      </c>
      <c r="E995">
        <v>0.12967618870396</v>
      </c>
      <c r="F995">
        <v>145</v>
      </c>
    </row>
    <row r="996" spans="1:9" x14ac:dyDescent="0.25">
      <c r="A996">
        <v>3170.5785123966998</v>
      </c>
      <c r="B996">
        <v>3259.6363636363999</v>
      </c>
      <c r="C996" s="1">
        <f t="shared" si="274"/>
        <v>2.8088833281210812E-2</v>
      </c>
      <c r="D996">
        <v>19.030303030302999</v>
      </c>
      <c r="E996">
        <v>0.12947865031625999</v>
      </c>
      <c r="F996">
        <v>159</v>
      </c>
    </row>
    <row r="997" spans="1:9" x14ac:dyDescent="0.25">
      <c r="A997">
        <v>3137.4297520660998</v>
      </c>
      <c r="B997">
        <v>3240.4958677686</v>
      </c>
      <c r="C997" s="1">
        <f t="shared" si="274"/>
        <v>3.2850493508142398E-2</v>
      </c>
      <c r="D997">
        <v>18.917748917749002</v>
      </c>
      <c r="E997">
        <v>0.13023444774910001</v>
      </c>
      <c r="F997">
        <v>208</v>
      </c>
    </row>
    <row r="998" spans="1:9" x14ac:dyDescent="0.25">
      <c r="A998">
        <v>3160.7933884298</v>
      </c>
      <c r="B998">
        <v>3240.7768595041998</v>
      </c>
      <c r="C998" s="1">
        <f t="shared" si="274"/>
        <v>2.5304871671518292E-2</v>
      </c>
      <c r="D998">
        <v>18.632034632035001</v>
      </c>
      <c r="E998">
        <v>0.12685553771295999</v>
      </c>
      <c r="F998">
        <v>152</v>
      </c>
    </row>
    <row r="999" spans="1:9" x14ac:dyDescent="0.25">
      <c r="A999">
        <v>3159.1487603306</v>
      </c>
      <c r="B999">
        <v>3240.2809917355999</v>
      </c>
      <c r="C999" s="1">
        <f t="shared" si="274"/>
        <v>2.5681674894128648E-2</v>
      </c>
      <c r="D999">
        <v>19.160173160172999</v>
      </c>
      <c r="E999">
        <v>0.13098135000141001</v>
      </c>
      <c r="F999">
        <v>213</v>
      </c>
    </row>
    <row r="1000" spans="1:9" x14ac:dyDescent="0.25">
      <c r="A1000">
        <v>3123.2644628099001</v>
      </c>
      <c r="B1000">
        <v>3225.3057851240001</v>
      </c>
      <c r="C1000" s="1">
        <f t="shared" si="274"/>
        <v>3.2671367900205528E-2</v>
      </c>
      <c r="D1000">
        <v>18.528138528138999</v>
      </c>
      <c r="E1000">
        <v>0.1278169269501</v>
      </c>
      <c r="F1000">
        <v>180</v>
      </c>
    </row>
    <row r="1001" spans="1:9" x14ac:dyDescent="0.25">
      <c r="A1001">
        <v>3149.8264462809998</v>
      </c>
      <c r="B1001">
        <v>3225.652892562</v>
      </c>
      <c r="C1001" s="1">
        <f t="shared" si="274"/>
        <v>2.4073214056135939E-2</v>
      </c>
      <c r="D1001">
        <v>19.090909090909001</v>
      </c>
      <c r="E1001">
        <v>0.13089088791663001</v>
      </c>
      <c r="F1001">
        <v>216</v>
      </c>
    </row>
    <row r="1002" spans="1:9" x14ac:dyDescent="0.25">
      <c r="A1002">
        <v>3170.0165289256001</v>
      </c>
      <c r="B1002">
        <v>3244.4297520660998</v>
      </c>
      <c r="C1002" s="1">
        <f t="shared" si="274"/>
        <v>2.3474080485542448E-2</v>
      </c>
      <c r="D1002">
        <v>19.419913419913001</v>
      </c>
      <c r="E1002">
        <v>0.13250421783162999</v>
      </c>
      <c r="F1002">
        <v>190</v>
      </c>
    </row>
    <row r="1003" spans="1:9" x14ac:dyDescent="0.25">
      <c r="A1003">
        <v>3131.6776859503998</v>
      </c>
      <c r="B1003">
        <v>3227.1570247934001</v>
      </c>
      <c r="C1003" s="1">
        <f t="shared" si="274"/>
        <v>3.0488239345749957E-2</v>
      </c>
      <c r="D1003">
        <v>18.502164502165002</v>
      </c>
      <c r="E1003">
        <v>0.12718594642149</v>
      </c>
      <c r="F1003">
        <v>201</v>
      </c>
      <c r="H1003" t="s">
        <v>17</v>
      </c>
      <c r="I1003">
        <f t="shared" ref="I1003" si="286">STDEVP(A989:A1008)</f>
        <v>15.765522309853926</v>
      </c>
    </row>
    <row r="1004" spans="1:9" x14ac:dyDescent="0.25">
      <c r="A1004">
        <v>3145.9338842974998</v>
      </c>
      <c r="B1004">
        <v>3219.8264462809998</v>
      </c>
      <c r="C1004" s="1">
        <f t="shared" si="274"/>
        <v>2.3488275564952144E-2</v>
      </c>
      <c r="D1004">
        <v>18.320346320346001</v>
      </c>
      <c r="E1004">
        <v>0.12511263725137001</v>
      </c>
      <c r="F1004">
        <v>147</v>
      </c>
      <c r="H1004" t="s">
        <v>18</v>
      </c>
      <c r="I1004">
        <f t="shared" ref="I1004" si="287">STDEVP(B989:B1008)</f>
        <v>12.960981905056029</v>
      </c>
    </row>
    <row r="1005" spans="1:9" x14ac:dyDescent="0.25">
      <c r="A1005">
        <v>3160.3305785123998</v>
      </c>
      <c r="B1005">
        <v>3236.2561983471001</v>
      </c>
      <c r="C1005" s="1">
        <f t="shared" si="274"/>
        <v>2.4024581589954908E-2</v>
      </c>
      <c r="D1005">
        <v>18.969696969697001</v>
      </c>
      <c r="E1005">
        <v>0.12959282650188</v>
      </c>
      <c r="F1005">
        <v>172</v>
      </c>
      <c r="H1005" t="s">
        <v>19</v>
      </c>
      <c r="I1005">
        <f t="shared" ref="I1005" si="288">STDEVP(C989:C1008)</f>
        <v>3.5141626215580593E-3</v>
      </c>
    </row>
    <row r="1006" spans="1:9" x14ac:dyDescent="0.25">
      <c r="A1006">
        <v>3146.7107438017001</v>
      </c>
      <c r="B1006">
        <v>3254.5371900826999</v>
      </c>
      <c r="C1006" s="1">
        <f t="shared" si="274"/>
        <v>3.4266399125942204E-2</v>
      </c>
      <c r="D1006">
        <v>18.865800865800999</v>
      </c>
      <c r="E1006">
        <v>0.12930541038268001</v>
      </c>
      <c r="F1006">
        <v>203</v>
      </c>
      <c r="H1006" t="s">
        <v>20</v>
      </c>
      <c r="I1006">
        <f t="shared" ref="I1006" si="289">STDEVP(D989:D1008)</f>
        <v>0.29520381667416662</v>
      </c>
    </row>
    <row r="1007" spans="1:9" x14ac:dyDescent="0.25">
      <c r="A1007">
        <v>3137.7933884298</v>
      </c>
      <c r="B1007">
        <v>3234.3388429751999</v>
      </c>
      <c r="C1007" s="1">
        <f t="shared" si="274"/>
        <v>3.0768582438027492E-2</v>
      </c>
      <c r="D1007">
        <v>18.727272727273</v>
      </c>
      <c r="E1007">
        <v>0.12860261279624</v>
      </c>
      <c r="F1007">
        <v>163</v>
      </c>
      <c r="H1007" t="s">
        <v>21</v>
      </c>
      <c r="I1007">
        <f t="shared" ref="I1007" si="290">STDEVP(E989:E1008)</f>
        <v>2.0267248360290842E-3</v>
      </c>
    </row>
    <row r="1008" spans="1:9" x14ac:dyDescent="0.25">
      <c r="A1008">
        <v>3115.4628099174001</v>
      </c>
      <c r="B1008">
        <v>3218.8760330578998</v>
      </c>
      <c r="C1008" s="1">
        <f t="shared" si="274"/>
        <v>3.3193534781190914E-2</v>
      </c>
      <c r="D1008">
        <v>18.233766233766001</v>
      </c>
      <c r="E1008">
        <v>0.12579973331965</v>
      </c>
      <c r="F1008">
        <v>189</v>
      </c>
      <c r="H1008" t="s">
        <v>22</v>
      </c>
      <c r="I1008">
        <f t="shared" ref="I1008" si="291">STDEVP(F989:F1008)</f>
        <v>23.434163095788165</v>
      </c>
    </row>
    <row r="1009" spans="1:9" x14ac:dyDescent="0.25">
      <c r="C1009" s="1" t="str">
        <f t="shared" si="274"/>
        <v/>
      </c>
    </row>
    <row r="1010" spans="1:9" x14ac:dyDescent="0.25">
      <c r="A1010">
        <v>377.13136884889002</v>
      </c>
      <c r="B1010">
        <v>388.58208738568999</v>
      </c>
      <c r="C1010" s="1">
        <f t="shared" si="274"/>
        <v>3.0362678585318381E-2</v>
      </c>
      <c r="D1010">
        <v>7.9365265941815997</v>
      </c>
      <c r="E1010">
        <v>0.71761926675592003</v>
      </c>
      <c r="F1010">
        <v>10</v>
      </c>
    </row>
    <row r="1011" spans="1:9" x14ac:dyDescent="0.25">
      <c r="A1011">
        <v>377.4968790826</v>
      </c>
      <c r="B1011">
        <v>390.46189577587</v>
      </c>
      <c r="C1011" s="1">
        <f t="shared" si="274"/>
        <v>3.434469902050008E-2</v>
      </c>
      <c r="D1011">
        <v>7.9635615633264996</v>
      </c>
      <c r="E1011">
        <v>0.72154592053054001</v>
      </c>
      <c r="F1011">
        <v>10</v>
      </c>
    </row>
    <row r="1012" spans="1:9" x14ac:dyDescent="0.25">
      <c r="A1012">
        <v>375.57903904775998</v>
      </c>
      <c r="B1012">
        <v>388.11728843083</v>
      </c>
      <c r="C1012" s="1">
        <f t="shared" si="274"/>
        <v>3.3383783650065668E-2</v>
      </c>
      <c r="D1012">
        <v>7.9177196591243</v>
      </c>
      <c r="E1012">
        <v>0.72014677931409998</v>
      </c>
      <c r="F1012">
        <v>10</v>
      </c>
    </row>
    <row r="1013" spans="1:9" x14ac:dyDescent="0.25">
      <c r="A1013">
        <v>373.66206996660998</v>
      </c>
      <c r="B1013">
        <v>386.53766874728001</v>
      </c>
      <c r="C1013" s="1">
        <f t="shared" si="274"/>
        <v>3.4457869330490443E-2</v>
      </c>
      <c r="D1013">
        <v>7.8219218336761998</v>
      </c>
      <c r="E1013">
        <v>0.71200979559403998</v>
      </c>
      <c r="F1013">
        <v>11</v>
      </c>
    </row>
    <row r="1014" spans="1:9" x14ac:dyDescent="0.25">
      <c r="A1014">
        <v>379.50181448685998</v>
      </c>
      <c r="B1014">
        <v>391.32152707213999</v>
      </c>
      <c r="C1014" s="1">
        <f t="shared" si="274"/>
        <v>3.1145338794392741E-2</v>
      </c>
      <c r="D1014">
        <v>7.8918601234204999</v>
      </c>
      <c r="E1014">
        <v>0.70417303506555995</v>
      </c>
      <c r="F1014">
        <v>10</v>
      </c>
    </row>
    <row r="1015" spans="1:9" x14ac:dyDescent="0.25">
      <c r="A1015">
        <v>371.3435912324</v>
      </c>
      <c r="B1015">
        <v>386.01887066338003</v>
      </c>
      <c r="C1015" s="1">
        <f t="shared" si="274"/>
        <v>3.9519409456552967E-2</v>
      </c>
      <c r="D1015">
        <v>7.9265354099324004</v>
      </c>
      <c r="E1015">
        <v>0.73541976891273997</v>
      </c>
      <c r="F1015">
        <v>10</v>
      </c>
    </row>
    <row r="1016" spans="1:9" x14ac:dyDescent="0.25">
      <c r="A1016">
        <v>371.69719843228</v>
      </c>
      <c r="B1016">
        <v>384.81666424734999</v>
      </c>
      <c r="C1016" s="1">
        <f t="shared" si="274"/>
        <v>3.5296111647880046E-2</v>
      </c>
      <c r="D1016">
        <v>7.8883338230972999</v>
      </c>
      <c r="E1016">
        <v>0.72693877159050002</v>
      </c>
      <c r="F1016">
        <v>11</v>
      </c>
    </row>
    <row r="1017" spans="1:9" x14ac:dyDescent="0.25">
      <c r="A1017">
        <v>376.39918710989002</v>
      </c>
      <c r="B1017">
        <v>389.23530265641</v>
      </c>
      <c r="C1017" s="1">
        <f t="shared" si="274"/>
        <v>3.4102399755641555E-2</v>
      </c>
      <c r="D1017">
        <v>7.8189832500734999</v>
      </c>
      <c r="E1017">
        <v>0.70249427145901</v>
      </c>
      <c r="F1017">
        <v>10</v>
      </c>
    </row>
    <row r="1018" spans="1:9" x14ac:dyDescent="0.25">
      <c r="A1018">
        <v>374.16199738713999</v>
      </c>
      <c r="B1018">
        <v>389.09798229060999</v>
      </c>
      <c r="C1018" s="1">
        <f t="shared" si="274"/>
        <v>3.9918497890676807E-2</v>
      </c>
      <c r="D1018">
        <v>7.9764913311783996</v>
      </c>
      <c r="E1018">
        <v>0.73551671692371001</v>
      </c>
      <c r="F1018">
        <v>10</v>
      </c>
    </row>
    <row r="1019" spans="1:9" x14ac:dyDescent="0.25">
      <c r="A1019">
        <v>374.14573958484999</v>
      </c>
      <c r="B1019">
        <v>388.68805341848997</v>
      </c>
      <c r="C1019" s="1">
        <f t="shared" si="274"/>
        <v>3.8868046044774118E-2</v>
      </c>
      <c r="D1019">
        <v>7.9171319424037998</v>
      </c>
      <c r="E1019">
        <v>0.72545295650087005</v>
      </c>
      <c r="F1019">
        <v>10</v>
      </c>
    </row>
    <row r="1020" spans="1:9" x14ac:dyDescent="0.25">
      <c r="A1020">
        <v>375.70416606184</v>
      </c>
      <c r="B1020">
        <v>389.35433299463</v>
      </c>
      <c r="C1020" s="1">
        <f t="shared" si="274"/>
        <v>3.6332221374790974E-2</v>
      </c>
      <c r="D1020">
        <v>7.9277108433735002</v>
      </c>
      <c r="E1020">
        <v>0.72041180555286</v>
      </c>
      <c r="F1020">
        <v>11</v>
      </c>
    </row>
    <row r="1021" spans="1:9" x14ac:dyDescent="0.25">
      <c r="A1021">
        <v>374.21744810567998</v>
      </c>
      <c r="B1021">
        <v>385.75293946872</v>
      </c>
      <c r="C1021" s="1">
        <f t="shared" si="274"/>
        <v>3.0825637397277061E-2</v>
      </c>
      <c r="D1021">
        <v>7.9341757272994</v>
      </c>
      <c r="E1021">
        <v>0.72732742435755005</v>
      </c>
      <c r="F1021">
        <v>10</v>
      </c>
    </row>
    <row r="1022" spans="1:9" x14ac:dyDescent="0.25">
      <c r="A1022">
        <v>377.07824067353999</v>
      </c>
      <c r="B1022">
        <v>388.24212512701001</v>
      </c>
      <c r="C1022" s="1">
        <f t="shared" si="274"/>
        <v>2.960628126812348E-2</v>
      </c>
      <c r="D1022">
        <v>7.9594475462826999</v>
      </c>
      <c r="E1022">
        <v>0.72278889745703001</v>
      </c>
      <c r="F1022">
        <v>10</v>
      </c>
    </row>
    <row r="1023" spans="1:9" x14ac:dyDescent="0.25">
      <c r="A1023">
        <v>379.46958920016999</v>
      </c>
      <c r="B1023">
        <v>391.38597764551997</v>
      </c>
      <c r="C1023" s="1">
        <f t="shared" si="274"/>
        <v>3.1402749481102887E-2</v>
      </c>
      <c r="D1023">
        <v>7.8865706729356004</v>
      </c>
      <c r="E1023">
        <v>0.70384761557136</v>
      </c>
      <c r="F1023">
        <v>11</v>
      </c>
    </row>
    <row r="1024" spans="1:9" x14ac:dyDescent="0.25">
      <c r="A1024">
        <v>377.65394106547001</v>
      </c>
      <c r="B1024">
        <v>389.33749455653998</v>
      </c>
      <c r="C1024" s="1">
        <f t="shared" si="274"/>
        <v>3.0937194665855428E-2</v>
      </c>
      <c r="D1024">
        <v>7.9141933588011</v>
      </c>
      <c r="E1024">
        <v>0.71245356024260997</v>
      </c>
      <c r="F1024">
        <v>10</v>
      </c>
      <c r="H1024" t="s">
        <v>17</v>
      </c>
      <c r="I1024">
        <f t="shared" ref="I1024" si="292">STDEVP(A1010:A1029)</f>
        <v>2.6610761821604432</v>
      </c>
    </row>
    <row r="1025" spans="1:9" x14ac:dyDescent="0.25">
      <c r="A1025">
        <v>371.05007983742001</v>
      </c>
      <c r="B1025">
        <v>385.42981564812999</v>
      </c>
      <c r="C1025" s="1">
        <f t="shared" si="274"/>
        <v>3.875416444327584E-2</v>
      </c>
      <c r="D1025">
        <v>7.8348516015280998</v>
      </c>
      <c r="E1025">
        <v>0.72445021086289996</v>
      </c>
      <c r="F1025">
        <v>10</v>
      </c>
      <c r="H1025" t="s">
        <v>18</v>
      </c>
      <c r="I1025">
        <f t="shared" ref="I1025" si="293">STDEVP(B1010:B1029)</f>
        <v>1.9988040788656531</v>
      </c>
    </row>
    <row r="1026" spans="1:9" x14ac:dyDescent="0.25">
      <c r="A1026">
        <v>376.75250399187001</v>
      </c>
      <c r="B1026">
        <v>388.19102917695</v>
      </c>
      <c r="C1026" s="1">
        <f t="shared" ref="C1026:C1089" si="294">IFERROR((B1026/A1026)-1,"")</f>
        <v>3.0360847144699665E-2</v>
      </c>
      <c r="D1026">
        <v>7.9600352630032001</v>
      </c>
      <c r="E1026">
        <v>0.72262916965540003</v>
      </c>
      <c r="F1026">
        <v>10</v>
      </c>
      <c r="H1026" t="s">
        <v>19</v>
      </c>
      <c r="I1026">
        <f t="shared" ref="I1026" si="295">STDEVP(C1010:C1029)</f>
        <v>3.4148215868713412E-3</v>
      </c>
    </row>
    <row r="1027" spans="1:9" x14ac:dyDescent="0.25">
      <c r="A1027">
        <v>372.54115256206001</v>
      </c>
      <c r="B1027">
        <v>385.54536217158</v>
      </c>
      <c r="C1027" s="1">
        <f t="shared" si="294"/>
        <v>3.4906773439891792E-2</v>
      </c>
      <c r="D1027">
        <v>7.9688510138112996</v>
      </c>
      <c r="E1027">
        <v>0.73810289361514003</v>
      </c>
      <c r="F1027">
        <v>11</v>
      </c>
      <c r="H1027" t="s">
        <v>20</v>
      </c>
      <c r="I1027">
        <f t="shared" ref="I1027" si="296">STDEVP(D1010:D1029)</f>
        <v>4.595275821187346E-2</v>
      </c>
    </row>
    <row r="1028" spans="1:9" x14ac:dyDescent="0.25">
      <c r="A1028">
        <v>378.43954129771998</v>
      </c>
      <c r="B1028">
        <v>390.65553781390997</v>
      </c>
      <c r="C1028" s="1">
        <f t="shared" si="294"/>
        <v>3.2279915767521761E-2</v>
      </c>
      <c r="D1028">
        <v>7.8783426388480997</v>
      </c>
      <c r="E1028">
        <v>0.70534848082348001</v>
      </c>
      <c r="F1028">
        <v>10</v>
      </c>
      <c r="H1028" t="s">
        <v>21</v>
      </c>
      <c r="I1028">
        <f t="shared" ref="I1028" si="297">STDEVP(E1010:E1029)</f>
        <v>1.0948142175697218E-2</v>
      </c>
    </row>
    <row r="1029" spans="1:9" x14ac:dyDescent="0.25">
      <c r="A1029">
        <v>379.58920017419001</v>
      </c>
      <c r="B1029">
        <v>390.38844534765002</v>
      </c>
      <c r="C1029" s="1">
        <f t="shared" si="294"/>
        <v>2.8449821987833968E-2</v>
      </c>
      <c r="D1029">
        <v>7.8877461063767003</v>
      </c>
      <c r="E1029">
        <v>0.70327734194049996</v>
      </c>
      <c r="F1029">
        <v>10</v>
      </c>
      <c r="H1029" t="s">
        <v>22</v>
      </c>
      <c r="I1029">
        <f t="shared" ref="I1029" si="298">STDEVP(F1010:F1029)</f>
        <v>0.4330127018922193</v>
      </c>
    </row>
    <row r="1030" spans="1:9" x14ac:dyDescent="0.25">
      <c r="C1030" s="1" t="str">
        <f t="shared" si="294"/>
        <v/>
      </c>
    </row>
    <row r="1031" spans="1:9" x14ac:dyDescent="0.25">
      <c r="A1031">
        <v>1747.1228733459</v>
      </c>
      <c r="B1031">
        <v>1832.6956521739</v>
      </c>
      <c r="C1031" s="1">
        <f t="shared" si="294"/>
        <v>4.8979256200864851E-2</v>
      </c>
      <c r="D1031">
        <v>15.517786561265</v>
      </c>
      <c r="E1031">
        <v>0.20502619776794001</v>
      </c>
      <c r="F1031">
        <v>204</v>
      </c>
    </row>
    <row r="1032" spans="1:9" x14ac:dyDescent="0.25">
      <c r="A1032">
        <v>1740.7561436673</v>
      </c>
      <c r="B1032">
        <v>1848.4688090737</v>
      </c>
      <c r="C1032" s="1">
        <f t="shared" si="294"/>
        <v>6.1876941120241336E-2</v>
      </c>
      <c r="D1032">
        <v>15.494071146245</v>
      </c>
      <c r="E1032">
        <v>0.20533923886182001</v>
      </c>
      <c r="F1032">
        <v>200</v>
      </c>
    </row>
    <row r="1033" spans="1:9" x14ac:dyDescent="0.25">
      <c r="A1033">
        <v>1768.7372400756001</v>
      </c>
      <c r="B1033">
        <v>1857.8487712665001</v>
      </c>
      <c r="C1033" s="1">
        <f t="shared" si="294"/>
        <v>5.0381441161430507E-2</v>
      </c>
      <c r="D1033">
        <v>16.561264822134</v>
      </c>
      <c r="E1033">
        <v>0.21846255899634001</v>
      </c>
      <c r="F1033">
        <v>262</v>
      </c>
    </row>
    <row r="1034" spans="1:9" x14ac:dyDescent="0.25">
      <c r="A1034">
        <v>1772.9300567108</v>
      </c>
      <c r="B1034">
        <v>1843.3572778828</v>
      </c>
      <c r="C1034" s="1">
        <f t="shared" si="294"/>
        <v>3.9723632021140709E-2</v>
      </c>
      <c r="D1034">
        <v>16.584980237153999</v>
      </c>
      <c r="E1034">
        <v>0.21814368421265001</v>
      </c>
      <c r="F1034">
        <v>249</v>
      </c>
    </row>
    <row r="1035" spans="1:9" x14ac:dyDescent="0.25">
      <c r="A1035">
        <v>1744.1436672968</v>
      </c>
      <c r="B1035">
        <v>1835.1682419660001</v>
      </c>
      <c r="C1035" s="1">
        <f t="shared" si="294"/>
        <v>5.2188690860699882E-2</v>
      </c>
      <c r="D1035">
        <v>15.889328063241001</v>
      </c>
      <c r="E1035">
        <v>0.21127461563666</v>
      </c>
      <c r="F1035">
        <v>232</v>
      </c>
    </row>
    <row r="1036" spans="1:9" x14ac:dyDescent="0.25">
      <c r="A1036">
        <v>1739.8865784499001</v>
      </c>
      <c r="B1036">
        <v>1849.0434782609</v>
      </c>
      <c r="C1036" s="1">
        <f t="shared" si="294"/>
        <v>6.2737940026096339E-2</v>
      </c>
      <c r="D1036">
        <v>15.312252964427</v>
      </c>
      <c r="E1036">
        <v>0.20306671662164</v>
      </c>
      <c r="F1036">
        <v>206</v>
      </c>
    </row>
    <row r="1037" spans="1:9" x14ac:dyDescent="0.25">
      <c r="A1037">
        <v>1754.1247637050999</v>
      </c>
      <c r="B1037">
        <v>1837.8903591681999</v>
      </c>
      <c r="C1037" s="1">
        <f t="shared" si="294"/>
        <v>4.7753499178797565E-2</v>
      </c>
      <c r="D1037">
        <v>15.865612648220999</v>
      </c>
      <c r="E1037">
        <v>0.20933262851028001</v>
      </c>
      <c r="F1037">
        <v>260</v>
      </c>
    </row>
    <row r="1038" spans="1:9" x14ac:dyDescent="0.25">
      <c r="A1038">
        <v>1758.4196597353</v>
      </c>
      <c r="B1038">
        <v>1851.9092627599</v>
      </c>
      <c r="C1038" s="1">
        <f t="shared" si="294"/>
        <v>5.3166832221765103E-2</v>
      </c>
      <c r="D1038">
        <v>15.581027667983999</v>
      </c>
      <c r="E1038">
        <v>0.20439650892319</v>
      </c>
      <c r="F1038">
        <v>236</v>
      </c>
    </row>
    <row r="1039" spans="1:9" x14ac:dyDescent="0.25">
      <c r="A1039">
        <v>1726.7939508507</v>
      </c>
      <c r="B1039">
        <v>1857.1115311909</v>
      </c>
      <c r="C1039" s="1">
        <f t="shared" si="294"/>
        <v>7.5467938879447249E-2</v>
      </c>
      <c r="D1039">
        <v>15.541501976285</v>
      </c>
      <c r="E1039">
        <v>0.20811846846922</v>
      </c>
      <c r="F1039">
        <v>200</v>
      </c>
    </row>
    <row r="1040" spans="1:9" x14ac:dyDescent="0.25">
      <c r="A1040">
        <v>1768.2911153119001</v>
      </c>
      <c r="B1040">
        <v>1840.2117202268</v>
      </c>
      <c r="C1040" s="1">
        <f t="shared" si="294"/>
        <v>4.067237814640845E-2</v>
      </c>
      <c r="D1040">
        <v>16.110671936759001</v>
      </c>
      <c r="E1040">
        <v>0.21136024341949</v>
      </c>
      <c r="F1040">
        <v>268</v>
      </c>
    </row>
    <row r="1041" spans="1:9" x14ac:dyDescent="0.25">
      <c r="A1041">
        <v>1780.4536862003999</v>
      </c>
      <c r="B1041">
        <v>1852.8468809074</v>
      </c>
      <c r="C1041" s="1">
        <f t="shared" si="294"/>
        <v>4.0659970696284464E-2</v>
      </c>
      <c r="D1041">
        <v>16.387351778656001</v>
      </c>
      <c r="E1041">
        <v>0.2139504080446</v>
      </c>
      <c r="F1041">
        <v>342</v>
      </c>
    </row>
    <row r="1042" spans="1:9" x14ac:dyDescent="0.25">
      <c r="A1042">
        <v>1735.2287334594</v>
      </c>
      <c r="B1042">
        <v>1804.3629489602999</v>
      </c>
      <c r="C1042" s="1">
        <f t="shared" si="294"/>
        <v>3.9841557581329345E-2</v>
      </c>
      <c r="D1042">
        <v>15.905138339921001</v>
      </c>
      <c r="E1042">
        <v>0.21276900054954001</v>
      </c>
      <c r="F1042">
        <v>282</v>
      </c>
    </row>
    <row r="1043" spans="1:9" x14ac:dyDescent="0.25">
      <c r="A1043">
        <v>1745.6672967863999</v>
      </c>
      <c r="B1043">
        <v>1839.8903591681999</v>
      </c>
      <c r="C1043" s="1">
        <f t="shared" si="294"/>
        <v>5.3975383829012236E-2</v>
      </c>
      <c r="D1043">
        <v>15.509881422925</v>
      </c>
      <c r="E1043">
        <v>0.20505826080309</v>
      </c>
      <c r="F1043">
        <v>207</v>
      </c>
    </row>
    <row r="1044" spans="1:9" x14ac:dyDescent="0.25">
      <c r="A1044">
        <v>1746.8506616257</v>
      </c>
      <c r="B1044">
        <v>1845.4253308128</v>
      </c>
      <c r="C1044" s="1">
        <f t="shared" si="294"/>
        <v>5.6429934940953608E-2</v>
      </c>
      <c r="D1044">
        <v>16.339920948616999</v>
      </c>
      <c r="E1044">
        <v>0.21813600792679</v>
      </c>
      <c r="F1044">
        <v>267</v>
      </c>
    </row>
    <row r="1045" spans="1:9" x14ac:dyDescent="0.25">
      <c r="A1045">
        <v>1789.5311909263</v>
      </c>
      <c r="B1045">
        <v>1849.8676748582</v>
      </c>
      <c r="C1045" s="1">
        <f t="shared" si="294"/>
        <v>3.3716363390496884E-2</v>
      </c>
      <c r="D1045">
        <v>17.01185770751</v>
      </c>
      <c r="E1045">
        <v>0.22249412861015999</v>
      </c>
      <c r="F1045">
        <v>250</v>
      </c>
      <c r="H1045" t="s">
        <v>17</v>
      </c>
      <c r="I1045">
        <f t="shared" ref="I1045" si="299">STDEVP(A1031:A1050)</f>
        <v>15.418046321972055</v>
      </c>
    </row>
    <row r="1046" spans="1:9" x14ac:dyDescent="0.25">
      <c r="A1046">
        <v>1755.3950850662</v>
      </c>
      <c r="B1046">
        <v>1823.5122873345999</v>
      </c>
      <c r="C1046" s="1">
        <f t="shared" si="294"/>
        <v>3.8804485011891821E-2</v>
      </c>
      <c r="D1046">
        <v>16.150197628457999</v>
      </c>
      <c r="E1046">
        <v>0.21383891157623999</v>
      </c>
      <c r="F1046">
        <v>208</v>
      </c>
      <c r="H1046" t="s">
        <v>18</v>
      </c>
      <c r="I1046">
        <f t="shared" ref="I1046" si="300">STDEVP(B1031:B1050)</f>
        <v>13.571632794104573</v>
      </c>
    </row>
    <row r="1047" spans="1:9" x14ac:dyDescent="0.25">
      <c r="A1047">
        <v>1762.2646502836001</v>
      </c>
      <c r="B1047">
        <v>1827.3534971644001</v>
      </c>
      <c r="C1047" s="1">
        <f t="shared" si="294"/>
        <v>3.6934774167050044E-2</v>
      </c>
      <c r="D1047">
        <v>16.150197628457999</v>
      </c>
      <c r="E1047">
        <v>0.21254933465397</v>
      </c>
      <c r="F1047">
        <v>204</v>
      </c>
      <c r="H1047" t="s">
        <v>19</v>
      </c>
      <c r="I1047">
        <f t="shared" ref="I1047" si="301">STDEVP(C1031:C1050)</f>
        <v>1.008893226009812E-2</v>
      </c>
    </row>
    <row r="1048" spans="1:9" x14ac:dyDescent="0.25">
      <c r="A1048">
        <v>1759.7731568997999</v>
      </c>
      <c r="B1048">
        <v>1857.4517958412</v>
      </c>
      <c r="C1048" s="1">
        <f t="shared" si="294"/>
        <v>5.5506380784601239E-2</v>
      </c>
      <c r="D1048">
        <v>15.897233201581001</v>
      </c>
      <c r="E1048">
        <v>0.20917431434697001</v>
      </c>
      <c r="F1048">
        <v>219</v>
      </c>
      <c r="H1048" t="s">
        <v>20</v>
      </c>
      <c r="I1048">
        <f t="shared" ref="I1048" si="302">STDEVP(D1031:D1050)</f>
        <v>0.42663201111549165</v>
      </c>
    </row>
    <row r="1049" spans="1:9" x14ac:dyDescent="0.25">
      <c r="A1049">
        <v>1759.0850661626</v>
      </c>
      <c r="B1049">
        <v>1857.0056710775</v>
      </c>
      <c r="C1049" s="1">
        <f t="shared" si="294"/>
        <v>5.5665645055194224E-2</v>
      </c>
      <c r="D1049">
        <v>16.01581027668</v>
      </c>
      <c r="E1049">
        <v>0.21115336083298</v>
      </c>
      <c r="F1049">
        <v>189</v>
      </c>
      <c r="H1049" t="s">
        <v>21</v>
      </c>
      <c r="I1049">
        <f t="shared" ref="I1049" si="303">STDEVP(E1031:E1050)</f>
        <v>5.1813125182236268E-3</v>
      </c>
    </row>
    <row r="1050" spans="1:9" x14ac:dyDescent="0.25">
      <c r="A1050">
        <v>1769.1947069943001</v>
      </c>
      <c r="B1050">
        <v>1858.4801512286999</v>
      </c>
      <c r="C1050" s="1">
        <f t="shared" si="294"/>
        <v>5.0466714534822321E-2</v>
      </c>
      <c r="D1050">
        <v>16.00790513834</v>
      </c>
      <c r="E1050">
        <v>0.20987617801344999</v>
      </c>
      <c r="F1050">
        <v>227</v>
      </c>
      <c r="H1050" t="s">
        <v>22</v>
      </c>
      <c r="I1050">
        <f t="shared" ref="I1050" si="304">STDEVP(F1031:F1050)</f>
        <v>36.545040703219911</v>
      </c>
    </row>
    <row r="1051" spans="1:9" x14ac:dyDescent="0.25">
      <c r="C1051" s="1" t="str">
        <f t="shared" si="294"/>
        <v/>
      </c>
    </row>
    <row r="1052" spans="1:9" x14ac:dyDescent="0.25">
      <c r="A1052">
        <v>1386.2470156106999</v>
      </c>
      <c r="B1052">
        <v>1415.6216712580001</v>
      </c>
      <c r="C1052" s="1">
        <f t="shared" si="294"/>
        <v>2.1190058709961823E-2</v>
      </c>
      <c r="D1052">
        <v>12.238694638695</v>
      </c>
      <c r="E1052">
        <v>0.21077919529083999</v>
      </c>
      <c r="F1052">
        <v>37</v>
      </c>
    </row>
    <row r="1053" spans="1:9" x14ac:dyDescent="0.25">
      <c r="A1053">
        <v>1379.4756657483999</v>
      </c>
      <c r="B1053">
        <v>1420.4986225895</v>
      </c>
      <c r="C1053" s="1">
        <f t="shared" si="294"/>
        <v>2.9738079372965354E-2</v>
      </c>
      <c r="D1053">
        <v>12.414918414918001</v>
      </c>
      <c r="E1053">
        <v>0.21586622197662</v>
      </c>
      <c r="F1053">
        <v>38</v>
      </c>
    </row>
    <row r="1054" spans="1:9" x14ac:dyDescent="0.25">
      <c r="A1054">
        <v>1365.6418732781999</v>
      </c>
      <c r="B1054">
        <v>1414.1212121212</v>
      </c>
      <c r="C1054" s="1">
        <f t="shared" si="294"/>
        <v>3.549930607109042E-2</v>
      </c>
      <c r="D1054">
        <v>12.058741258741</v>
      </c>
      <c r="E1054">
        <v>0.21071459196048001</v>
      </c>
      <c r="F1054">
        <v>39</v>
      </c>
    </row>
    <row r="1055" spans="1:9" x14ac:dyDescent="0.25">
      <c r="A1055">
        <v>1377.0339761248999</v>
      </c>
      <c r="B1055">
        <v>1416.6584022038001</v>
      </c>
      <c r="C1055" s="1">
        <f t="shared" si="294"/>
        <v>2.8775198554219283E-2</v>
      </c>
      <c r="D1055">
        <v>11.92634032634</v>
      </c>
      <c r="E1055">
        <v>0.20610039344603001</v>
      </c>
      <c r="F1055">
        <v>39</v>
      </c>
    </row>
    <row r="1056" spans="1:9" x14ac:dyDescent="0.25">
      <c r="A1056">
        <v>1388.1928374656</v>
      </c>
      <c r="B1056">
        <v>1421.2516069789001</v>
      </c>
      <c r="C1056" s="1">
        <f t="shared" si="294"/>
        <v>2.3814248727615617E-2</v>
      </c>
      <c r="D1056">
        <v>12.179020979021001</v>
      </c>
      <c r="E1056">
        <v>0.20924490853055999</v>
      </c>
      <c r="F1056">
        <v>39</v>
      </c>
    </row>
    <row r="1057" spans="1:9" x14ac:dyDescent="0.25">
      <c r="A1057">
        <v>1363.8117539027</v>
      </c>
      <c r="B1057">
        <v>1412.4297520661</v>
      </c>
      <c r="C1057" s="1">
        <f t="shared" si="294"/>
        <v>3.5648613545288921E-2</v>
      </c>
      <c r="D1057">
        <v>11.967365967366</v>
      </c>
      <c r="E1057">
        <v>0.20927634538098</v>
      </c>
      <c r="F1057">
        <v>38</v>
      </c>
    </row>
    <row r="1058" spans="1:9" x14ac:dyDescent="0.25">
      <c r="A1058">
        <v>1373.3195592287</v>
      </c>
      <c r="B1058">
        <v>1417.7713498621999</v>
      </c>
      <c r="C1058" s="1">
        <f t="shared" si="294"/>
        <v>3.2368133355987094E-2</v>
      </c>
      <c r="D1058">
        <v>12.299300699301</v>
      </c>
      <c r="E1058">
        <v>0.21433219103130999</v>
      </c>
      <c r="F1058">
        <v>39</v>
      </c>
    </row>
    <row r="1059" spans="1:9" x14ac:dyDescent="0.25">
      <c r="A1059">
        <v>1369.6354453627</v>
      </c>
      <c r="B1059">
        <v>1418.5004591367999</v>
      </c>
      <c r="C1059" s="1">
        <f t="shared" si="294"/>
        <v>3.5677386956906476E-2</v>
      </c>
      <c r="D1059">
        <v>12.210722610723</v>
      </c>
      <c r="E1059">
        <v>0.21315777855160001</v>
      </c>
      <c r="F1059">
        <v>35</v>
      </c>
    </row>
    <row r="1060" spans="1:9" x14ac:dyDescent="0.25">
      <c r="A1060">
        <v>1374.1092745638</v>
      </c>
      <c r="B1060">
        <v>1415.4995408632001</v>
      </c>
      <c r="C1060" s="1">
        <f t="shared" si="294"/>
        <v>3.0121524587292337E-2</v>
      </c>
      <c r="D1060">
        <v>12.124009324009</v>
      </c>
      <c r="E1060">
        <v>0.2104783564987</v>
      </c>
      <c r="F1060">
        <v>41</v>
      </c>
    </row>
    <row r="1061" spans="1:9" x14ac:dyDescent="0.25">
      <c r="A1061">
        <v>1368.1726354453999</v>
      </c>
      <c r="B1061">
        <v>1408.5188246097</v>
      </c>
      <c r="C1061" s="1">
        <f t="shared" si="294"/>
        <v>2.9489106943851207E-2</v>
      </c>
      <c r="D1061">
        <v>11.953379953380001</v>
      </c>
      <c r="E1061">
        <v>0.20823946458149001</v>
      </c>
      <c r="F1061">
        <v>39</v>
      </c>
    </row>
    <row r="1062" spans="1:9" x14ac:dyDescent="0.25">
      <c r="A1062">
        <v>1370.0973370064</v>
      </c>
      <c r="B1062">
        <v>1416.0404040404001</v>
      </c>
      <c r="C1062" s="1">
        <f t="shared" si="294"/>
        <v>3.3532702964289784E-2</v>
      </c>
      <c r="D1062">
        <v>12.463403263403</v>
      </c>
      <c r="E1062">
        <v>0.21876826000715999</v>
      </c>
      <c r="F1062">
        <v>38</v>
      </c>
    </row>
    <row r="1063" spans="1:9" x14ac:dyDescent="0.25">
      <c r="A1063">
        <v>1366</v>
      </c>
      <c r="B1063">
        <v>1407.3223140496</v>
      </c>
      <c r="C1063" s="1">
        <f t="shared" si="294"/>
        <v>3.0250595936749614E-2</v>
      </c>
      <c r="D1063">
        <v>11.938461538462001</v>
      </c>
      <c r="E1063">
        <v>0.20826854197868</v>
      </c>
      <c r="F1063">
        <v>39</v>
      </c>
    </row>
    <row r="1064" spans="1:9" x14ac:dyDescent="0.25">
      <c r="A1064">
        <v>1389.8686868687</v>
      </c>
      <c r="B1064">
        <v>1428.8337924701</v>
      </c>
      <c r="C1064" s="1">
        <f t="shared" si="294"/>
        <v>2.8035098545306614E-2</v>
      </c>
      <c r="D1064">
        <v>12.502564102564</v>
      </c>
      <c r="E1064">
        <v>0.21556096069467001</v>
      </c>
      <c r="F1064">
        <v>41</v>
      </c>
    </row>
    <row r="1065" spans="1:9" x14ac:dyDescent="0.25">
      <c r="A1065">
        <v>1358.5656565657</v>
      </c>
      <c r="B1065">
        <v>1407.1698806244001</v>
      </c>
      <c r="C1065" s="1">
        <f t="shared" si="294"/>
        <v>3.5776131851857684E-2</v>
      </c>
      <c r="D1065">
        <v>11.856410256409999</v>
      </c>
      <c r="E1065">
        <v>0.20788493193252</v>
      </c>
      <c r="F1065">
        <v>39</v>
      </c>
    </row>
    <row r="1066" spans="1:9" x14ac:dyDescent="0.25">
      <c r="A1066">
        <v>1388.3801652893001</v>
      </c>
      <c r="B1066">
        <v>1425.7401285583001</v>
      </c>
      <c r="C1066" s="1">
        <f t="shared" si="294"/>
        <v>2.690902981980825E-2</v>
      </c>
      <c r="D1066">
        <v>12.422377622378001</v>
      </c>
      <c r="E1066">
        <v>0.21439347185982</v>
      </c>
      <c r="F1066">
        <v>40</v>
      </c>
      <c r="H1066" t="s">
        <v>17</v>
      </c>
      <c r="I1066">
        <f t="shared" ref="I1066" si="305">STDEVP(A1052:A1071)</f>
        <v>8.6041559646456669</v>
      </c>
    </row>
    <row r="1067" spans="1:9" x14ac:dyDescent="0.25">
      <c r="A1067">
        <v>1374.7640036731</v>
      </c>
      <c r="B1067">
        <v>1407.5876951330999</v>
      </c>
      <c r="C1067" s="1">
        <f t="shared" si="294"/>
        <v>2.3875873511600254E-2</v>
      </c>
      <c r="D1067">
        <v>12.124941724942</v>
      </c>
      <c r="E1067">
        <v>0.21055061563383001</v>
      </c>
      <c r="F1067">
        <v>42</v>
      </c>
      <c r="H1067" t="s">
        <v>18</v>
      </c>
      <c r="I1067">
        <f t="shared" ref="I1067" si="306">STDEVP(B1052:B1071)</f>
        <v>5.6857185523688338</v>
      </c>
    </row>
    <row r="1068" spans="1:9" x14ac:dyDescent="0.25">
      <c r="A1068">
        <v>1377.8659320478</v>
      </c>
      <c r="B1068">
        <v>1418.5426997244999</v>
      </c>
      <c r="C1068" s="1">
        <f t="shared" si="294"/>
        <v>2.9521571533629221E-2</v>
      </c>
      <c r="D1068">
        <v>12.550116550117</v>
      </c>
      <c r="E1068">
        <v>0.21907969718313999</v>
      </c>
      <c r="F1068">
        <v>40</v>
      </c>
      <c r="H1068" t="s">
        <v>19</v>
      </c>
      <c r="I1068">
        <f t="shared" ref="I1068" si="307">STDEVP(C1052:C1071)</f>
        <v>4.1843864937865915E-3</v>
      </c>
    </row>
    <row r="1069" spans="1:9" x14ac:dyDescent="0.25">
      <c r="A1069">
        <v>1379.6795224977</v>
      </c>
      <c r="B1069">
        <v>1417.2369146005001</v>
      </c>
      <c r="C1069" s="1">
        <f t="shared" si="294"/>
        <v>2.7221823249799382E-2</v>
      </c>
      <c r="D1069">
        <v>12.157575757576</v>
      </c>
      <c r="E1069">
        <v>0.21038710304516001</v>
      </c>
      <c r="F1069">
        <v>41</v>
      </c>
      <c r="H1069" t="s">
        <v>20</v>
      </c>
      <c r="I1069">
        <f t="shared" ref="I1069" si="308">STDEVP(D1052:D1071)</f>
        <v>0.21812674379114921</v>
      </c>
    </row>
    <row r="1070" spans="1:9" x14ac:dyDescent="0.25">
      <c r="A1070">
        <v>1367.1937557392</v>
      </c>
      <c r="B1070">
        <v>1414.2029384755999</v>
      </c>
      <c r="C1070" s="1">
        <f t="shared" si="294"/>
        <v>3.4383702045935216E-2</v>
      </c>
      <c r="D1070">
        <v>11.814452214452</v>
      </c>
      <c r="E1070">
        <v>0.20546310576141999</v>
      </c>
      <c r="F1070">
        <v>40</v>
      </c>
      <c r="H1070" t="s">
        <v>21</v>
      </c>
      <c r="I1070">
        <f t="shared" ref="I1070" si="309">STDEVP(E1052:E1071)</f>
        <v>3.8069574061772751E-3</v>
      </c>
    </row>
    <row r="1071" spans="1:9" x14ac:dyDescent="0.25">
      <c r="A1071">
        <v>1374.0202020202</v>
      </c>
      <c r="B1071">
        <v>1411.2258953168</v>
      </c>
      <c r="C1071" s="1">
        <f t="shared" si="294"/>
        <v>2.7077981271233842E-2</v>
      </c>
      <c r="D1071">
        <v>12.317948717948999</v>
      </c>
      <c r="E1071">
        <v>0.21487258841410001</v>
      </c>
      <c r="F1071">
        <v>37</v>
      </c>
      <c r="H1071" t="s">
        <v>22</v>
      </c>
      <c r="I1071">
        <f t="shared" ref="I1071" si="310">STDEVP(F1052:F1071)</f>
        <v>1.5960889699512368</v>
      </c>
    </row>
    <row r="1072" spans="1:9" x14ac:dyDescent="0.25">
      <c r="C1072" s="1" t="str">
        <f t="shared" si="294"/>
        <v/>
      </c>
    </row>
    <row r="1073" spans="1:9" x14ac:dyDescent="0.25">
      <c r="A1073">
        <v>3223.6395002975</v>
      </c>
      <c r="B1073">
        <v>3275.6442593693</v>
      </c>
      <c r="C1073" s="1">
        <f t="shared" si="294"/>
        <v>1.6132312272200577E-2</v>
      </c>
      <c r="D1073">
        <v>22.063233965673</v>
      </c>
      <c r="E1073">
        <v>0.15648018062918001</v>
      </c>
      <c r="F1073">
        <v>30</v>
      </c>
    </row>
    <row r="1074" spans="1:9" x14ac:dyDescent="0.25">
      <c r="A1074">
        <v>3246.6829268293</v>
      </c>
      <c r="B1074">
        <v>3295.0826888755</v>
      </c>
      <c r="C1074" s="1">
        <f t="shared" si="294"/>
        <v>1.490744958377177E-2</v>
      </c>
      <c r="D1074">
        <v>22.074074074074002</v>
      </c>
      <c r="E1074">
        <v>0.15528861254321</v>
      </c>
      <c r="F1074">
        <v>31</v>
      </c>
    </row>
    <row r="1075" spans="1:9" x14ac:dyDescent="0.25">
      <c r="A1075">
        <v>3233.7085068411998</v>
      </c>
      <c r="B1075">
        <v>3276.7067221890002</v>
      </c>
      <c r="C1075" s="1">
        <f t="shared" si="294"/>
        <v>1.3296874241086831E-2</v>
      </c>
      <c r="D1075">
        <v>22.071665161096</v>
      </c>
      <c r="E1075">
        <v>0.15596533354447001</v>
      </c>
      <c r="F1075">
        <v>30</v>
      </c>
    </row>
    <row r="1076" spans="1:9" x14ac:dyDescent="0.25">
      <c r="A1076">
        <v>3237.4735276621</v>
      </c>
      <c r="B1076">
        <v>3285.3170731706</v>
      </c>
      <c r="C1076" s="1">
        <f t="shared" si="294"/>
        <v>1.4778049951515548E-2</v>
      </c>
      <c r="D1076">
        <v>22.152363745860001</v>
      </c>
      <c r="E1076">
        <v>0.1564621164993</v>
      </c>
      <c r="F1076">
        <v>31</v>
      </c>
    </row>
    <row r="1077" spans="1:9" x14ac:dyDescent="0.25">
      <c r="A1077">
        <v>3214.9494348602002</v>
      </c>
      <c r="B1077">
        <v>3263.8007138605999</v>
      </c>
      <c r="C1077" s="1">
        <f t="shared" si="294"/>
        <v>1.5195038052759902E-2</v>
      </c>
      <c r="D1077">
        <v>21.904847937368</v>
      </c>
      <c r="E1077">
        <v>0.15565097098934999</v>
      </c>
      <c r="F1077">
        <v>30</v>
      </c>
    </row>
    <row r="1078" spans="1:9" x14ac:dyDescent="0.25">
      <c r="A1078">
        <v>3248.6680547292999</v>
      </c>
      <c r="B1078">
        <v>3292.8459250444998</v>
      </c>
      <c r="C1078" s="1">
        <f t="shared" si="294"/>
        <v>1.359876403835325E-2</v>
      </c>
      <c r="D1078">
        <v>21.956037338150999</v>
      </c>
      <c r="E1078">
        <v>0.15423628073785001</v>
      </c>
      <c r="F1078">
        <v>31</v>
      </c>
    </row>
    <row r="1079" spans="1:9" x14ac:dyDescent="0.25">
      <c r="A1079">
        <v>3207.2671029149001</v>
      </c>
      <c r="B1079">
        <v>3267.4985127897999</v>
      </c>
      <c r="C1079" s="1">
        <f t="shared" si="294"/>
        <v>1.8779667530702149E-2</v>
      </c>
      <c r="D1079">
        <v>21.953026196928999</v>
      </c>
      <c r="E1079">
        <v>0.15648957871638</v>
      </c>
      <c r="F1079">
        <v>30</v>
      </c>
    </row>
    <row r="1080" spans="1:9" x14ac:dyDescent="0.25">
      <c r="A1080">
        <v>3236.6502082093998</v>
      </c>
      <c r="B1080">
        <v>3287.4925639499002</v>
      </c>
      <c r="C1080" s="1">
        <f t="shared" si="294"/>
        <v>1.5708325728725381E-2</v>
      </c>
      <c r="D1080">
        <v>21.893405600723</v>
      </c>
      <c r="E1080">
        <v>0.15437971421770999</v>
      </c>
      <c r="F1080">
        <v>31</v>
      </c>
    </row>
    <row r="1081" spans="1:9" x14ac:dyDescent="0.25">
      <c r="A1081">
        <v>3222.0208209399002</v>
      </c>
      <c r="B1081">
        <v>3273.7138607970001</v>
      </c>
      <c r="C1081" s="1">
        <f t="shared" si="294"/>
        <v>1.6043670332962057E-2</v>
      </c>
      <c r="D1081">
        <v>22.180066245107</v>
      </c>
      <c r="E1081">
        <v>0.15752920152252001</v>
      </c>
      <c r="F1081">
        <v>31</v>
      </c>
    </row>
    <row r="1082" spans="1:9" x14ac:dyDescent="0.25">
      <c r="A1082">
        <v>3231.2171326591001</v>
      </c>
      <c r="B1082">
        <v>3282.5693039856001</v>
      </c>
      <c r="C1082" s="1">
        <f t="shared" si="294"/>
        <v>1.5892516416635916E-2</v>
      </c>
      <c r="D1082">
        <v>22.078891900030001</v>
      </c>
      <c r="E1082">
        <v>0.15618469145385999</v>
      </c>
      <c r="F1082">
        <v>30</v>
      </c>
    </row>
    <row r="1083" spans="1:9" x14ac:dyDescent="0.25">
      <c r="A1083">
        <v>3221.5187388458999</v>
      </c>
      <c r="B1083">
        <v>3267.1118381913998</v>
      </c>
      <c r="C1083" s="1">
        <f t="shared" si="294"/>
        <v>1.4152672401289035E-2</v>
      </c>
      <c r="D1083">
        <v>22.011442336645999</v>
      </c>
      <c r="E1083">
        <v>0.15614295579956</v>
      </c>
      <c r="F1083">
        <v>31</v>
      </c>
    </row>
    <row r="1084" spans="1:9" x14ac:dyDescent="0.25">
      <c r="A1084">
        <v>3228.3408685305999</v>
      </c>
      <c r="B1084">
        <v>3278.9922665078998</v>
      </c>
      <c r="C1084" s="1">
        <f t="shared" si="294"/>
        <v>1.5689606531652966E-2</v>
      </c>
      <c r="D1084">
        <v>21.853056308340999</v>
      </c>
      <c r="E1084">
        <v>0.15453673269685</v>
      </c>
      <c r="F1084">
        <v>30</v>
      </c>
    </row>
    <row r="1085" spans="1:9" x14ac:dyDescent="0.25">
      <c r="A1085">
        <v>3240.5954788815998</v>
      </c>
      <c r="B1085">
        <v>3291.3831052943001</v>
      </c>
      <c r="C1085" s="1">
        <f t="shared" si="294"/>
        <v>1.5672312926335419E-2</v>
      </c>
      <c r="D1085">
        <v>21.979524239686999</v>
      </c>
      <c r="E1085">
        <v>0.15485389464564001</v>
      </c>
      <c r="F1085">
        <v>31</v>
      </c>
    </row>
    <row r="1086" spans="1:9" x14ac:dyDescent="0.25">
      <c r="A1086">
        <v>3219.4336704343</v>
      </c>
      <c r="B1086">
        <v>3268.707317073</v>
      </c>
      <c r="C1086" s="1">
        <f t="shared" si="294"/>
        <v>1.5305066568447989E-2</v>
      </c>
      <c r="D1086">
        <v>21.986148750376</v>
      </c>
      <c r="E1086">
        <v>0.15606558663178</v>
      </c>
      <c r="F1086">
        <v>30</v>
      </c>
    </row>
    <row r="1087" spans="1:9" x14ac:dyDescent="0.25">
      <c r="A1087">
        <v>3215.0327186199002</v>
      </c>
      <c r="B1087">
        <v>3267.698988697</v>
      </c>
      <c r="C1087" s="1">
        <f t="shared" si="294"/>
        <v>1.6381254776065779E-2</v>
      </c>
      <c r="D1087">
        <v>21.983137609153999</v>
      </c>
      <c r="E1087">
        <v>0.156311772371</v>
      </c>
      <c r="F1087">
        <v>31</v>
      </c>
      <c r="H1087" t="s">
        <v>17</v>
      </c>
      <c r="I1087">
        <f t="shared" ref="I1087" si="311">STDEVP(A1073:A1092)</f>
        <v>10.659543774756521</v>
      </c>
    </row>
    <row r="1088" spans="1:9" x14ac:dyDescent="0.25">
      <c r="A1088">
        <v>3233.7935752528001</v>
      </c>
      <c r="B1088">
        <v>3277.1499107671998</v>
      </c>
      <c r="C1088" s="1">
        <f t="shared" si="294"/>
        <v>1.3407267503464659E-2</v>
      </c>
      <c r="D1088">
        <v>21.973501957242</v>
      </c>
      <c r="E1088">
        <v>0.15518253796163001</v>
      </c>
      <c r="F1088">
        <v>31</v>
      </c>
      <c r="H1088" t="s">
        <v>18</v>
      </c>
      <c r="I1088">
        <f t="shared" ref="I1088" si="312">STDEVP(B1073:B1092)</f>
        <v>9.839447148628544</v>
      </c>
    </row>
    <row r="1089" spans="1:9" x14ac:dyDescent="0.25">
      <c r="A1089">
        <v>3224.8911362283998</v>
      </c>
      <c r="B1089">
        <v>3280.6222486614001</v>
      </c>
      <c r="C1089" s="1">
        <f t="shared" si="294"/>
        <v>1.7281548455052587E-2</v>
      </c>
      <c r="D1089">
        <v>22.047576031316002</v>
      </c>
      <c r="E1089">
        <v>0.15628575929576</v>
      </c>
      <c r="F1089">
        <v>30</v>
      </c>
      <c r="H1089" t="s">
        <v>19</v>
      </c>
      <c r="I1089">
        <f t="shared" ref="I1089" si="313">STDEVP(C1073:C1092)</f>
        <v>1.4348748269467364E-3</v>
      </c>
    </row>
    <row r="1090" spans="1:9" x14ac:dyDescent="0.25">
      <c r="A1090">
        <v>3240.3016061868002</v>
      </c>
      <c r="B1090">
        <v>3295.5056513978002</v>
      </c>
      <c r="C1090" s="1">
        <f t="shared" ref="C1090:C1153" si="314">IFERROR((B1090/A1090)-1,"")</f>
        <v>1.7036699641044928E-2</v>
      </c>
      <c r="D1090">
        <v>22.105389942788001</v>
      </c>
      <c r="E1090">
        <v>0.15588213597083</v>
      </c>
      <c r="F1090">
        <v>31</v>
      </c>
      <c r="H1090" t="s">
        <v>20</v>
      </c>
      <c r="I1090">
        <f t="shared" ref="I1090" si="315">STDEVP(D1073:D1092)</f>
        <v>8.2000491116541577E-2</v>
      </c>
    </row>
    <row r="1091" spans="1:9" x14ac:dyDescent="0.25">
      <c r="A1091">
        <v>3233.0874479477002</v>
      </c>
      <c r="B1091">
        <v>3291.8381915525001</v>
      </c>
      <c r="C1091" s="1">
        <f t="shared" si="314"/>
        <v>1.8171714978539644E-2</v>
      </c>
      <c r="D1091">
        <v>22.020475760313001</v>
      </c>
      <c r="E1091">
        <v>0.15563422938183</v>
      </c>
      <c r="F1091">
        <v>30</v>
      </c>
      <c r="H1091" t="s">
        <v>21</v>
      </c>
      <c r="I1091">
        <f t="shared" ref="I1091" si="316">STDEVP(E1073:E1092)</f>
        <v>8.0668283483202564E-4</v>
      </c>
    </row>
    <row r="1092" spans="1:9" x14ac:dyDescent="0.25">
      <c r="A1092">
        <v>3226.1499107673999</v>
      </c>
      <c r="B1092">
        <v>3279.6097560973999</v>
      </c>
      <c r="C1092" s="1">
        <f t="shared" si="314"/>
        <v>1.6570787721790436E-2</v>
      </c>
      <c r="D1092">
        <v>22.042155977115002</v>
      </c>
      <c r="E1092">
        <v>0.15617100882757001</v>
      </c>
      <c r="F1092">
        <v>31</v>
      </c>
      <c r="H1092" t="s">
        <v>22</v>
      </c>
      <c r="I1092">
        <f t="shared" ref="I1092" si="317">STDEVP(F1073:F1092)</f>
        <v>0.49749371855330993</v>
      </c>
    </row>
    <row r="1093" spans="1:9" x14ac:dyDescent="0.25">
      <c r="C1093" s="1" t="str">
        <f t="shared" si="314"/>
        <v/>
      </c>
    </row>
    <row r="1094" spans="1:9" x14ac:dyDescent="0.25">
      <c r="A1094">
        <v>463.39852973936001</v>
      </c>
      <c r="B1094">
        <v>487.43149922032001</v>
      </c>
      <c r="C1094" s="1">
        <f t="shared" si="314"/>
        <v>5.1862420656529462E-2</v>
      </c>
      <c r="D1094">
        <v>8.4088647670737</v>
      </c>
      <c r="E1094">
        <v>0.55971476726017999</v>
      </c>
      <c r="F1094">
        <v>10</v>
      </c>
    </row>
    <row r="1095" spans="1:9" x14ac:dyDescent="0.25">
      <c r="A1095">
        <v>469.42927155268001</v>
      </c>
      <c r="B1095">
        <v>485.48674537759001</v>
      </c>
      <c r="C1095" s="1">
        <f t="shared" si="314"/>
        <v>3.4206375268841738E-2</v>
      </c>
      <c r="D1095">
        <v>8.2180009045681004</v>
      </c>
      <c r="E1095">
        <v>0.53104372349269002</v>
      </c>
      <c r="F1095">
        <v>10</v>
      </c>
    </row>
    <row r="1096" spans="1:9" x14ac:dyDescent="0.25">
      <c r="A1096">
        <v>460.63978614390999</v>
      </c>
      <c r="B1096">
        <v>481.77188683448998</v>
      </c>
      <c r="C1096" s="1">
        <f t="shared" si="314"/>
        <v>4.5875543811532582E-2</v>
      </c>
      <c r="D1096">
        <v>8.1112618724559002</v>
      </c>
      <c r="E1096">
        <v>0.53510557570606998</v>
      </c>
      <c r="F1096">
        <v>10</v>
      </c>
    </row>
    <row r="1097" spans="1:9" x14ac:dyDescent="0.25">
      <c r="A1097">
        <v>466.44687012698</v>
      </c>
      <c r="B1097">
        <v>486.95656048118002</v>
      </c>
      <c r="C1097" s="1">
        <f t="shared" si="314"/>
        <v>4.3970046038934063E-2</v>
      </c>
      <c r="D1097">
        <v>8.3120759837178007</v>
      </c>
      <c r="E1097">
        <v>0.54551085387484</v>
      </c>
      <c r="F1097">
        <v>11</v>
      </c>
    </row>
    <row r="1098" spans="1:9" x14ac:dyDescent="0.25">
      <c r="A1098">
        <v>471.20026732012002</v>
      </c>
      <c r="B1098">
        <v>486.80908888393998</v>
      </c>
      <c r="C1098" s="1">
        <f t="shared" si="314"/>
        <v>3.3125663643174041E-2</v>
      </c>
      <c r="D1098">
        <v>8.3003165988241001</v>
      </c>
      <c r="E1098">
        <v>0.53547507902306002</v>
      </c>
      <c r="F1098">
        <v>10</v>
      </c>
    </row>
    <row r="1099" spans="1:9" x14ac:dyDescent="0.25">
      <c r="A1099">
        <v>467.56248607708</v>
      </c>
      <c r="B1099">
        <v>485.97282245489998</v>
      </c>
      <c r="C1099" s="1">
        <f t="shared" si="314"/>
        <v>3.9375135786203774E-2</v>
      </c>
      <c r="D1099">
        <v>8.2596110357303996</v>
      </c>
      <c r="E1099">
        <v>0.53804301684109002</v>
      </c>
      <c r="F1099">
        <v>10</v>
      </c>
    </row>
    <row r="1100" spans="1:9" x14ac:dyDescent="0.25">
      <c r="A1100">
        <v>462.70795277345002</v>
      </c>
      <c r="B1100">
        <v>485.48273557585998</v>
      </c>
      <c r="C1100" s="1">
        <f t="shared" si="314"/>
        <v>4.9220642666500503E-2</v>
      </c>
      <c r="D1100">
        <v>8.1465400271370001</v>
      </c>
      <c r="E1100">
        <v>0.53493551467097</v>
      </c>
      <c r="F1100">
        <v>10</v>
      </c>
    </row>
    <row r="1101" spans="1:9" x14ac:dyDescent="0.25">
      <c r="A1101">
        <v>467.47605257295999</v>
      </c>
      <c r="B1101">
        <v>489.76832256628001</v>
      </c>
      <c r="C1101" s="1">
        <f t="shared" si="314"/>
        <v>4.7686442697170817E-2</v>
      </c>
      <c r="D1101">
        <v>8.2279511533242999</v>
      </c>
      <c r="E1101">
        <v>0.53432976892942996</v>
      </c>
      <c r="F1101">
        <v>11</v>
      </c>
    </row>
    <row r="1102" spans="1:9" x14ac:dyDescent="0.25">
      <c r="A1102">
        <v>464.66651815549</v>
      </c>
      <c r="B1102">
        <v>483.14145689463999</v>
      </c>
      <c r="C1102" s="1">
        <f t="shared" si="314"/>
        <v>3.9759565230752747E-2</v>
      </c>
      <c r="D1102">
        <v>8.1429217548620993</v>
      </c>
      <c r="E1102">
        <v>0.53143825641075004</v>
      </c>
      <c r="F1102">
        <v>10</v>
      </c>
    </row>
    <row r="1103" spans="1:9" x14ac:dyDescent="0.25">
      <c r="A1103">
        <v>465.50857652038002</v>
      </c>
      <c r="B1103">
        <v>486.43261305414001</v>
      </c>
      <c r="C1103" s="1">
        <f t="shared" si="314"/>
        <v>4.494876698118988E-2</v>
      </c>
      <c r="D1103">
        <v>8.2008141112619004</v>
      </c>
      <c r="E1103">
        <v>0.53483081294575996</v>
      </c>
      <c r="F1103">
        <v>10</v>
      </c>
    </row>
    <row r="1104" spans="1:9" x14ac:dyDescent="0.25">
      <c r="A1104">
        <v>464.13633325908</v>
      </c>
      <c r="B1104">
        <v>485.69258186679002</v>
      </c>
      <c r="C1104" s="1">
        <f t="shared" si="314"/>
        <v>4.6443786152973621E-2</v>
      </c>
      <c r="D1104">
        <v>8.3129805517865005</v>
      </c>
      <c r="E1104">
        <v>0.54874990402262003</v>
      </c>
      <c r="F1104">
        <v>11</v>
      </c>
    </row>
    <row r="1105" spans="1:9" x14ac:dyDescent="0.25">
      <c r="A1105">
        <v>466.48162174203998</v>
      </c>
      <c r="B1105">
        <v>484.24949877479003</v>
      </c>
      <c r="C1105" s="1">
        <f t="shared" si="314"/>
        <v>3.8089125497371645E-2</v>
      </c>
      <c r="D1105">
        <v>8.2017186793306003</v>
      </c>
      <c r="E1105">
        <v>0.53458956894724996</v>
      </c>
      <c r="F1105">
        <v>10</v>
      </c>
    </row>
    <row r="1106" spans="1:9" x14ac:dyDescent="0.25">
      <c r="A1106">
        <v>466.37157496101997</v>
      </c>
      <c r="B1106">
        <v>489.08487413678</v>
      </c>
      <c r="C1106" s="1">
        <f t="shared" si="314"/>
        <v>4.8702151664492987E-2</v>
      </c>
      <c r="D1106">
        <v>8.1673450927182003</v>
      </c>
      <c r="E1106">
        <v>0.53227817291791002</v>
      </c>
      <c r="F1106">
        <v>10</v>
      </c>
    </row>
    <row r="1107" spans="1:9" x14ac:dyDescent="0.25">
      <c r="A1107">
        <v>462.87636444641998</v>
      </c>
      <c r="B1107">
        <v>482.52394742705002</v>
      </c>
      <c r="C1107" s="1">
        <f t="shared" si="314"/>
        <v>4.2446719015622358E-2</v>
      </c>
      <c r="D1107">
        <v>8.1944821347805998</v>
      </c>
      <c r="E1107">
        <v>0.53892243913788995</v>
      </c>
      <c r="F1107">
        <v>10</v>
      </c>
    </row>
    <row r="1108" spans="1:9" x14ac:dyDescent="0.25">
      <c r="A1108">
        <v>465.89797282246002</v>
      </c>
      <c r="B1108">
        <v>485.54421920250002</v>
      </c>
      <c r="C1108" s="1">
        <f t="shared" si="314"/>
        <v>4.2168559483143797E-2</v>
      </c>
      <c r="D1108">
        <v>8.3690637720488006</v>
      </c>
      <c r="E1108">
        <v>0.55184723433327998</v>
      </c>
      <c r="F1108">
        <v>11</v>
      </c>
      <c r="H1108" t="s">
        <v>17</v>
      </c>
      <c r="I1108">
        <f t="shared" ref="I1108" si="318">STDEVP(A1094:A1113)</f>
        <v>3.1577560879341982</v>
      </c>
    </row>
    <row r="1109" spans="1:9" x14ac:dyDescent="0.25">
      <c r="A1109">
        <v>468.22855869903998</v>
      </c>
      <c r="B1109">
        <v>487.85965693919002</v>
      </c>
      <c r="C1109" s="1">
        <f t="shared" si="314"/>
        <v>4.1926315418894022E-2</v>
      </c>
      <c r="D1109">
        <v>8.2252374491179996</v>
      </c>
      <c r="E1109">
        <v>0.53338398535703002</v>
      </c>
      <c r="F1109">
        <v>10</v>
      </c>
      <c r="H1109" t="s">
        <v>18</v>
      </c>
      <c r="I1109">
        <f t="shared" ref="I1109" si="319">STDEVP(B1094:B1113)</f>
        <v>2.0741328348873562</v>
      </c>
    </row>
    <row r="1110" spans="1:9" x14ac:dyDescent="0.25">
      <c r="A1110">
        <v>470.39607930496999</v>
      </c>
      <c r="B1110">
        <v>486.11895745154999</v>
      </c>
      <c r="C1110" s="1">
        <f t="shared" si="314"/>
        <v>3.3424764444914601E-2</v>
      </c>
      <c r="D1110">
        <v>8.3428312980552004</v>
      </c>
      <c r="E1110">
        <v>0.54084511119760004</v>
      </c>
      <c r="F1110">
        <v>10</v>
      </c>
      <c r="H1110" t="s">
        <v>19</v>
      </c>
      <c r="I1110">
        <f t="shared" ref="I1110" si="320">STDEVP(C1094:C1113)</f>
        <v>6.1151535617652002E-3</v>
      </c>
    </row>
    <row r="1111" spans="1:9" x14ac:dyDescent="0.25">
      <c r="A1111">
        <v>466.77611940298999</v>
      </c>
      <c r="B1111">
        <v>484.23746936957002</v>
      </c>
      <c r="C1111" s="1">
        <f t="shared" si="314"/>
        <v>3.7408404673557882E-2</v>
      </c>
      <c r="D1111">
        <v>8.1818181818181994</v>
      </c>
      <c r="E1111">
        <v>0.53329525935773003</v>
      </c>
      <c r="F1111">
        <v>11</v>
      </c>
      <c r="H1111" t="s">
        <v>20</v>
      </c>
      <c r="I1111">
        <f t="shared" ref="I1111" si="321">STDEVP(D1094:D1113)</f>
        <v>8.0814070255583098E-2</v>
      </c>
    </row>
    <row r="1112" spans="1:9" x14ac:dyDescent="0.25">
      <c r="A1112">
        <v>466.22588549787997</v>
      </c>
      <c r="B1112">
        <v>488.14702606371998</v>
      </c>
      <c r="C1112" s="1">
        <f t="shared" si="314"/>
        <v>4.7018282870395556E-2</v>
      </c>
      <c r="D1112">
        <v>8.2523744911805004</v>
      </c>
      <c r="E1112">
        <v>0.54043972259316997</v>
      </c>
      <c r="F1112">
        <v>10</v>
      </c>
      <c r="H1112" t="s">
        <v>21</v>
      </c>
      <c r="I1112">
        <f t="shared" ref="I1112" si="322">STDEVP(E1094:E1113)</f>
        <v>7.3758663648197526E-3</v>
      </c>
    </row>
    <row r="1113" spans="1:9" x14ac:dyDescent="0.25">
      <c r="A1113">
        <v>457.59278235686998</v>
      </c>
      <c r="B1113">
        <v>483.55090220540001</v>
      </c>
      <c r="C1113" s="1">
        <f t="shared" si="314"/>
        <v>5.6727555261756102E-2</v>
      </c>
      <c r="D1113">
        <v>8.1338760741745997</v>
      </c>
      <c r="E1113">
        <v>0.54321424795441997</v>
      </c>
      <c r="F1113">
        <v>10</v>
      </c>
      <c r="H1113" t="s">
        <v>22</v>
      </c>
      <c r="I1113">
        <f t="shared" ref="I1113" si="323">STDEVP(F1094:F1113)</f>
        <v>0.4330127018922193</v>
      </c>
    </row>
    <row r="1114" spans="1:9" x14ac:dyDescent="0.25">
      <c r="C1114" s="1" t="str">
        <f t="shared" si="314"/>
        <v/>
      </c>
    </row>
    <row r="1115" spans="1:9" x14ac:dyDescent="0.25">
      <c r="A1115">
        <v>2449.5626666666999</v>
      </c>
      <c r="B1115">
        <v>2505.7440000001002</v>
      </c>
      <c r="C1115" s="1">
        <f t="shared" si="314"/>
        <v>2.2935250482834402E-2</v>
      </c>
      <c r="D1115">
        <v>19.472432432432001</v>
      </c>
      <c r="E1115">
        <v>0.18622424510270999</v>
      </c>
      <c r="F1115">
        <v>26</v>
      </c>
    </row>
    <row r="1116" spans="1:9" x14ac:dyDescent="0.25">
      <c r="A1116">
        <v>2454.9848888889001</v>
      </c>
      <c r="B1116">
        <v>2497.0008888890002</v>
      </c>
      <c r="C1116" s="1">
        <f t="shared" si="314"/>
        <v>1.7114565629410494E-2</v>
      </c>
      <c r="D1116">
        <v>19.285045045044999</v>
      </c>
      <c r="E1116">
        <v>0.18363983426934999</v>
      </c>
      <c r="F1116">
        <v>27</v>
      </c>
    </row>
    <row r="1117" spans="1:9" x14ac:dyDescent="0.25">
      <c r="A1117">
        <v>2450.2257777778</v>
      </c>
      <c r="B1117">
        <v>2498.3680000001</v>
      </c>
      <c r="C1117" s="1">
        <f t="shared" si="314"/>
        <v>1.9648075968722312E-2</v>
      </c>
      <c r="D1117">
        <v>19.339819819820001</v>
      </c>
      <c r="E1117">
        <v>0.18469607826487999</v>
      </c>
      <c r="F1117">
        <v>27</v>
      </c>
    </row>
    <row r="1118" spans="1:9" x14ac:dyDescent="0.25">
      <c r="A1118">
        <v>2453.3155555556</v>
      </c>
      <c r="B1118">
        <v>2496.0177777778999</v>
      </c>
      <c r="C1118" s="1">
        <f t="shared" si="314"/>
        <v>1.7405923231359033E-2</v>
      </c>
      <c r="D1118">
        <v>19.272072072072</v>
      </c>
      <c r="E1118">
        <v>0.18360710132951999</v>
      </c>
      <c r="F1118">
        <v>27</v>
      </c>
    </row>
    <row r="1119" spans="1:9" x14ac:dyDescent="0.25">
      <c r="A1119">
        <v>2441.9520000000002</v>
      </c>
      <c r="B1119">
        <v>2502.9795555556998</v>
      </c>
      <c r="C1119" s="1">
        <f t="shared" si="314"/>
        <v>2.4991300220356338E-2</v>
      </c>
      <c r="D1119">
        <v>19.258378378378001</v>
      </c>
      <c r="E1119">
        <v>0.18446111385968</v>
      </c>
      <c r="F1119">
        <v>27</v>
      </c>
    </row>
    <row r="1120" spans="1:9" x14ac:dyDescent="0.25">
      <c r="A1120">
        <v>2446.9920000000002</v>
      </c>
      <c r="B1120">
        <v>2498.9546666668002</v>
      </c>
      <c r="C1120" s="1">
        <f t="shared" si="314"/>
        <v>2.1235323477477586E-2</v>
      </c>
      <c r="D1120">
        <v>19.377297297297002</v>
      </c>
      <c r="E1120">
        <v>0.18536128513700001</v>
      </c>
      <c r="F1120">
        <v>26</v>
      </c>
    </row>
    <row r="1121" spans="1:9" x14ac:dyDescent="0.25">
      <c r="A1121">
        <v>2450.5902222221998</v>
      </c>
      <c r="B1121">
        <v>2500.9457777778998</v>
      </c>
      <c r="C1121" s="1">
        <f t="shared" si="314"/>
        <v>2.0548337742912093E-2</v>
      </c>
      <c r="D1121">
        <v>19.55963963964</v>
      </c>
      <c r="E1121">
        <v>0.18707067992185999</v>
      </c>
      <c r="F1121">
        <v>27</v>
      </c>
    </row>
    <row r="1122" spans="1:9" x14ac:dyDescent="0.25">
      <c r="A1122">
        <v>2452.2826666667002</v>
      </c>
      <c r="B1122">
        <v>2501.0417777778998</v>
      </c>
      <c r="C1122" s="1">
        <f t="shared" si="314"/>
        <v>1.988315285752762E-2</v>
      </c>
      <c r="D1122">
        <v>19.310270270269999</v>
      </c>
      <c r="E1122">
        <v>0.18417103550613001</v>
      </c>
      <c r="F1122">
        <v>27</v>
      </c>
    </row>
    <row r="1123" spans="1:9" x14ac:dyDescent="0.25">
      <c r="A1123">
        <v>2447.5484444445001</v>
      </c>
      <c r="B1123">
        <v>2499.5573333335001</v>
      </c>
      <c r="C1123" s="1">
        <f t="shared" si="314"/>
        <v>2.1249380786333649E-2</v>
      </c>
      <c r="D1123">
        <v>19.396036036036001</v>
      </c>
      <c r="E1123">
        <v>0.1855641772485</v>
      </c>
      <c r="F1123">
        <v>27</v>
      </c>
    </row>
    <row r="1124" spans="1:9" x14ac:dyDescent="0.25">
      <c r="A1124">
        <v>2451.7848888888998</v>
      </c>
      <c r="B1124">
        <v>2499.4648888890001</v>
      </c>
      <c r="C1124" s="1">
        <f t="shared" si="314"/>
        <v>1.9447056801833895E-2</v>
      </c>
      <c r="D1124">
        <v>19.566126126126001</v>
      </c>
      <c r="E1124">
        <v>0.18706906764344</v>
      </c>
      <c r="F1124">
        <v>27</v>
      </c>
    </row>
    <row r="1125" spans="1:9" x14ac:dyDescent="0.25">
      <c r="A1125">
        <v>2451.3422222221998</v>
      </c>
      <c r="B1125">
        <v>2499.0773333335001</v>
      </c>
      <c r="C1125" s="1">
        <f t="shared" si="314"/>
        <v>1.9473050591861885E-2</v>
      </c>
      <c r="D1125">
        <v>19.25045045045</v>
      </c>
      <c r="E1125">
        <v>0.18356725870344001</v>
      </c>
      <c r="F1125">
        <v>27</v>
      </c>
    </row>
    <row r="1126" spans="1:9" x14ac:dyDescent="0.25">
      <c r="A1126">
        <v>2447.4879999999998</v>
      </c>
      <c r="B1126">
        <v>2502.5742222223998</v>
      </c>
      <c r="C1126" s="1">
        <f t="shared" si="314"/>
        <v>2.2507249156032749E-2</v>
      </c>
      <c r="D1126">
        <v>19.411891891892001</v>
      </c>
      <c r="E1126">
        <v>0.18573072470262</v>
      </c>
      <c r="F1126">
        <v>26</v>
      </c>
    </row>
    <row r="1127" spans="1:9" x14ac:dyDescent="0.25">
      <c r="A1127">
        <v>2457.1822222221999</v>
      </c>
      <c r="B1127">
        <v>2501.1395555557001</v>
      </c>
      <c r="C1127" s="1">
        <f t="shared" si="314"/>
        <v>1.7889325804150813E-2</v>
      </c>
      <c r="D1127">
        <v>19.315315315315001</v>
      </c>
      <c r="E1127">
        <v>0.18374651417096999</v>
      </c>
      <c r="F1127">
        <v>27</v>
      </c>
    </row>
    <row r="1128" spans="1:9" x14ac:dyDescent="0.25">
      <c r="A1128">
        <v>2455.9484444445002</v>
      </c>
      <c r="B1128">
        <v>2507.2213333334998</v>
      </c>
      <c r="C1128" s="1">
        <f t="shared" si="314"/>
        <v>2.0877021667528028E-2</v>
      </c>
      <c r="D1128">
        <v>19.460900900900999</v>
      </c>
      <c r="E1128">
        <v>0.18553190475493</v>
      </c>
      <c r="F1128">
        <v>27</v>
      </c>
    </row>
    <row r="1129" spans="1:9" x14ac:dyDescent="0.25">
      <c r="A1129">
        <v>2445.3955555555999</v>
      </c>
      <c r="B1129">
        <v>2495.3546666667999</v>
      </c>
      <c r="C1129" s="1">
        <f t="shared" si="314"/>
        <v>2.0429869105511367E-2</v>
      </c>
      <c r="D1129">
        <v>19.326126126125999</v>
      </c>
      <c r="E1129">
        <v>0.18492813366498001</v>
      </c>
      <c r="F1129">
        <v>27</v>
      </c>
      <c r="H1129" t="s">
        <v>17</v>
      </c>
      <c r="I1129">
        <f t="shared" ref="I1129" si="324">STDEVP(A1115:A1134)</f>
        <v>5.0945150647641233</v>
      </c>
    </row>
    <row r="1130" spans="1:9" x14ac:dyDescent="0.25">
      <c r="A1130">
        <v>2462.6062222221999</v>
      </c>
      <c r="B1130">
        <v>2518.7395555557</v>
      </c>
      <c r="C1130" s="1">
        <f t="shared" si="314"/>
        <v>2.27942790150375E-2</v>
      </c>
      <c r="D1130">
        <v>19.550990990991</v>
      </c>
      <c r="E1130">
        <v>0.18603025374474999</v>
      </c>
      <c r="F1130">
        <v>27</v>
      </c>
      <c r="H1130" t="s">
        <v>18</v>
      </c>
      <c r="I1130">
        <f t="shared" ref="I1130" si="325">STDEVP(B1115:B1134)</f>
        <v>6.0689283592096057</v>
      </c>
    </row>
    <row r="1131" spans="1:9" x14ac:dyDescent="0.25">
      <c r="A1131">
        <v>2453.0897777778</v>
      </c>
      <c r="B1131">
        <v>2503.5360000001001</v>
      </c>
      <c r="C1131" s="1">
        <f t="shared" si="314"/>
        <v>2.0564360374938362E-2</v>
      </c>
      <c r="D1131">
        <v>19.359279279279001</v>
      </c>
      <c r="E1131">
        <v>0.18466094562696</v>
      </c>
      <c r="F1131">
        <v>26</v>
      </c>
      <c r="H1131" t="s">
        <v>19</v>
      </c>
      <c r="I1131">
        <f t="shared" ref="I1131" si="326">STDEVP(C1115:C1134)</f>
        <v>2.0489000191505052E-3</v>
      </c>
    </row>
    <row r="1132" spans="1:9" x14ac:dyDescent="0.25">
      <c r="A1132">
        <v>2455.5431111111002</v>
      </c>
      <c r="B1132">
        <v>2498.5635555557001</v>
      </c>
      <c r="C1132" s="1">
        <f t="shared" si="314"/>
        <v>1.7519726796868973E-2</v>
      </c>
      <c r="D1132">
        <v>19.207927927928001</v>
      </c>
      <c r="E1132">
        <v>0.18267366437898</v>
      </c>
      <c r="F1132">
        <v>27</v>
      </c>
      <c r="H1132" t="s">
        <v>20</v>
      </c>
      <c r="I1132">
        <f t="shared" ref="I1132" si="327">STDEVP(D1115:D1134)</f>
        <v>0.10669257050942953</v>
      </c>
    </row>
    <row r="1133" spans="1:9" x14ac:dyDescent="0.25">
      <c r="A1133">
        <v>2445.3688888889001</v>
      </c>
      <c r="B1133">
        <v>2498.1511111113</v>
      </c>
      <c r="C1133" s="1">
        <f t="shared" si="314"/>
        <v>2.1584564382996829E-2</v>
      </c>
      <c r="D1133">
        <v>19.326126126125999</v>
      </c>
      <c r="E1133">
        <v>0.18493411885571001</v>
      </c>
      <c r="F1133">
        <v>27</v>
      </c>
      <c r="H1133" t="s">
        <v>21</v>
      </c>
      <c r="I1133">
        <f t="shared" ref="I1133" si="328">STDEVP(E1115:E1134)</f>
        <v>1.1580497697198566E-3</v>
      </c>
    </row>
    <row r="1134" spans="1:9" x14ac:dyDescent="0.25">
      <c r="A1134">
        <v>2460.7271111110999</v>
      </c>
      <c r="B1134">
        <v>2517.2942222224001</v>
      </c>
      <c r="C1134" s="1">
        <f t="shared" si="314"/>
        <v>2.2987965977973923E-2</v>
      </c>
      <c r="D1134">
        <v>19.508468468467999</v>
      </c>
      <c r="E1134">
        <v>0.18565526649190001</v>
      </c>
      <c r="F1134">
        <v>27</v>
      </c>
      <c r="H1134" t="s">
        <v>22</v>
      </c>
      <c r="I1134">
        <f t="shared" ref="I1134" si="329">STDEVP(F1115:F1134)</f>
        <v>0.39999999999999997</v>
      </c>
    </row>
    <row r="1135" spans="1:9" x14ac:dyDescent="0.25">
      <c r="C1135" s="1" t="str">
        <f t="shared" si="314"/>
        <v/>
      </c>
    </row>
    <row r="1136" spans="1:9" x14ac:dyDescent="0.25">
      <c r="A1136">
        <v>2760.0473421079</v>
      </c>
      <c r="B1136">
        <v>2801.8363432304</v>
      </c>
      <c r="C1136" s="1">
        <f t="shared" si="314"/>
        <v>1.5140682728501664E-2</v>
      </c>
      <c r="D1136">
        <v>19.300350443208</v>
      </c>
      <c r="E1136">
        <v>0.16088728819115</v>
      </c>
      <c r="F1136">
        <v>135</v>
      </c>
    </row>
    <row r="1137" spans="1:9" x14ac:dyDescent="0.25">
      <c r="A1137">
        <v>2744.1318232833</v>
      </c>
      <c r="B1137">
        <v>2798.0271400878</v>
      </c>
      <c r="C1137" s="1">
        <f t="shared" si="314"/>
        <v>1.9640206912514557E-2</v>
      </c>
      <c r="D1137">
        <v>19.237270665842001</v>
      </c>
      <c r="E1137">
        <v>0.16136158128427999</v>
      </c>
      <c r="F1137">
        <v>126</v>
      </c>
    </row>
    <row r="1138" spans="1:9" x14ac:dyDescent="0.25">
      <c r="A1138">
        <v>2740.0363228241999</v>
      </c>
      <c r="B1138">
        <v>2788.9109274564998</v>
      </c>
      <c r="C1138" s="1">
        <f t="shared" si="314"/>
        <v>1.7837210487021693E-2</v>
      </c>
      <c r="D1138">
        <v>19.122242836529001</v>
      </c>
      <c r="E1138">
        <v>0.16050913961985</v>
      </c>
      <c r="F1138">
        <v>132</v>
      </c>
    </row>
    <row r="1139" spans="1:9" x14ac:dyDescent="0.25">
      <c r="A1139">
        <v>2751.8885827977001</v>
      </c>
      <c r="B1139">
        <v>2794.0587695134</v>
      </c>
      <c r="C1139" s="1">
        <f t="shared" si="314"/>
        <v>1.5324089419647802E-2</v>
      </c>
      <c r="D1139">
        <v>19.069882498454</v>
      </c>
      <c r="E1139">
        <v>0.15921294737462999</v>
      </c>
      <c r="F1139">
        <v>147</v>
      </c>
    </row>
    <row r="1140" spans="1:9" x14ac:dyDescent="0.25">
      <c r="A1140">
        <v>2756.4817875726999</v>
      </c>
      <c r="B1140">
        <v>2803.5859606162999</v>
      </c>
      <c r="C1140" s="1">
        <f t="shared" si="314"/>
        <v>1.7088512340609041E-2</v>
      </c>
      <c r="D1140">
        <v>18.943722943722999</v>
      </c>
      <c r="E1140">
        <v>0.15763016607155</v>
      </c>
      <c r="F1140">
        <v>125</v>
      </c>
    </row>
    <row r="1141" spans="1:9" x14ac:dyDescent="0.25">
      <c r="A1141">
        <v>2750.9770431589</v>
      </c>
      <c r="B1141">
        <v>2798.5689215387001</v>
      </c>
      <c r="C1141" s="1">
        <f t="shared" si="314"/>
        <v>1.7299991106124013E-2</v>
      </c>
      <c r="D1141">
        <v>18.975881261596001</v>
      </c>
      <c r="E1141">
        <v>0.15838708786517</v>
      </c>
      <c r="F1141">
        <v>127</v>
      </c>
    </row>
    <row r="1142" spans="1:9" x14ac:dyDescent="0.25">
      <c r="A1142">
        <v>2756.1028466482999</v>
      </c>
      <c r="B1142">
        <v>2802.2136516682999</v>
      </c>
      <c r="C1142" s="1">
        <f t="shared" si="314"/>
        <v>1.67304369922463E-2</v>
      </c>
      <c r="D1142">
        <v>19.335807050092999</v>
      </c>
      <c r="E1142">
        <v>0.16148942838423999</v>
      </c>
      <c r="F1142">
        <v>129</v>
      </c>
    </row>
    <row r="1143" spans="1:9" x14ac:dyDescent="0.25">
      <c r="A1143">
        <v>2760.3275176001998</v>
      </c>
      <c r="B1143">
        <v>2802.6703397613001</v>
      </c>
      <c r="C1143" s="1">
        <f t="shared" si="314"/>
        <v>1.5339781924832208E-2</v>
      </c>
      <c r="D1143">
        <v>19.062461348176001</v>
      </c>
      <c r="E1143">
        <v>0.15855083676987</v>
      </c>
      <c r="F1143">
        <v>140</v>
      </c>
    </row>
    <row r="1144" spans="1:9" x14ac:dyDescent="0.25">
      <c r="A1144">
        <v>2745.1600857055</v>
      </c>
      <c r="B1144">
        <v>2792.3707784920998</v>
      </c>
      <c r="C1144" s="1">
        <f t="shared" si="314"/>
        <v>1.7197792228013764E-2</v>
      </c>
      <c r="D1144">
        <v>19.063698206554999</v>
      </c>
      <c r="E1144">
        <v>0.15955227745455999</v>
      </c>
      <c r="F1144">
        <v>116</v>
      </c>
    </row>
    <row r="1145" spans="1:9" x14ac:dyDescent="0.25">
      <c r="A1145">
        <v>2761.1788593001002</v>
      </c>
      <c r="B1145">
        <v>2803.4320987655001</v>
      </c>
      <c r="C1145" s="1">
        <f t="shared" si="314"/>
        <v>1.5302608638728454E-2</v>
      </c>
      <c r="D1145">
        <v>19.280972995258999</v>
      </c>
      <c r="E1145">
        <v>0.16062648530188001</v>
      </c>
      <c r="F1145">
        <v>139</v>
      </c>
    </row>
    <row r="1146" spans="1:9" x14ac:dyDescent="0.25">
      <c r="A1146">
        <v>2752.7168656260001</v>
      </c>
      <c r="B1146">
        <v>2798.3803693502</v>
      </c>
      <c r="C1146" s="1">
        <f t="shared" si="314"/>
        <v>1.6588521796198519E-2</v>
      </c>
      <c r="D1146">
        <v>19.151515151515</v>
      </c>
      <c r="E1146">
        <v>0.1598996081439</v>
      </c>
      <c r="F1146">
        <v>107</v>
      </c>
    </row>
    <row r="1147" spans="1:9" x14ac:dyDescent="0.25">
      <c r="A1147">
        <v>2757.9422507907002</v>
      </c>
      <c r="B1147">
        <v>2810.6954392409998</v>
      </c>
      <c r="C1147" s="1">
        <f t="shared" si="314"/>
        <v>1.9127734975297406E-2</v>
      </c>
      <c r="D1147">
        <v>19.116470830756999</v>
      </c>
      <c r="E1147">
        <v>0.15922965163432001</v>
      </c>
      <c r="F1147">
        <v>106</v>
      </c>
    </row>
    <row r="1148" spans="1:9" x14ac:dyDescent="0.25">
      <c r="A1148">
        <v>2754.6807468625998</v>
      </c>
      <c r="B1148">
        <v>2796.5468829711999</v>
      </c>
      <c r="C1148" s="1">
        <f t="shared" si="314"/>
        <v>1.519818082595692E-2</v>
      </c>
      <c r="D1148">
        <v>19.356833642548001</v>
      </c>
      <c r="E1148">
        <v>0.16180230807429999</v>
      </c>
      <c r="F1148">
        <v>107</v>
      </c>
    </row>
    <row r="1149" spans="1:9" x14ac:dyDescent="0.25">
      <c r="A1149">
        <v>2755.4904601571002</v>
      </c>
      <c r="B1149">
        <v>2802.1538618508998</v>
      </c>
      <c r="C1149" s="1">
        <f t="shared" si="314"/>
        <v>1.6934699055767721E-2</v>
      </c>
      <c r="D1149">
        <v>19.283446712018002</v>
      </c>
      <c r="E1149">
        <v>0.16101586463671</v>
      </c>
      <c r="F1149">
        <v>118</v>
      </c>
    </row>
    <row r="1150" spans="1:9" x14ac:dyDescent="0.25">
      <c r="A1150">
        <v>2775.5867768594999</v>
      </c>
      <c r="B1150">
        <v>2809.2039587797999</v>
      </c>
      <c r="C1150" s="1">
        <f t="shared" si="314"/>
        <v>1.2111738750368639E-2</v>
      </c>
      <c r="D1150">
        <v>18.953617810760999</v>
      </c>
      <c r="E1150">
        <v>0.15653753845455001</v>
      </c>
      <c r="F1150">
        <v>114</v>
      </c>
      <c r="H1150" t="s">
        <v>17</v>
      </c>
      <c r="I1150">
        <f t="shared" ref="I1150" si="330">STDEVP(A1136:A1155)</f>
        <v>9.0665865546258875</v>
      </c>
    </row>
    <row r="1151" spans="1:9" x14ac:dyDescent="0.25">
      <c r="A1151">
        <v>2765.2761963065</v>
      </c>
      <c r="B1151">
        <v>2810.0408121620999</v>
      </c>
      <c r="C1151" s="1">
        <f t="shared" si="314"/>
        <v>1.6188117452929474E-2</v>
      </c>
      <c r="D1151">
        <v>19.099154813441</v>
      </c>
      <c r="E1151">
        <v>0.15866692648997999</v>
      </c>
      <c r="F1151">
        <v>102</v>
      </c>
      <c r="H1151" t="s">
        <v>18</v>
      </c>
      <c r="I1151">
        <f t="shared" ref="I1151" si="331">STDEVP(B1136:B1155)</f>
        <v>7.5101497790117824</v>
      </c>
    </row>
    <row r="1152" spans="1:9" x14ac:dyDescent="0.25">
      <c r="A1152">
        <v>2746.2958881746999</v>
      </c>
      <c r="B1152">
        <v>2782.8717477809</v>
      </c>
      <c r="C1152" s="1">
        <f t="shared" si="314"/>
        <v>1.3318251599797604E-2</v>
      </c>
      <c r="D1152">
        <v>19.331271902699999</v>
      </c>
      <c r="E1152">
        <v>0.16204417381156999</v>
      </c>
      <c r="F1152">
        <v>119</v>
      </c>
      <c r="H1152" t="s">
        <v>19</v>
      </c>
      <c r="I1152">
        <f t="shared" ref="I1152" si="332">STDEVP(C1136:C1155)</f>
        <v>1.9069329229462904E-3</v>
      </c>
    </row>
    <row r="1153" spans="1:9" x14ac:dyDescent="0.25">
      <c r="A1153">
        <v>2742.5009692888002</v>
      </c>
      <c r="B1153">
        <v>2787.7785940211002</v>
      </c>
      <c r="C1153" s="1">
        <f t="shared" si="314"/>
        <v>1.6509611205002273E-2</v>
      </c>
      <c r="D1153">
        <v>19.081426509998</v>
      </c>
      <c r="E1153">
        <v>0.15990219359380001</v>
      </c>
      <c r="F1153">
        <v>107</v>
      </c>
      <c r="H1153" t="s">
        <v>20</v>
      </c>
      <c r="I1153">
        <f t="shared" ref="I1153" si="333">STDEVP(D1136:D1155)</f>
        <v>0.12998745408071097</v>
      </c>
    </row>
    <row r="1154" spans="1:9" x14ac:dyDescent="0.25">
      <c r="A1154">
        <v>2750.0524436281999</v>
      </c>
      <c r="B1154">
        <v>2790.6789103154001</v>
      </c>
      <c r="C1154" s="1">
        <f t="shared" ref="C1154:C1217" si="334">IFERROR((B1154/A1154)-1,"")</f>
        <v>1.4772978886759214E-2</v>
      </c>
      <c r="D1154">
        <v>19.264893836321999</v>
      </c>
      <c r="E1154">
        <v>0.16116993956986</v>
      </c>
      <c r="F1154">
        <v>104</v>
      </c>
      <c r="H1154" t="s">
        <v>21</v>
      </c>
      <c r="I1154">
        <f t="shared" ref="I1154" si="335">STDEVP(E1136:E1155)</f>
        <v>1.4279301408636415E-3</v>
      </c>
    </row>
    <row r="1155" spans="1:9" x14ac:dyDescent="0.25">
      <c r="A1155">
        <v>2771.8487909396999</v>
      </c>
      <c r="B1155">
        <v>2806.0577492092998</v>
      </c>
      <c r="C1155" s="1">
        <f t="shared" si="334"/>
        <v>1.2341567253386421E-2</v>
      </c>
      <c r="D1155">
        <v>19.256648113791002</v>
      </c>
      <c r="E1155">
        <v>0.15969817326253999</v>
      </c>
      <c r="F1155">
        <v>107</v>
      </c>
      <c r="H1155" t="s">
        <v>22</v>
      </c>
      <c r="I1155">
        <f t="shared" ref="I1155" si="336">STDEVP(F1136:F1155)</f>
        <v>13.335197786309733</v>
      </c>
    </row>
    <row r="1156" spans="1:9" x14ac:dyDescent="0.25">
      <c r="C1156" s="1" t="str">
        <f t="shared" si="334"/>
        <v/>
      </c>
    </row>
    <row r="1157" spans="1:9" x14ac:dyDescent="0.25">
      <c r="A1157">
        <v>562.23076923076997</v>
      </c>
      <c r="B1157">
        <v>594.17751479289996</v>
      </c>
      <c r="C1157" s="1">
        <f t="shared" si="334"/>
        <v>5.6821410905416592E-2</v>
      </c>
      <c r="D1157">
        <v>9.2799999999999994</v>
      </c>
      <c r="E1157">
        <v>0.4693997989932</v>
      </c>
      <c r="F1157">
        <v>12</v>
      </c>
    </row>
    <row r="1158" spans="1:9" x14ac:dyDescent="0.25">
      <c r="A1158">
        <v>559.46153846154004</v>
      </c>
      <c r="B1158">
        <v>593.13017751479003</v>
      </c>
      <c r="C1158" s="1">
        <f t="shared" si="334"/>
        <v>6.0180435541351329E-2</v>
      </c>
      <c r="D1158">
        <v>9.36</v>
      </c>
      <c r="E1158">
        <v>0.47707172810264997</v>
      </c>
      <c r="F1158">
        <v>13</v>
      </c>
    </row>
    <row r="1159" spans="1:9" x14ac:dyDescent="0.25">
      <c r="A1159">
        <v>552.07100591716005</v>
      </c>
      <c r="B1159">
        <v>594.78106508874998</v>
      </c>
      <c r="C1159" s="1">
        <f t="shared" si="334"/>
        <v>7.736334405143297E-2</v>
      </c>
      <c r="D1159">
        <v>9.2676923076923003</v>
      </c>
      <c r="E1159">
        <v>0.47860953921348998</v>
      </c>
      <c r="F1159">
        <v>13</v>
      </c>
    </row>
    <row r="1160" spans="1:9" x14ac:dyDescent="0.25">
      <c r="A1160">
        <v>558.35502958580003</v>
      </c>
      <c r="B1160">
        <v>603.62130177513995</v>
      </c>
      <c r="C1160" s="1">
        <f t="shared" si="334"/>
        <v>8.107077001333618E-2</v>
      </c>
      <c r="D1160">
        <v>9.2984615384615008</v>
      </c>
      <c r="E1160">
        <v>0.47432286133285001</v>
      </c>
      <c r="F1160">
        <v>13</v>
      </c>
    </row>
    <row r="1161" spans="1:9" x14ac:dyDescent="0.25">
      <c r="A1161">
        <v>566.19526627219</v>
      </c>
      <c r="B1161">
        <v>599.01775147929004</v>
      </c>
      <c r="C1161" s="1">
        <f t="shared" si="334"/>
        <v>5.7970257192720975E-2</v>
      </c>
      <c r="D1161">
        <v>9.5261538461538002</v>
      </c>
      <c r="E1161">
        <v>0.48154823482211001</v>
      </c>
      <c r="F1161">
        <v>13</v>
      </c>
    </row>
    <row r="1162" spans="1:9" x14ac:dyDescent="0.25">
      <c r="A1162">
        <v>563.97633136094998</v>
      </c>
      <c r="B1162">
        <v>602.65088757395995</v>
      </c>
      <c r="C1162" s="1">
        <f t="shared" si="334"/>
        <v>6.8574785966076135E-2</v>
      </c>
      <c r="D1162">
        <v>9.4707692307692</v>
      </c>
      <c r="E1162">
        <v>0.47882954262281002</v>
      </c>
      <c r="F1162">
        <v>13</v>
      </c>
    </row>
    <row r="1163" spans="1:9" x14ac:dyDescent="0.25">
      <c r="A1163">
        <v>568.90532544379005</v>
      </c>
      <c r="B1163">
        <v>605.60355029585003</v>
      </c>
      <c r="C1163" s="1">
        <f t="shared" si="334"/>
        <v>6.4506734619565353E-2</v>
      </c>
      <c r="D1163">
        <v>9.5630769230769008</v>
      </c>
      <c r="E1163">
        <v>0.48023031037667002</v>
      </c>
      <c r="F1163">
        <v>13</v>
      </c>
    </row>
    <row r="1164" spans="1:9" x14ac:dyDescent="0.25">
      <c r="A1164">
        <v>556.59763313609005</v>
      </c>
      <c r="B1164">
        <v>604.44970414200998</v>
      </c>
      <c r="C1164" s="1">
        <f t="shared" si="334"/>
        <v>8.5972465848089374E-2</v>
      </c>
      <c r="D1164">
        <v>9.0030769230769003</v>
      </c>
      <c r="E1164">
        <v>0.45509938979547998</v>
      </c>
      <c r="F1164">
        <v>13</v>
      </c>
    </row>
    <row r="1165" spans="1:9" x14ac:dyDescent="0.25">
      <c r="A1165">
        <v>569.21301775148004</v>
      </c>
      <c r="B1165">
        <v>607.03550295857997</v>
      </c>
      <c r="C1165" s="1">
        <f t="shared" si="334"/>
        <v>6.6446978596004902E-2</v>
      </c>
      <c r="D1165">
        <v>9.4830769230769008</v>
      </c>
      <c r="E1165">
        <v>0.4734811447208</v>
      </c>
      <c r="F1165">
        <v>13</v>
      </c>
    </row>
    <row r="1166" spans="1:9" x14ac:dyDescent="0.25">
      <c r="A1166">
        <v>563.08875739644998</v>
      </c>
      <c r="B1166">
        <v>590.04733727810003</v>
      </c>
      <c r="C1166" s="1">
        <f t="shared" si="334"/>
        <v>4.7876253126235779E-2</v>
      </c>
      <c r="D1166">
        <v>9.3846153846153992</v>
      </c>
      <c r="E1166">
        <v>0.47462150251156998</v>
      </c>
      <c r="F1166">
        <v>13</v>
      </c>
    </row>
    <row r="1167" spans="1:9" x14ac:dyDescent="0.25">
      <c r="A1167">
        <v>555.77514792899001</v>
      </c>
      <c r="B1167">
        <v>582.40828402367003</v>
      </c>
      <c r="C1167" s="1">
        <f t="shared" si="334"/>
        <v>4.7920703532578379E-2</v>
      </c>
      <c r="D1167">
        <v>9.2123076923077001</v>
      </c>
      <c r="E1167">
        <v>0.47020886570156001</v>
      </c>
      <c r="F1167">
        <v>13</v>
      </c>
    </row>
    <row r="1168" spans="1:9" x14ac:dyDescent="0.25">
      <c r="A1168">
        <v>564.72189349112</v>
      </c>
      <c r="B1168">
        <v>606.94082840236001</v>
      </c>
      <c r="C1168" s="1">
        <f t="shared" si="334"/>
        <v>7.4760577547723361E-2</v>
      </c>
      <c r="D1168">
        <v>9.5015384615384999</v>
      </c>
      <c r="E1168">
        <v>0.48385362590508002</v>
      </c>
      <c r="F1168">
        <v>13</v>
      </c>
    </row>
    <row r="1169" spans="1:9" x14ac:dyDescent="0.25">
      <c r="A1169">
        <v>553.36686390532998</v>
      </c>
      <c r="B1169">
        <v>592.71005917159005</v>
      </c>
      <c r="C1169" s="1">
        <f t="shared" si="334"/>
        <v>7.1097851773413989E-2</v>
      </c>
      <c r="D1169">
        <v>9.1630769230769005</v>
      </c>
      <c r="E1169">
        <v>0.4721846255678</v>
      </c>
      <c r="F1169">
        <v>12</v>
      </c>
    </row>
    <row r="1170" spans="1:9" x14ac:dyDescent="0.25">
      <c r="A1170">
        <v>570.81065088756998</v>
      </c>
      <c r="B1170">
        <v>595.85798816568001</v>
      </c>
      <c r="C1170" s="1">
        <f t="shared" si="334"/>
        <v>4.3880290669354505E-2</v>
      </c>
      <c r="D1170">
        <v>9.2861538461538</v>
      </c>
      <c r="E1170">
        <v>0.45815106513460002</v>
      </c>
      <c r="F1170">
        <v>13</v>
      </c>
    </row>
    <row r="1171" spans="1:9" x14ac:dyDescent="0.25">
      <c r="A1171">
        <v>547.17159763313998</v>
      </c>
      <c r="B1171">
        <v>588.43786982248002</v>
      </c>
      <c r="C1171" s="1">
        <f t="shared" si="334"/>
        <v>7.5417423652547999E-2</v>
      </c>
      <c r="D1171">
        <v>8.8369230769230995</v>
      </c>
      <c r="E1171">
        <v>0.45148387807953</v>
      </c>
      <c r="F1171">
        <v>13</v>
      </c>
      <c r="H1171" t="s">
        <v>17</v>
      </c>
      <c r="I1171">
        <f t="shared" ref="I1171" si="337">STDEVP(A1157:A1176)</f>
        <v>6.7610178225712874</v>
      </c>
    </row>
    <row r="1172" spans="1:9" x14ac:dyDescent="0.25">
      <c r="A1172">
        <v>560.62721893491005</v>
      </c>
      <c r="B1172">
        <v>599.50887573963996</v>
      </c>
      <c r="C1172" s="1">
        <f t="shared" si="334"/>
        <v>6.9353851349918338E-2</v>
      </c>
      <c r="D1172">
        <v>9.5446153846153994</v>
      </c>
      <c r="E1172">
        <v>0.48955356964788999</v>
      </c>
      <c r="F1172">
        <v>14</v>
      </c>
      <c r="H1172" t="s">
        <v>18</v>
      </c>
      <c r="I1172">
        <f t="shared" ref="I1172" si="338">STDEVP(B1157:B1176)</f>
        <v>6.5406377472973354</v>
      </c>
    </row>
    <row r="1173" spans="1:9" x14ac:dyDescent="0.25">
      <c r="A1173">
        <v>556.55029585799002</v>
      </c>
      <c r="B1173">
        <v>601.95266272188996</v>
      </c>
      <c r="C1173" s="1">
        <f t="shared" si="334"/>
        <v>8.1578191947426104E-2</v>
      </c>
      <c r="D1173">
        <v>9.4646153846153993</v>
      </c>
      <c r="E1173">
        <v>0.48917749701312002</v>
      </c>
      <c r="F1173">
        <v>13</v>
      </c>
      <c r="H1173" t="s">
        <v>19</v>
      </c>
      <c r="I1173">
        <f t="shared" ref="I1173" si="339">STDEVP(C1157:C1176)</f>
        <v>1.3350668610999584E-2</v>
      </c>
    </row>
    <row r="1174" spans="1:9" x14ac:dyDescent="0.25">
      <c r="A1174">
        <v>573.42011834319999</v>
      </c>
      <c r="B1174">
        <v>596.54437869822004</v>
      </c>
      <c r="C1174" s="1">
        <f t="shared" si="334"/>
        <v>4.0326907995194894E-2</v>
      </c>
      <c r="D1174">
        <v>9.4338461538462006</v>
      </c>
      <c r="E1174">
        <v>0.46487607024186001</v>
      </c>
      <c r="F1174">
        <v>13</v>
      </c>
      <c r="H1174" t="s">
        <v>20</v>
      </c>
      <c r="I1174">
        <f t="shared" ref="I1174" si="340">STDEVP(D1157:D1176)</f>
        <v>0.18242703007442476</v>
      </c>
    </row>
    <row r="1175" spans="1:9" x14ac:dyDescent="0.25">
      <c r="A1175">
        <v>552.40828402367003</v>
      </c>
      <c r="B1175">
        <v>597.50295857987999</v>
      </c>
      <c r="C1175" s="1">
        <f t="shared" si="334"/>
        <v>8.1632871664679252E-2</v>
      </c>
      <c r="D1175">
        <v>9.3292307692308007</v>
      </c>
      <c r="E1175">
        <v>0.48398175350202</v>
      </c>
      <c r="F1175">
        <v>12</v>
      </c>
      <c r="H1175" t="s">
        <v>21</v>
      </c>
      <c r="I1175">
        <f t="shared" ref="I1175" si="341">STDEVP(E1157:E1176)</f>
        <v>1.0452194659097707E-2</v>
      </c>
    </row>
    <row r="1176" spans="1:9" x14ac:dyDescent="0.25">
      <c r="A1176">
        <v>560.99408284024003</v>
      </c>
      <c r="B1176">
        <v>604.40828402366003</v>
      </c>
      <c r="C1176" s="1">
        <f t="shared" si="334"/>
        <v>7.7387984136338073E-2</v>
      </c>
      <c r="D1176">
        <v>9.1876923076923003</v>
      </c>
      <c r="E1176">
        <v>0.46243029587640999</v>
      </c>
      <c r="F1176">
        <v>13</v>
      </c>
      <c r="H1176" t="s">
        <v>22</v>
      </c>
      <c r="I1176">
        <f t="shared" ref="I1176" si="342">STDEVP(F1157:F1176)</f>
        <v>0.43588989435406728</v>
      </c>
    </row>
    <row r="1177" spans="1:9" x14ac:dyDescent="0.25">
      <c r="C1177" s="1" t="str">
        <f t="shared" si="334"/>
        <v/>
      </c>
    </row>
    <row r="1178" spans="1:9" x14ac:dyDescent="0.25">
      <c r="A1178">
        <v>1225.850062474</v>
      </c>
      <c r="B1178">
        <v>1273.5868388171</v>
      </c>
      <c r="C1178" s="1">
        <f t="shared" si="334"/>
        <v>3.8941774205858426E-2</v>
      </c>
      <c r="D1178">
        <v>12.700680272109</v>
      </c>
      <c r="E1178">
        <v>0.2551223850148</v>
      </c>
      <c r="F1178">
        <v>26</v>
      </c>
    </row>
    <row r="1179" spans="1:9" x14ac:dyDescent="0.25">
      <c r="A1179">
        <v>1216.2923781758</v>
      </c>
      <c r="B1179">
        <v>1263.6251561849001</v>
      </c>
      <c r="C1179" s="1">
        <f t="shared" si="334"/>
        <v>3.8915624942162275E-2</v>
      </c>
      <c r="D1179">
        <v>13.100340136053999</v>
      </c>
      <c r="E1179">
        <v>0.26779183939180001</v>
      </c>
      <c r="F1179">
        <v>26</v>
      </c>
    </row>
    <row r="1180" spans="1:9" x14ac:dyDescent="0.25">
      <c r="A1180">
        <v>1206.1307788422</v>
      </c>
      <c r="B1180">
        <v>1258.8238234068999</v>
      </c>
      <c r="C1180" s="1">
        <f t="shared" si="334"/>
        <v>4.3687670930080635E-2</v>
      </c>
      <c r="D1180">
        <v>12.812925170068</v>
      </c>
      <c r="E1180">
        <v>0.26334883568196998</v>
      </c>
      <c r="F1180">
        <v>27</v>
      </c>
    </row>
    <row r="1181" spans="1:9" x14ac:dyDescent="0.25">
      <c r="A1181">
        <v>1225.7526030821</v>
      </c>
      <c r="B1181">
        <v>1272.3915035401999</v>
      </c>
      <c r="C1181" s="1">
        <f t="shared" si="334"/>
        <v>3.8049195523491841E-2</v>
      </c>
      <c r="D1181">
        <v>13.139455782313</v>
      </c>
      <c r="E1181">
        <v>0.26640494631916001</v>
      </c>
      <c r="F1181">
        <v>26</v>
      </c>
    </row>
    <row r="1182" spans="1:9" x14ac:dyDescent="0.25">
      <c r="A1182">
        <v>1229.266972095</v>
      </c>
      <c r="B1182">
        <v>1271.3427738442001</v>
      </c>
      <c r="C1182" s="1">
        <f t="shared" si="334"/>
        <v>3.4228367559157258E-2</v>
      </c>
      <c r="D1182">
        <v>13.045918367346999</v>
      </c>
      <c r="E1182">
        <v>0.26310695763243003</v>
      </c>
      <c r="F1182">
        <v>26</v>
      </c>
    </row>
    <row r="1183" spans="1:9" x14ac:dyDescent="0.25">
      <c r="A1183">
        <v>1226.7072053311001</v>
      </c>
      <c r="B1183">
        <v>1274.7205331112</v>
      </c>
      <c r="C1183" s="1">
        <f t="shared" si="334"/>
        <v>3.9140006328682642E-2</v>
      </c>
      <c r="D1183">
        <v>12.950680272109</v>
      </c>
      <c r="E1183">
        <v>0.26118364793832999</v>
      </c>
      <c r="F1183">
        <v>26</v>
      </c>
    </row>
    <row r="1184" spans="1:9" x14ac:dyDescent="0.25">
      <c r="A1184">
        <v>1217.8450645564001</v>
      </c>
      <c r="B1184">
        <v>1270.2957101207001</v>
      </c>
      <c r="C1184" s="1">
        <f t="shared" si="334"/>
        <v>4.3068405900552831E-2</v>
      </c>
      <c r="D1184">
        <v>12.729591836735</v>
      </c>
      <c r="E1184">
        <v>0.25796468779831999</v>
      </c>
      <c r="F1184">
        <v>26</v>
      </c>
    </row>
    <row r="1185" spans="1:9" x14ac:dyDescent="0.25">
      <c r="A1185">
        <v>1222.0374843815</v>
      </c>
      <c r="B1185">
        <v>1262.4339858392</v>
      </c>
      <c r="C1185" s="1">
        <f t="shared" si="334"/>
        <v>3.3056679499602781E-2</v>
      </c>
      <c r="D1185">
        <v>12.824829931972999</v>
      </c>
      <c r="E1185">
        <v>0.25944882888191001</v>
      </c>
      <c r="F1185">
        <v>26</v>
      </c>
    </row>
    <row r="1186" spans="1:9" x14ac:dyDescent="0.25">
      <c r="A1186">
        <v>1232.3406913786</v>
      </c>
      <c r="B1186">
        <v>1270.1857559350001</v>
      </c>
      <c r="C1186" s="1">
        <f t="shared" si="334"/>
        <v>3.0709904185719505E-2</v>
      </c>
      <c r="D1186">
        <v>13.348639455781999</v>
      </c>
      <c r="E1186">
        <v>0.26993843221079</v>
      </c>
      <c r="F1186">
        <v>27</v>
      </c>
    </row>
    <row r="1187" spans="1:9" x14ac:dyDescent="0.25">
      <c r="A1187">
        <v>1221.5493544357</v>
      </c>
      <c r="B1187">
        <v>1261.8009162849</v>
      </c>
      <c r="C1187" s="1">
        <f t="shared" si="334"/>
        <v>3.2951236643069981E-2</v>
      </c>
      <c r="D1187">
        <v>12.870748299320001</v>
      </c>
      <c r="E1187">
        <v>0.26058503881612</v>
      </c>
      <c r="F1187">
        <v>26</v>
      </c>
    </row>
    <row r="1188" spans="1:9" x14ac:dyDescent="0.25">
      <c r="A1188">
        <v>1229.3477717618</v>
      </c>
      <c r="B1188">
        <v>1267.3869221158</v>
      </c>
      <c r="C1188" s="1">
        <f t="shared" si="334"/>
        <v>3.0942546306067076E-2</v>
      </c>
      <c r="D1188">
        <v>12.897959183673001</v>
      </c>
      <c r="E1188">
        <v>0.25920188594339999</v>
      </c>
      <c r="F1188">
        <v>27</v>
      </c>
    </row>
    <row r="1189" spans="1:9" x14ac:dyDescent="0.25">
      <c r="A1189">
        <v>1218.4939608495999</v>
      </c>
      <c r="B1189">
        <v>1262.7813411078</v>
      </c>
      <c r="C1189" s="1">
        <f t="shared" si="334"/>
        <v>3.6345998980019889E-2</v>
      </c>
      <c r="D1189">
        <v>12.989795918366999</v>
      </c>
      <c r="E1189">
        <v>0.26445080791476</v>
      </c>
      <c r="F1189">
        <v>27</v>
      </c>
    </row>
    <row r="1190" spans="1:9" x14ac:dyDescent="0.25">
      <c r="A1190">
        <v>1225.2927946688999</v>
      </c>
      <c r="B1190">
        <v>1276.7413577676</v>
      </c>
      <c r="C1190" s="1">
        <f t="shared" si="334"/>
        <v>4.1988791024109906E-2</v>
      </c>
      <c r="D1190">
        <v>13.215986394558</v>
      </c>
      <c r="E1190">
        <v>0.26830062486929002</v>
      </c>
      <c r="F1190">
        <v>26</v>
      </c>
    </row>
    <row r="1191" spans="1:9" x14ac:dyDescent="0.25">
      <c r="A1191">
        <v>1224.0149937526</v>
      </c>
      <c r="B1191">
        <v>1280.7655143689999</v>
      </c>
      <c r="C1191" s="1">
        <f t="shared" si="334"/>
        <v>4.6364236472637765E-2</v>
      </c>
      <c r="D1191">
        <v>13.079931972789</v>
      </c>
      <c r="E1191">
        <v>0.26539397053579999</v>
      </c>
      <c r="F1191">
        <v>27</v>
      </c>
    </row>
    <row r="1192" spans="1:9" x14ac:dyDescent="0.25">
      <c r="A1192">
        <v>1212.4106622241</v>
      </c>
      <c r="B1192">
        <v>1254.5805914202001</v>
      </c>
      <c r="C1192" s="1">
        <f t="shared" si="334"/>
        <v>3.4781885799933354E-2</v>
      </c>
      <c r="D1192">
        <v>12.94387755102</v>
      </c>
      <c r="E1192">
        <v>0.26485913833390001</v>
      </c>
      <c r="F1192">
        <v>26</v>
      </c>
      <c r="H1192" t="s">
        <v>17</v>
      </c>
      <c r="I1192">
        <f t="shared" ref="I1192" si="343">STDEVP(A1178:A1197)</f>
        <v>6.4532420650676361</v>
      </c>
    </row>
    <row r="1193" spans="1:9" x14ac:dyDescent="0.25">
      <c r="A1193">
        <v>1222.2165764265001</v>
      </c>
      <c r="B1193">
        <v>1265.9550187422001</v>
      </c>
      <c r="C1193" s="1">
        <f t="shared" si="334"/>
        <v>3.5786163564874851E-2</v>
      </c>
      <c r="D1193">
        <v>12.969387755102</v>
      </c>
      <c r="E1193">
        <v>0.26288681780621997</v>
      </c>
      <c r="F1193">
        <v>26</v>
      </c>
      <c r="H1193" t="s">
        <v>18</v>
      </c>
      <c r="I1193">
        <f t="shared" ref="I1193" si="344">STDEVP(B1178:B1197)</f>
        <v>6.9210507207053809</v>
      </c>
    </row>
    <row r="1194" spans="1:9" x14ac:dyDescent="0.25">
      <c r="A1194">
        <v>1219.5935027072001</v>
      </c>
      <c r="B1194">
        <v>1265.8558933777001</v>
      </c>
      <c r="C1194" s="1">
        <f t="shared" si="334"/>
        <v>3.7932631297074693E-2</v>
      </c>
      <c r="D1194">
        <v>12.879251700679999</v>
      </c>
      <c r="E1194">
        <v>0.26167876495155001</v>
      </c>
      <c r="F1194">
        <v>26</v>
      </c>
      <c r="H1194" t="s">
        <v>19</v>
      </c>
      <c r="I1194">
        <f t="shared" ref="I1194" si="345">STDEVP(C1178:C1197)</f>
        <v>4.5324802465835125E-3</v>
      </c>
    </row>
    <row r="1195" spans="1:9" x14ac:dyDescent="0.25">
      <c r="A1195">
        <v>1221.6942940440999</v>
      </c>
      <c r="B1195">
        <v>1270.0208246564</v>
      </c>
      <c r="C1195" s="1">
        <f t="shared" si="334"/>
        <v>3.9556974971478143E-2</v>
      </c>
      <c r="D1195">
        <v>12.948979591837</v>
      </c>
      <c r="E1195">
        <v>0.26267717197168999</v>
      </c>
      <c r="F1195">
        <v>26</v>
      </c>
      <c r="H1195" t="s">
        <v>20</v>
      </c>
      <c r="I1195">
        <f t="shared" ref="I1195" si="346">STDEVP(D1178:D1197)</f>
        <v>0.16905692206015627</v>
      </c>
    </row>
    <row r="1196" spans="1:9" x14ac:dyDescent="0.25">
      <c r="A1196">
        <v>1231.5043731778001</v>
      </c>
      <c r="B1196">
        <v>1268.7771761766001</v>
      </c>
      <c r="C1196" s="1">
        <f t="shared" si="334"/>
        <v>3.0266074413215716E-2</v>
      </c>
      <c r="D1196">
        <v>13.297619047618999</v>
      </c>
      <c r="E1196">
        <v>0.26891047742365998</v>
      </c>
      <c r="F1196">
        <v>27</v>
      </c>
      <c r="H1196" t="s">
        <v>21</v>
      </c>
      <c r="I1196">
        <f t="shared" ref="I1196" si="347">STDEVP(E1178:E1197)</f>
        <v>3.7532104237854628E-3</v>
      </c>
    </row>
    <row r="1197" spans="1:9" x14ac:dyDescent="0.25">
      <c r="A1197">
        <v>1230.2515618492</v>
      </c>
      <c r="B1197">
        <v>1282.7955018742</v>
      </c>
      <c r="C1197" s="1">
        <f t="shared" si="334"/>
        <v>4.2709915316848646E-2</v>
      </c>
      <c r="D1197">
        <v>13.017006802720999</v>
      </c>
      <c r="E1197">
        <v>0.26220693185755001</v>
      </c>
      <c r="F1197">
        <v>26</v>
      </c>
      <c r="H1197" t="s">
        <v>22</v>
      </c>
      <c r="I1197">
        <f t="shared" ref="I1197" si="348">STDEVP(F1178:F1197)</f>
        <v>0.45825756949558405</v>
      </c>
    </row>
    <row r="1198" spans="1:9" x14ac:dyDescent="0.25">
      <c r="C1198" s="1" t="str">
        <f t="shared" si="334"/>
        <v/>
      </c>
    </row>
    <row r="1199" spans="1:9" x14ac:dyDescent="0.25">
      <c r="A1199">
        <v>563.14497041419997</v>
      </c>
      <c r="B1199">
        <v>582.07100591715005</v>
      </c>
      <c r="C1199" s="1">
        <f t="shared" si="334"/>
        <v>3.3607750219325938E-2</v>
      </c>
      <c r="D1199">
        <v>8.8642533936651997</v>
      </c>
      <c r="E1199">
        <v>0.44832772130016002</v>
      </c>
      <c r="F1199">
        <v>10</v>
      </c>
    </row>
    <row r="1200" spans="1:9" x14ac:dyDescent="0.25">
      <c r="A1200">
        <v>547.84911242604005</v>
      </c>
      <c r="B1200">
        <v>575.98520710058006</v>
      </c>
      <c r="C1200" s="1">
        <f t="shared" si="334"/>
        <v>5.1357379315528862E-2</v>
      </c>
      <c r="D1200">
        <v>8.6138763197587007</v>
      </c>
      <c r="E1200">
        <v>0.44727740388898002</v>
      </c>
      <c r="F1200">
        <v>11</v>
      </c>
    </row>
    <row r="1201" spans="1:9" x14ac:dyDescent="0.25">
      <c r="A1201">
        <v>560.35207100592004</v>
      </c>
      <c r="B1201">
        <v>578.25147928992999</v>
      </c>
      <c r="C1201" s="1">
        <f t="shared" si="334"/>
        <v>3.1943146479101348E-2</v>
      </c>
      <c r="D1201">
        <v>8.6787330316742004</v>
      </c>
      <c r="E1201">
        <v>0.43753242732755998</v>
      </c>
      <c r="F1201">
        <v>11</v>
      </c>
    </row>
    <row r="1202" spans="1:9" x14ac:dyDescent="0.25">
      <c r="A1202">
        <v>549.80473372781</v>
      </c>
      <c r="B1202">
        <v>579.53254437868998</v>
      </c>
      <c r="C1202" s="1">
        <f t="shared" si="334"/>
        <v>5.4069761184699416E-2</v>
      </c>
      <c r="D1202">
        <v>8.7390648567119005</v>
      </c>
      <c r="E1202">
        <v>0.45428237198980997</v>
      </c>
      <c r="F1202">
        <v>11</v>
      </c>
    </row>
    <row r="1203" spans="1:9" x14ac:dyDescent="0.25">
      <c r="A1203">
        <v>556.14201183431999</v>
      </c>
      <c r="B1203">
        <v>578.61834319525997</v>
      </c>
      <c r="C1203" s="1">
        <f t="shared" si="334"/>
        <v>4.0414733795791413E-2</v>
      </c>
      <c r="D1203">
        <v>8.8386123680240996</v>
      </c>
      <c r="E1203">
        <v>0.45393102500031002</v>
      </c>
      <c r="F1203">
        <v>10</v>
      </c>
    </row>
    <row r="1204" spans="1:9" x14ac:dyDescent="0.25">
      <c r="A1204">
        <v>553.74260355030003</v>
      </c>
      <c r="B1204">
        <v>578.3047337278</v>
      </c>
      <c r="C1204" s="1">
        <f t="shared" si="334"/>
        <v>4.4356583762962698E-2</v>
      </c>
      <c r="D1204">
        <v>8.5731523378582004</v>
      </c>
      <c r="E1204">
        <v>0.43686092606517002</v>
      </c>
      <c r="F1204">
        <v>11</v>
      </c>
    </row>
    <row r="1205" spans="1:9" x14ac:dyDescent="0.25">
      <c r="A1205">
        <v>560.89053254437999</v>
      </c>
      <c r="B1205">
        <v>584.07396449703003</v>
      </c>
      <c r="C1205" s="1">
        <f t="shared" si="334"/>
        <v>4.1333255969721039E-2</v>
      </c>
      <c r="D1205">
        <v>8.8355957767722</v>
      </c>
      <c r="E1205">
        <v>0.44781521582699002</v>
      </c>
      <c r="F1205">
        <v>11</v>
      </c>
    </row>
    <row r="1206" spans="1:9" x14ac:dyDescent="0.25">
      <c r="A1206">
        <v>561.77810650888</v>
      </c>
      <c r="B1206">
        <v>585.93491124260004</v>
      </c>
      <c r="C1206" s="1">
        <f t="shared" si="334"/>
        <v>4.300061617537998E-2</v>
      </c>
      <c r="D1206">
        <v>8.8612368024133001</v>
      </c>
      <c r="E1206">
        <v>0.44956901187031001</v>
      </c>
      <c r="F1206">
        <v>11</v>
      </c>
    </row>
    <row r="1207" spans="1:9" x14ac:dyDescent="0.25">
      <c r="A1207">
        <v>558.13313609468003</v>
      </c>
      <c r="B1207">
        <v>582.52071005917003</v>
      </c>
      <c r="C1207" s="1">
        <f t="shared" si="334"/>
        <v>4.3694904293145154E-2</v>
      </c>
      <c r="D1207">
        <v>8.7224736048265008</v>
      </c>
      <c r="E1207">
        <v>0.44349910523358999</v>
      </c>
      <c r="F1207">
        <v>11</v>
      </c>
    </row>
    <row r="1208" spans="1:9" x14ac:dyDescent="0.25">
      <c r="A1208">
        <v>547.24556213018002</v>
      </c>
      <c r="B1208">
        <v>569.47633136093998</v>
      </c>
      <c r="C1208" s="1">
        <f t="shared" si="334"/>
        <v>4.0623023317403639E-2</v>
      </c>
      <c r="D1208">
        <v>8.5987933634991993</v>
      </c>
      <c r="E1208">
        <v>0.44688353032916001</v>
      </c>
      <c r="F1208">
        <v>10</v>
      </c>
    </row>
    <row r="1209" spans="1:9" x14ac:dyDescent="0.25">
      <c r="A1209">
        <v>558.06804733727995</v>
      </c>
      <c r="B1209">
        <v>577.33136094674001</v>
      </c>
      <c r="C1209" s="1">
        <f t="shared" si="334"/>
        <v>3.4517857994865508E-2</v>
      </c>
      <c r="D1209">
        <v>8.6681749622925999</v>
      </c>
      <c r="E1209">
        <v>0.43916126696871999</v>
      </c>
      <c r="F1209">
        <v>11</v>
      </c>
    </row>
    <row r="1210" spans="1:9" x14ac:dyDescent="0.25">
      <c r="A1210">
        <v>546.43786982249003</v>
      </c>
      <c r="B1210">
        <v>570.77218934911002</v>
      </c>
      <c r="C1210" s="1">
        <f t="shared" si="334"/>
        <v>4.4532637414981924E-2</v>
      </c>
      <c r="D1210">
        <v>8.8144796380090007</v>
      </c>
      <c r="E1210">
        <v>0.46455643712021999</v>
      </c>
      <c r="F1210">
        <v>11</v>
      </c>
    </row>
    <row r="1211" spans="1:9" x14ac:dyDescent="0.25">
      <c r="A1211">
        <v>558.69526627219</v>
      </c>
      <c r="B1211">
        <v>587.79585798816004</v>
      </c>
      <c r="C1211" s="1">
        <f t="shared" si="334"/>
        <v>5.20866981926289E-2</v>
      </c>
      <c r="D1211">
        <v>8.7315233785821995</v>
      </c>
      <c r="E1211">
        <v>0.44366889105802998</v>
      </c>
      <c r="F1211">
        <v>11</v>
      </c>
    </row>
    <row r="1212" spans="1:9" x14ac:dyDescent="0.25">
      <c r="A1212">
        <v>554.17455621301997</v>
      </c>
      <c r="B1212">
        <v>575.85207100591003</v>
      </c>
      <c r="C1212" s="1">
        <f t="shared" si="334"/>
        <v>3.9116763030450974E-2</v>
      </c>
      <c r="D1212">
        <v>8.8461538461538005</v>
      </c>
      <c r="E1212">
        <v>0.45728100557992002</v>
      </c>
      <c r="F1212">
        <v>11</v>
      </c>
    </row>
    <row r="1213" spans="1:9" x14ac:dyDescent="0.25">
      <c r="A1213">
        <v>552.42307692307998</v>
      </c>
      <c r="B1213">
        <v>577.46449704141003</v>
      </c>
      <c r="C1213" s="1">
        <f t="shared" si="334"/>
        <v>4.5330148511911084E-2</v>
      </c>
      <c r="D1213">
        <v>8.7450980392156996</v>
      </c>
      <c r="E1213">
        <v>0.45178670533817999</v>
      </c>
      <c r="F1213">
        <v>10</v>
      </c>
      <c r="H1213" t="s">
        <v>17</v>
      </c>
      <c r="I1213">
        <f t="shared" ref="I1213" si="349">STDEVP(A1199:A1218)</f>
        <v>5.0723653094272487</v>
      </c>
    </row>
    <row r="1214" spans="1:9" x14ac:dyDescent="0.25">
      <c r="A1214">
        <v>553.94674556212999</v>
      </c>
      <c r="B1214">
        <v>578.53550295856996</v>
      </c>
      <c r="C1214" s="1">
        <f t="shared" si="334"/>
        <v>4.4388305542779172E-2</v>
      </c>
      <c r="D1214">
        <v>8.8325791855203999</v>
      </c>
      <c r="E1214">
        <v>0.45663879472583002</v>
      </c>
      <c r="F1214">
        <v>11</v>
      </c>
      <c r="H1214" t="s">
        <v>18</v>
      </c>
      <c r="I1214">
        <f t="shared" ref="I1214" si="350">STDEVP(B1199:B1218)</f>
        <v>4.6289921257068318</v>
      </c>
    </row>
    <row r="1215" spans="1:9" x14ac:dyDescent="0.25">
      <c r="A1215">
        <v>560.43491124260004</v>
      </c>
      <c r="B1215">
        <v>582.29289940828005</v>
      </c>
      <c r="C1215" s="1">
        <f t="shared" si="334"/>
        <v>3.9001831840233425E-2</v>
      </c>
      <c r="D1215">
        <v>8.8084464555052993</v>
      </c>
      <c r="E1215">
        <v>0.44687494298988001</v>
      </c>
      <c r="F1215">
        <v>11</v>
      </c>
      <c r="H1215" t="s">
        <v>19</v>
      </c>
      <c r="I1215">
        <f t="shared" ref="I1215" si="351">STDEVP(C1199:C1218)</f>
        <v>5.7012843731676748E-3</v>
      </c>
    </row>
    <row r="1216" spans="1:9" x14ac:dyDescent="0.25">
      <c r="A1216">
        <v>560.71301775148004</v>
      </c>
      <c r="B1216">
        <v>584.64201183430998</v>
      </c>
      <c r="C1216" s="1">
        <f t="shared" si="334"/>
        <v>4.2676009518715752E-2</v>
      </c>
      <c r="D1216">
        <v>8.8069381598792997</v>
      </c>
      <c r="E1216">
        <v>0.44735860508137998</v>
      </c>
      <c r="F1216">
        <v>11</v>
      </c>
      <c r="H1216" t="s">
        <v>20</v>
      </c>
      <c r="I1216">
        <f t="shared" ref="I1216" si="352">STDEVP(D1199:D1218)</f>
        <v>9.3788946261085832E-2</v>
      </c>
    </row>
    <row r="1217" spans="1:9" x14ac:dyDescent="0.25">
      <c r="A1217">
        <v>559.78106508875999</v>
      </c>
      <c r="B1217">
        <v>580.34023668637997</v>
      </c>
      <c r="C1217" s="1">
        <f t="shared" si="334"/>
        <v>3.6727165100448822E-2</v>
      </c>
      <c r="D1217">
        <v>8.9064856711916001</v>
      </c>
      <c r="E1217">
        <v>0.45474540460085999</v>
      </c>
      <c r="F1217">
        <v>10</v>
      </c>
      <c r="H1217" t="s">
        <v>21</v>
      </c>
      <c r="I1217">
        <f t="shared" ref="I1217" si="353">STDEVP(E1199:E1218)</f>
        <v>6.7684119314245453E-3</v>
      </c>
    </row>
    <row r="1218" spans="1:9" x14ac:dyDescent="0.25">
      <c r="A1218">
        <v>551.79881656805003</v>
      </c>
      <c r="B1218">
        <v>573.76035502957996</v>
      </c>
      <c r="C1218" s="1">
        <f t="shared" ref="C1218:C1281" si="354">IFERROR((B1218/A1218)-1,"")</f>
        <v>3.9799901344698796E-2</v>
      </c>
      <c r="D1218">
        <v>8.7269984917043999</v>
      </c>
      <c r="E1218">
        <v>0.45078686115656003</v>
      </c>
      <c r="F1218">
        <v>11</v>
      </c>
      <c r="H1218" t="s">
        <v>22</v>
      </c>
      <c r="I1218">
        <f t="shared" ref="I1218" si="355">STDEVP(F1199:F1218)</f>
        <v>0.4330127018922193</v>
      </c>
    </row>
    <row r="1219" spans="1:9" x14ac:dyDescent="0.25">
      <c r="C1219" s="1" t="str">
        <f t="shared" si="354"/>
        <v/>
      </c>
    </row>
    <row r="1220" spans="1:9" x14ac:dyDescent="0.25">
      <c r="A1220">
        <v>1185.7727707514</v>
      </c>
      <c r="B1220">
        <v>1210.8251673929001</v>
      </c>
      <c r="C1220" s="1">
        <f t="shared" si="354"/>
        <v>2.1127485180507888E-2</v>
      </c>
      <c r="D1220">
        <v>16.277061855669999</v>
      </c>
      <c r="E1220">
        <v>0.37437816957122</v>
      </c>
      <c r="F1220">
        <v>30</v>
      </c>
    </row>
    <row r="1221" spans="1:9" x14ac:dyDescent="0.25">
      <c r="A1221">
        <v>1181.3614624295999</v>
      </c>
      <c r="B1221">
        <v>1211.9632266978999</v>
      </c>
      <c r="C1221" s="1">
        <f t="shared" si="354"/>
        <v>2.5903811188629833E-2</v>
      </c>
      <c r="D1221">
        <v>16.146907216494998</v>
      </c>
      <c r="E1221">
        <v>0.37274825854636001</v>
      </c>
      <c r="F1221">
        <v>31</v>
      </c>
    </row>
    <row r="1222" spans="1:9" x14ac:dyDescent="0.25">
      <c r="A1222">
        <v>1172.3201190350001</v>
      </c>
      <c r="B1222">
        <v>1198.5924115209</v>
      </c>
      <c r="C1222" s="1">
        <f t="shared" si="354"/>
        <v>2.2410510627017155E-2</v>
      </c>
      <c r="D1222">
        <v>16.080756013746001</v>
      </c>
      <c r="E1222">
        <v>0.37339064944591999</v>
      </c>
      <c r="F1222">
        <v>31</v>
      </c>
    </row>
    <row r="1223" spans="1:9" x14ac:dyDescent="0.25">
      <c r="A1223">
        <v>1184.8819215645001</v>
      </c>
      <c r="B1223">
        <v>1212.0235944308999</v>
      </c>
      <c r="C1223" s="1">
        <f t="shared" si="354"/>
        <v>2.2906647803827118E-2</v>
      </c>
      <c r="D1223">
        <v>15.964347079037999</v>
      </c>
      <c r="E1223">
        <v>0.36453171572857002</v>
      </c>
      <c r="F1223">
        <v>31</v>
      </c>
    </row>
    <row r="1224" spans="1:9" x14ac:dyDescent="0.25">
      <c r="A1224">
        <v>1181.4870868318001</v>
      </c>
      <c r="B1224">
        <v>1206.3445637156001</v>
      </c>
      <c r="C1224" s="1">
        <f t="shared" si="354"/>
        <v>2.1039143940587923E-2</v>
      </c>
      <c r="D1224">
        <v>16.170962199312999</v>
      </c>
      <c r="E1224">
        <v>0.37269490403248001</v>
      </c>
      <c r="F1224">
        <v>31</v>
      </c>
    </row>
    <row r="1225" spans="1:9" x14ac:dyDescent="0.25">
      <c r="A1225">
        <v>1185.2632585822</v>
      </c>
      <c r="B1225">
        <v>1209.0985226911</v>
      </c>
      <c r="C1225" s="1">
        <f t="shared" si="354"/>
        <v>2.0109679378243372E-2</v>
      </c>
      <c r="D1225">
        <v>16.148195876289002</v>
      </c>
      <c r="E1225">
        <v>0.37059955443561998</v>
      </c>
      <c r="F1225">
        <v>31</v>
      </c>
    </row>
    <row r="1226" spans="1:9" x14ac:dyDescent="0.25">
      <c r="A1226">
        <v>1177.6947603358001</v>
      </c>
      <c r="B1226">
        <v>1205.2260601552</v>
      </c>
      <c r="C1226" s="1">
        <f t="shared" si="354"/>
        <v>2.3377279704929421E-2</v>
      </c>
      <c r="D1226">
        <v>16.013745704466999</v>
      </c>
      <c r="E1226">
        <v>0.36927398087752999</v>
      </c>
      <c r="F1226">
        <v>31</v>
      </c>
    </row>
    <row r="1227" spans="1:9" x14ac:dyDescent="0.25">
      <c r="A1227">
        <v>1180.4842172388001</v>
      </c>
      <c r="B1227">
        <v>1208.5301307259001</v>
      </c>
      <c r="C1227" s="1">
        <f t="shared" si="354"/>
        <v>2.3757974124127168E-2</v>
      </c>
      <c r="D1227">
        <v>16.009879725086002</v>
      </c>
      <c r="E1227">
        <v>0.36817865774295</v>
      </c>
      <c r="F1227">
        <v>31</v>
      </c>
    </row>
    <row r="1228" spans="1:9" x14ac:dyDescent="0.25">
      <c r="A1228">
        <v>1181.3733659262</v>
      </c>
      <c r="B1228">
        <v>1212.6778616219001</v>
      </c>
      <c r="C1228" s="1">
        <f t="shared" si="354"/>
        <v>2.6498392970927709E-2</v>
      </c>
      <c r="D1228">
        <v>16.097508591065001</v>
      </c>
      <c r="E1228">
        <v>0.37038403122051999</v>
      </c>
      <c r="F1228">
        <v>31</v>
      </c>
    </row>
    <row r="1229" spans="1:9" x14ac:dyDescent="0.25">
      <c r="A1229">
        <v>1181.1618662982</v>
      </c>
      <c r="B1229">
        <v>1207.3593368052</v>
      </c>
      <c r="C1229" s="1">
        <f t="shared" si="354"/>
        <v>2.2179407627765491E-2</v>
      </c>
      <c r="D1229">
        <v>16.039948453608002</v>
      </c>
      <c r="E1229">
        <v>0.36869359787220002</v>
      </c>
      <c r="F1229">
        <v>31</v>
      </c>
    </row>
    <row r="1230" spans="1:9" x14ac:dyDescent="0.25">
      <c r="A1230">
        <v>1180.6629822509999</v>
      </c>
      <c r="B1230">
        <v>1211.2792007651999</v>
      </c>
      <c r="C1230" s="1">
        <f t="shared" si="354"/>
        <v>2.5931378364915325E-2</v>
      </c>
      <c r="D1230">
        <v>16.067869415808001</v>
      </c>
      <c r="E1230">
        <v>0.37009734200546002</v>
      </c>
      <c r="F1230">
        <v>31</v>
      </c>
    </row>
    <row r="1231" spans="1:9" x14ac:dyDescent="0.25">
      <c r="A1231">
        <v>1174.0688702305999</v>
      </c>
      <c r="B1231">
        <v>1205.2494420236001</v>
      </c>
      <c r="C1231" s="1">
        <f t="shared" si="354"/>
        <v>2.6557702519508952E-2</v>
      </c>
      <c r="D1231">
        <v>16.199312714777001</v>
      </c>
      <c r="E1231">
        <v>0.37667890317776997</v>
      </c>
      <c r="F1231">
        <v>31</v>
      </c>
    </row>
    <row r="1232" spans="1:9" x14ac:dyDescent="0.25">
      <c r="A1232">
        <v>1174.9694972898001</v>
      </c>
      <c r="B1232">
        <v>1202.1974705069999</v>
      </c>
      <c r="C1232" s="1">
        <f t="shared" si="354"/>
        <v>2.3173344737888346E-2</v>
      </c>
      <c r="D1232">
        <v>16.056271477663</v>
      </c>
      <c r="E1232">
        <v>0.37181697362458999</v>
      </c>
      <c r="F1232">
        <v>31</v>
      </c>
    </row>
    <row r="1233" spans="1:9" x14ac:dyDescent="0.25">
      <c r="A1233">
        <v>1179.6720161547</v>
      </c>
      <c r="B1233">
        <v>1204.2763311722999</v>
      </c>
      <c r="C1233" s="1">
        <f t="shared" si="354"/>
        <v>2.0856911650579679E-2</v>
      </c>
      <c r="D1233">
        <v>16.107388316150999</v>
      </c>
      <c r="E1233">
        <v>0.37146662872703001</v>
      </c>
      <c r="F1233">
        <v>32</v>
      </c>
    </row>
    <row r="1234" spans="1:9" x14ac:dyDescent="0.25">
      <c r="A1234">
        <v>1175.3499840577999</v>
      </c>
      <c r="B1234">
        <v>1203.9477096397</v>
      </c>
      <c r="C1234" s="1">
        <f t="shared" si="354"/>
        <v>2.4331242582884771E-2</v>
      </c>
      <c r="D1234">
        <v>16.002577319587999</v>
      </c>
      <c r="E1234">
        <v>0.36999866109663998</v>
      </c>
      <c r="F1234">
        <v>30</v>
      </c>
      <c r="H1234" t="s">
        <v>17</v>
      </c>
      <c r="I1234">
        <f t="shared" ref="I1234" si="356">STDEVP(A1220:A1239)</f>
        <v>3.9770731589617005</v>
      </c>
    </row>
    <row r="1235" spans="1:9" x14ac:dyDescent="0.25">
      <c r="A1235">
        <v>1179.8089063662001</v>
      </c>
      <c r="B1235">
        <v>1206.8525879476999</v>
      </c>
      <c r="C1235" s="1">
        <f t="shared" si="354"/>
        <v>2.2922086310395828E-2</v>
      </c>
      <c r="D1235">
        <v>16.143470790378</v>
      </c>
      <c r="E1235">
        <v>0.37276286817934001</v>
      </c>
      <c r="F1235">
        <v>31</v>
      </c>
      <c r="H1235" t="s">
        <v>18</v>
      </c>
      <c r="I1235">
        <f t="shared" ref="I1235" si="357">STDEVP(B1220:B1239)</f>
        <v>3.5405825491563916</v>
      </c>
    </row>
    <row r="1236" spans="1:9" x14ac:dyDescent="0.25">
      <c r="A1236">
        <v>1176.8336698905</v>
      </c>
      <c r="B1236">
        <v>1206.1947071953</v>
      </c>
      <c r="C1236" s="1">
        <f t="shared" si="354"/>
        <v>2.4949181907356399E-2</v>
      </c>
      <c r="D1236">
        <v>16.098367697594</v>
      </c>
      <c r="E1236">
        <v>0.37242568874983001</v>
      </c>
      <c r="F1236">
        <v>31</v>
      </c>
      <c r="H1236" t="s">
        <v>19</v>
      </c>
      <c r="I1236">
        <f t="shared" ref="I1236" si="358">STDEVP(C1220:C1239)</f>
        <v>2.3832057232512074E-3</v>
      </c>
    </row>
    <row r="1237" spans="1:9" x14ac:dyDescent="0.25">
      <c r="A1237">
        <v>1182.6750983101001</v>
      </c>
      <c r="B1237">
        <v>1207.2826017642999</v>
      </c>
      <c r="C1237" s="1">
        <f t="shared" si="354"/>
        <v>2.0806647142026513E-2</v>
      </c>
      <c r="D1237">
        <v>16.025773195875999</v>
      </c>
      <c r="E1237">
        <v>0.36750514059827999</v>
      </c>
      <c r="F1237">
        <v>31</v>
      </c>
      <c r="H1237" t="s">
        <v>20</v>
      </c>
      <c r="I1237">
        <f t="shared" ref="I1237" si="359">STDEVP(D1220:D1239)</f>
        <v>9.3700964963586209E-2</v>
      </c>
    </row>
    <row r="1238" spans="1:9" x14ac:dyDescent="0.25">
      <c r="A1238">
        <v>1176.0858752258</v>
      </c>
      <c r="B1238">
        <v>1209.5901796153</v>
      </c>
      <c r="C1238" s="1">
        <f t="shared" si="354"/>
        <v>2.8487974471309352E-2</v>
      </c>
      <c r="D1238">
        <v>15.825171821306</v>
      </c>
      <c r="E1238">
        <v>0.36454843034280998</v>
      </c>
      <c r="F1238">
        <v>31</v>
      </c>
      <c r="H1238" t="s">
        <v>21</v>
      </c>
      <c r="I1238">
        <f t="shared" ref="I1238" si="360">STDEVP(E1220:E1239)</f>
        <v>2.9779272221042018E-3</v>
      </c>
    </row>
    <row r="1239" spans="1:9" x14ac:dyDescent="0.25">
      <c r="A1239">
        <v>1186.6750983101001</v>
      </c>
      <c r="B1239">
        <v>1209.944946328</v>
      </c>
      <c r="C1239" s="1">
        <f t="shared" si="354"/>
        <v>1.9609283156811541E-2</v>
      </c>
      <c r="D1239">
        <v>16.109106529209999</v>
      </c>
      <c r="E1239">
        <v>0.36854058968370002</v>
      </c>
      <c r="F1239">
        <v>31</v>
      </c>
      <c r="H1239" t="s">
        <v>22</v>
      </c>
      <c r="I1239">
        <f t="shared" ref="I1239" si="361">STDEVP(F1220:F1239)</f>
        <v>0.38405728739343037</v>
      </c>
    </row>
    <row r="1240" spans="1:9" x14ac:dyDescent="0.25">
      <c r="C1240" s="1" t="str">
        <f t="shared" si="354"/>
        <v/>
      </c>
    </row>
    <row r="1241" spans="1:9" x14ac:dyDescent="0.25">
      <c r="A1241">
        <v>657.37777777778001</v>
      </c>
      <c r="B1241">
        <v>688.93333333332998</v>
      </c>
      <c r="C1241" s="1">
        <f t="shared" si="354"/>
        <v>4.8002163477781856E-2</v>
      </c>
      <c r="D1241">
        <v>6.7816091954023001</v>
      </c>
      <c r="E1241">
        <v>0.24993642369904001</v>
      </c>
      <c r="F1241">
        <v>8</v>
      </c>
    </row>
    <row r="1242" spans="1:9" x14ac:dyDescent="0.25">
      <c r="A1242">
        <v>657.82222222222003</v>
      </c>
      <c r="B1242">
        <v>689.44444444444002</v>
      </c>
      <c r="C1242" s="1">
        <f t="shared" si="354"/>
        <v>4.8071076278626501E-2</v>
      </c>
      <c r="D1242">
        <v>6.7356321839079998</v>
      </c>
      <c r="E1242">
        <v>0.24805951623967001</v>
      </c>
      <c r="F1242">
        <v>8</v>
      </c>
    </row>
    <row r="1243" spans="1:9" x14ac:dyDescent="0.25">
      <c r="A1243">
        <v>652.77777777777999</v>
      </c>
      <c r="B1243">
        <v>682.91111111111002</v>
      </c>
      <c r="C1243" s="1">
        <f t="shared" si="354"/>
        <v>4.6161702127654358E-2</v>
      </c>
      <c r="D1243">
        <v>6.5609195402299001</v>
      </c>
      <c r="E1243">
        <v>0.24211025783635001</v>
      </c>
      <c r="F1243">
        <v>9</v>
      </c>
    </row>
    <row r="1244" spans="1:9" x14ac:dyDescent="0.25">
      <c r="A1244">
        <v>663.37777777778001</v>
      </c>
      <c r="B1244">
        <v>685.88888888888005</v>
      </c>
      <c r="C1244" s="1">
        <f t="shared" si="354"/>
        <v>3.3934074768842803E-2</v>
      </c>
      <c r="D1244">
        <v>6.6298850574713004</v>
      </c>
      <c r="E1244">
        <v>0.24018901027337</v>
      </c>
      <c r="F1244">
        <v>8</v>
      </c>
    </row>
    <row r="1245" spans="1:9" x14ac:dyDescent="0.25">
      <c r="A1245">
        <v>663.86666666666997</v>
      </c>
      <c r="B1245">
        <v>689.6</v>
      </c>
      <c r="C1245" s="1">
        <f t="shared" si="354"/>
        <v>3.8762803775853394E-2</v>
      </c>
      <c r="D1245">
        <v>6.7724137931034001</v>
      </c>
      <c r="E1245">
        <v>0.24636368618335999</v>
      </c>
      <c r="F1245">
        <v>8</v>
      </c>
    </row>
    <row r="1246" spans="1:9" x14ac:dyDescent="0.25">
      <c r="A1246">
        <v>663.73333333333005</v>
      </c>
      <c r="B1246">
        <v>690.95555555554995</v>
      </c>
      <c r="C1246" s="1">
        <f t="shared" si="354"/>
        <v>4.1013794027048966E-2</v>
      </c>
      <c r="D1246">
        <v>6.5793103448275998</v>
      </c>
      <c r="E1246">
        <v>0.2377312349605</v>
      </c>
      <c r="F1246">
        <v>8</v>
      </c>
    </row>
    <row r="1247" spans="1:9" x14ac:dyDescent="0.25">
      <c r="A1247">
        <v>656.62222222221999</v>
      </c>
      <c r="B1247">
        <v>688.28888888888002</v>
      </c>
      <c r="C1247" s="1">
        <f t="shared" si="354"/>
        <v>4.8226614322448347E-2</v>
      </c>
      <c r="D1247">
        <v>6.5011494252873998</v>
      </c>
      <c r="E1247">
        <v>0.23749580232160999</v>
      </c>
      <c r="F1247">
        <v>9</v>
      </c>
    </row>
    <row r="1248" spans="1:9" x14ac:dyDescent="0.25">
      <c r="A1248">
        <v>659.13333333333003</v>
      </c>
      <c r="B1248">
        <v>691.31111111110999</v>
      </c>
      <c r="C1248" s="1">
        <f t="shared" si="354"/>
        <v>4.8818313610468511E-2</v>
      </c>
      <c r="D1248">
        <v>6.6620689655172001</v>
      </c>
      <c r="E1248">
        <v>0.24362795483364</v>
      </c>
      <c r="F1248">
        <v>8</v>
      </c>
    </row>
    <row r="1249" spans="1:9" x14ac:dyDescent="0.25">
      <c r="A1249">
        <v>653.02222222221997</v>
      </c>
      <c r="B1249">
        <v>691.37777777777001</v>
      </c>
      <c r="C1249" s="1">
        <f t="shared" si="354"/>
        <v>5.8735452256168275E-2</v>
      </c>
      <c r="D1249">
        <v>6.7770114942528998</v>
      </c>
      <c r="E1249">
        <v>0.25129362204250999</v>
      </c>
      <c r="F1249">
        <v>8</v>
      </c>
    </row>
    <row r="1250" spans="1:9" x14ac:dyDescent="0.25">
      <c r="A1250">
        <v>660.95555555555995</v>
      </c>
      <c r="B1250">
        <v>689.28888888888002</v>
      </c>
      <c r="C1250" s="1">
        <f t="shared" si="354"/>
        <v>4.2867229264008211E-2</v>
      </c>
      <c r="D1250">
        <v>6.8597701149425001</v>
      </c>
      <c r="E1250">
        <v>0.25161199825695002</v>
      </c>
      <c r="F1250">
        <v>9</v>
      </c>
    </row>
    <row r="1251" spans="1:9" x14ac:dyDescent="0.25">
      <c r="A1251">
        <v>666.04444444444005</v>
      </c>
      <c r="B1251">
        <v>686.53333333333001</v>
      </c>
      <c r="C1251" s="1">
        <f t="shared" si="354"/>
        <v>3.0762044574938363E-2</v>
      </c>
      <c r="D1251">
        <v>6.5057471264368001</v>
      </c>
      <c r="E1251">
        <v>0.23413319317684</v>
      </c>
      <c r="F1251">
        <v>8</v>
      </c>
    </row>
    <row r="1252" spans="1:9" x14ac:dyDescent="0.25">
      <c r="A1252">
        <v>655.4</v>
      </c>
      <c r="B1252">
        <v>690.35555555555004</v>
      </c>
      <c r="C1252" s="1">
        <f t="shared" si="354"/>
        <v>5.3334689587351436E-2</v>
      </c>
      <c r="D1252">
        <v>6.7310344827586004</v>
      </c>
      <c r="E1252">
        <v>0.24824150129122</v>
      </c>
      <c r="F1252">
        <v>8</v>
      </c>
    </row>
    <row r="1253" spans="1:9" x14ac:dyDescent="0.25">
      <c r="A1253">
        <v>661.57777777778006</v>
      </c>
      <c r="B1253">
        <v>690.28888888888002</v>
      </c>
      <c r="C1253" s="1">
        <f t="shared" si="354"/>
        <v>4.3397937590255342E-2</v>
      </c>
      <c r="D1253">
        <v>6.8091954022988004</v>
      </c>
      <c r="E1253">
        <v>0.24900006808627001</v>
      </c>
      <c r="F1253">
        <v>8</v>
      </c>
    </row>
    <row r="1254" spans="1:9" x14ac:dyDescent="0.25">
      <c r="A1254">
        <v>668.57777777778006</v>
      </c>
      <c r="B1254">
        <v>690.22222222222001</v>
      </c>
      <c r="C1254" s="1">
        <f t="shared" si="354"/>
        <v>3.2373861596749043E-2</v>
      </c>
      <c r="D1254">
        <v>6.8367816091954001</v>
      </c>
      <c r="E1254">
        <v>0.24706745272361999</v>
      </c>
      <c r="F1254">
        <v>9</v>
      </c>
    </row>
    <row r="1255" spans="1:9" x14ac:dyDescent="0.25">
      <c r="A1255">
        <v>660.13333333333003</v>
      </c>
      <c r="B1255">
        <v>690.62222222221999</v>
      </c>
      <c r="C1255" s="1">
        <f t="shared" si="354"/>
        <v>4.6185955699187264E-2</v>
      </c>
      <c r="D1255">
        <v>6.6620689655172001</v>
      </c>
      <c r="E1255">
        <v>0.24270980042122001</v>
      </c>
      <c r="F1255">
        <v>8</v>
      </c>
      <c r="H1255" t="s">
        <v>17</v>
      </c>
      <c r="I1255">
        <f t="shared" ref="I1255" si="362">STDEVP(A1241:A1260)</f>
        <v>4.2378067644528592</v>
      </c>
    </row>
    <row r="1256" spans="1:9" x14ac:dyDescent="0.25">
      <c r="A1256">
        <v>659.97777777778003</v>
      </c>
      <c r="B1256">
        <v>690.06666666666001</v>
      </c>
      <c r="C1256" s="1">
        <f t="shared" si="354"/>
        <v>4.5590760631657457E-2</v>
      </c>
      <c r="D1256">
        <v>6.8505747126437004</v>
      </c>
      <c r="E1256">
        <v>0.25219799812348997</v>
      </c>
      <c r="F1256">
        <v>8</v>
      </c>
      <c r="H1256" t="s">
        <v>18</v>
      </c>
      <c r="I1256">
        <f t="shared" ref="I1256" si="363">STDEVP(B1241:B1260)</f>
        <v>2.4272180895664577</v>
      </c>
    </row>
    <row r="1257" spans="1:9" x14ac:dyDescent="0.25">
      <c r="A1257">
        <v>658.35555555556004</v>
      </c>
      <c r="B1257">
        <v>693.17777777776996</v>
      </c>
      <c r="C1257" s="1">
        <f t="shared" si="354"/>
        <v>5.2892729359327539E-2</v>
      </c>
      <c r="D1257">
        <v>6.5839080459770001</v>
      </c>
      <c r="E1257">
        <v>0.24059139667657001</v>
      </c>
      <c r="F1257">
        <v>9</v>
      </c>
      <c r="H1257" t="s">
        <v>19</v>
      </c>
      <c r="I1257">
        <f t="shared" ref="I1257" si="364">STDEVP(C1241:C1260)</f>
        <v>7.9341333656960788E-3</v>
      </c>
    </row>
    <row r="1258" spans="1:9" x14ac:dyDescent="0.25">
      <c r="A1258">
        <v>659.84444444444</v>
      </c>
      <c r="B1258">
        <v>689.28888888888002</v>
      </c>
      <c r="C1258" s="1">
        <f t="shared" si="354"/>
        <v>4.4623311891685224E-2</v>
      </c>
      <c r="D1258">
        <v>6.7816091954023001</v>
      </c>
      <c r="E1258">
        <v>0.24860174647568001</v>
      </c>
      <c r="F1258">
        <v>8</v>
      </c>
      <c r="H1258" t="s">
        <v>20</v>
      </c>
      <c r="I1258">
        <f t="shared" ref="I1258" si="365">STDEVP(D1241:D1260)</f>
        <v>0.11494689646872978</v>
      </c>
    </row>
    <row r="1259" spans="1:9" x14ac:dyDescent="0.25">
      <c r="A1259">
        <v>665.08888888888998</v>
      </c>
      <c r="B1259">
        <v>684.35555555555004</v>
      </c>
      <c r="C1259" s="1">
        <f t="shared" si="354"/>
        <v>2.8968558922773946E-2</v>
      </c>
      <c r="D1259">
        <v>6.7908045977010998</v>
      </c>
      <c r="E1259">
        <v>0.24652288660867999</v>
      </c>
      <c r="F1259">
        <v>8</v>
      </c>
      <c r="H1259" t="s">
        <v>21</v>
      </c>
      <c r="I1259">
        <f t="shared" ref="I1259" si="366">STDEVP(E1241:E1260)</f>
        <v>5.3611670728213419E-3</v>
      </c>
    </row>
    <row r="1260" spans="1:9" x14ac:dyDescent="0.25">
      <c r="A1260">
        <v>654.42222222221994</v>
      </c>
      <c r="B1260">
        <v>690.28888888888002</v>
      </c>
      <c r="C1260" s="1">
        <f t="shared" si="354"/>
        <v>5.480661482562077E-2</v>
      </c>
      <c r="D1260">
        <v>6.8459770114943002</v>
      </c>
      <c r="E1260">
        <v>0.25390101409726001</v>
      </c>
      <c r="F1260">
        <v>9</v>
      </c>
      <c r="H1260" t="s">
        <v>22</v>
      </c>
      <c r="I1260">
        <f t="shared" ref="I1260" si="367">STDEVP(F1241:F1260)</f>
        <v>0.45825756949558394</v>
      </c>
    </row>
    <row r="1261" spans="1:9" x14ac:dyDescent="0.25">
      <c r="C1261" s="1" t="str">
        <f t="shared" si="354"/>
        <v/>
      </c>
    </row>
    <row r="1262" spans="1:9" x14ac:dyDescent="0.25">
      <c r="A1262">
        <v>1624.8695996828999</v>
      </c>
      <c r="B1262">
        <v>1662.6254458977</v>
      </c>
      <c r="C1262" s="1">
        <f t="shared" si="354"/>
        <v>2.3236231524159434E-2</v>
      </c>
      <c r="D1262">
        <v>15.145148356055</v>
      </c>
      <c r="E1262">
        <v>0.22609593228618999</v>
      </c>
      <c r="F1262">
        <v>78</v>
      </c>
    </row>
    <row r="1263" spans="1:9" x14ac:dyDescent="0.25">
      <c r="A1263">
        <v>1621.8842647642</v>
      </c>
      <c r="B1263">
        <v>1657.9386973179001</v>
      </c>
      <c r="C1263" s="1">
        <f t="shared" si="354"/>
        <v>2.2229966303386028E-2</v>
      </c>
      <c r="D1263">
        <v>15.056936647955</v>
      </c>
      <c r="E1263">
        <v>0.22505028160976001</v>
      </c>
      <c r="F1263">
        <v>69</v>
      </c>
    </row>
    <row r="1264" spans="1:9" x14ac:dyDescent="0.25">
      <c r="A1264">
        <v>1620.4975558198</v>
      </c>
      <c r="B1264">
        <v>1658.3548685426999</v>
      </c>
      <c r="C1264" s="1">
        <f t="shared" si="354"/>
        <v>2.336153645338146E-2</v>
      </c>
      <c r="D1264">
        <v>15.061213579257</v>
      </c>
      <c r="E1264">
        <v>0.22538963444315999</v>
      </c>
      <c r="F1264">
        <v>74</v>
      </c>
    </row>
    <row r="1265" spans="1:9" x14ac:dyDescent="0.25">
      <c r="A1265">
        <v>1629.4366494912999</v>
      </c>
      <c r="B1265">
        <v>1655.3901440084001</v>
      </c>
      <c r="C1265" s="1">
        <f t="shared" si="354"/>
        <v>1.5927894174469825E-2</v>
      </c>
      <c r="D1265">
        <v>15.222667735899</v>
      </c>
      <c r="E1265">
        <v>0.22684646604537001</v>
      </c>
      <c r="F1265">
        <v>75</v>
      </c>
    </row>
    <row r="1266" spans="1:9" x14ac:dyDescent="0.25">
      <c r="A1266">
        <v>1620.9660457128</v>
      </c>
      <c r="B1266">
        <v>1655.7463337296001</v>
      </c>
      <c r="C1266" s="1">
        <f t="shared" si="354"/>
        <v>2.1456518542623648E-2</v>
      </c>
      <c r="D1266">
        <v>15.109329056402</v>
      </c>
      <c r="E1266">
        <v>0.22605405510949</v>
      </c>
      <c r="F1266">
        <v>76</v>
      </c>
    </row>
    <row r="1267" spans="1:9" x14ac:dyDescent="0.25">
      <c r="A1267">
        <v>1623.2746730082999</v>
      </c>
      <c r="B1267">
        <v>1652.1186418284999</v>
      </c>
      <c r="C1267" s="1">
        <f t="shared" si="354"/>
        <v>1.7769000711842287E-2</v>
      </c>
      <c r="D1267">
        <v>15.143544506815999</v>
      </c>
      <c r="E1267">
        <v>0.22627558530368999</v>
      </c>
      <c r="F1267">
        <v>70</v>
      </c>
    </row>
    <row r="1268" spans="1:9" x14ac:dyDescent="0.25">
      <c r="A1268">
        <v>1623.3251420267</v>
      </c>
      <c r="B1268">
        <v>1655.5645395692</v>
      </c>
      <c r="C1268" s="1">
        <f t="shared" si="354"/>
        <v>1.9860098699789441E-2</v>
      </c>
      <c r="D1268">
        <v>15.293771718792</v>
      </c>
      <c r="E1268">
        <v>0.22912618799018</v>
      </c>
      <c r="F1268">
        <v>73</v>
      </c>
    </row>
    <row r="1269" spans="1:9" x14ac:dyDescent="0.25">
      <c r="A1269">
        <v>1624.2211652794001</v>
      </c>
      <c r="B1269">
        <v>1656.6793499800999</v>
      </c>
      <c r="C1269" s="1">
        <f t="shared" si="354"/>
        <v>1.9983845423610314E-2</v>
      </c>
      <c r="D1269">
        <v>15.533279871692001</v>
      </c>
      <c r="E1269">
        <v>0.23336654567368001</v>
      </c>
      <c r="F1269">
        <v>72</v>
      </c>
    </row>
    <row r="1270" spans="1:9" x14ac:dyDescent="0.25">
      <c r="A1270">
        <v>1637.2263178754999</v>
      </c>
      <c r="B1270">
        <v>1662.778438367</v>
      </c>
      <c r="C1270" s="1">
        <f t="shared" si="354"/>
        <v>1.5606956846782927E-2</v>
      </c>
      <c r="D1270">
        <v>15.430633520449</v>
      </c>
      <c r="E1270">
        <v>0.22921860489803</v>
      </c>
      <c r="F1270">
        <v>65</v>
      </c>
    </row>
    <row r="1271" spans="1:9" x14ac:dyDescent="0.25">
      <c r="A1271">
        <v>1625.1362135024001</v>
      </c>
      <c r="B1271">
        <v>1658.0655304531001</v>
      </c>
      <c r="C1271" s="1">
        <f t="shared" si="354"/>
        <v>2.0262496569276811E-2</v>
      </c>
      <c r="D1271">
        <v>15.290029403903</v>
      </c>
      <c r="E1271">
        <v>0.22868654008351999</v>
      </c>
      <c r="F1271">
        <v>71</v>
      </c>
    </row>
    <row r="1272" spans="1:9" x14ac:dyDescent="0.25">
      <c r="A1272">
        <v>1622.2504954419001</v>
      </c>
      <c r="B1272">
        <v>1648.0975029726001</v>
      </c>
      <c r="C1272" s="1">
        <f t="shared" si="354"/>
        <v>1.5932809145889237E-2</v>
      </c>
      <c r="D1272">
        <v>15.263833199679</v>
      </c>
      <c r="E1272">
        <v>0.22864646841840999</v>
      </c>
      <c r="F1272">
        <v>69</v>
      </c>
    </row>
    <row r="1273" spans="1:9" x14ac:dyDescent="0.25">
      <c r="A1273">
        <v>1612.6101202272</v>
      </c>
      <c r="B1273">
        <v>1650.5001981767</v>
      </c>
      <c r="C1273" s="1">
        <f t="shared" si="354"/>
        <v>2.3496118171552727E-2</v>
      </c>
      <c r="D1273">
        <v>14.976209569633999</v>
      </c>
      <c r="E1273">
        <v>0.22502967103752999</v>
      </c>
      <c r="F1273">
        <v>72</v>
      </c>
    </row>
    <row r="1274" spans="1:9" x14ac:dyDescent="0.25">
      <c r="A1274">
        <v>1624.7435592549</v>
      </c>
      <c r="B1274">
        <v>1657.6866164618</v>
      </c>
      <c r="C1274" s="1">
        <f t="shared" si="354"/>
        <v>2.0275850314499744E-2</v>
      </c>
      <c r="D1274">
        <v>15.244587008821</v>
      </c>
      <c r="E1274">
        <v>0.22795285054684</v>
      </c>
      <c r="F1274">
        <v>71</v>
      </c>
    </row>
    <row r="1275" spans="1:9" x14ac:dyDescent="0.25">
      <c r="A1275">
        <v>1622.1035803937</v>
      </c>
      <c r="B1275">
        <v>1660.9488703923</v>
      </c>
      <c r="C1275" s="1">
        <f t="shared" si="354"/>
        <v>2.3947478119228371E-2</v>
      </c>
      <c r="D1275">
        <v>15.288960171076999</v>
      </c>
      <c r="E1275">
        <v>0.22921786160242999</v>
      </c>
      <c r="F1275">
        <v>80</v>
      </c>
    </row>
    <row r="1276" spans="1:9" x14ac:dyDescent="0.25">
      <c r="A1276">
        <v>1623.5439291847999</v>
      </c>
      <c r="B1276">
        <v>1652.535869996</v>
      </c>
      <c r="C1276" s="1">
        <f t="shared" si="354"/>
        <v>1.7857195170417839E-2</v>
      </c>
      <c r="D1276">
        <v>15.300187115744</v>
      </c>
      <c r="E1276">
        <v>0.22920456916988</v>
      </c>
      <c r="F1276">
        <v>69</v>
      </c>
      <c r="H1276" t="s">
        <v>17</v>
      </c>
      <c r="I1276">
        <f t="shared" ref="I1276" si="368">STDEVP(A1262:A1281)</f>
        <v>6.0896651367242756</v>
      </c>
    </row>
    <row r="1277" spans="1:9" x14ac:dyDescent="0.25">
      <c r="A1277">
        <v>1611.5600475624001</v>
      </c>
      <c r="B1277">
        <v>1647.2384727176</v>
      </c>
      <c r="C1277" s="1">
        <f t="shared" si="354"/>
        <v>2.2139060352833972E-2</v>
      </c>
      <c r="D1277">
        <v>14.925421010425</v>
      </c>
      <c r="E1277">
        <v>0.22423906184329001</v>
      </c>
      <c r="F1277">
        <v>67</v>
      </c>
      <c r="H1277" t="s">
        <v>18</v>
      </c>
      <c r="I1277">
        <f t="shared" ref="I1277" si="369">STDEVP(B1262:B1281)</f>
        <v>5.2132820071601076</v>
      </c>
    </row>
    <row r="1278" spans="1:9" x14ac:dyDescent="0.25">
      <c r="A1278">
        <v>1637.8097502973001</v>
      </c>
      <c r="B1278">
        <v>1669.3121944774</v>
      </c>
      <c r="C1278" s="1">
        <f t="shared" si="354"/>
        <v>1.9234495443919197E-2</v>
      </c>
      <c r="D1278">
        <v>15.478748997594</v>
      </c>
      <c r="E1278">
        <v>0.22999728233865999</v>
      </c>
      <c r="F1278">
        <v>68</v>
      </c>
      <c r="H1278" t="s">
        <v>19</v>
      </c>
      <c r="I1278">
        <f t="shared" ref="I1278" si="370">STDEVP(C1262:C1281)</f>
        <v>2.5913373672564626E-3</v>
      </c>
    </row>
    <row r="1279" spans="1:9" x14ac:dyDescent="0.25">
      <c r="A1279">
        <v>1620.8492535342</v>
      </c>
      <c r="B1279">
        <v>1656.6989034218</v>
      </c>
      <c r="C1279" s="1">
        <f t="shared" si="354"/>
        <v>2.2117818674026068E-2</v>
      </c>
      <c r="D1279">
        <v>15.249933172947999</v>
      </c>
      <c r="E1279">
        <v>0.22866517212306001</v>
      </c>
      <c r="F1279">
        <v>64</v>
      </c>
      <c r="H1279" t="s">
        <v>20</v>
      </c>
      <c r="I1279">
        <f t="shared" ref="I1279" si="371">STDEVP(D1262:D1281)</f>
        <v>0.15715462753531462</v>
      </c>
    </row>
    <row r="1280" spans="1:9" x14ac:dyDescent="0.25">
      <c r="A1280">
        <v>1621.4596379970999</v>
      </c>
      <c r="B1280">
        <v>1650.1680539040001</v>
      </c>
      <c r="C1280" s="1">
        <f t="shared" si="354"/>
        <v>1.7705291722439842E-2</v>
      </c>
      <c r="D1280">
        <v>15.408714247527</v>
      </c>
      <c r="E1280">
        <v>0.23156435828239</v>
      </c>
      <c r="F1280">
        <v>78</v>
      </c>
      <c r="H1280" t="s">
        <v>21</v>
      </c>
      <c r="I1280">
        <f t="shared" ref="I1280" si="372">STDEVP(E1262:E1281)</f>
        <v>2.271122743814212E-3</v>
      </c>
    </row>
    <row r="1281" spans="1:9" x14ac:dyDescent="0.25">
      <c r="A1281">
        <v>1619.9048751486</v>
      </c>
      <c r="B1281">
        <v>1654.0507332540001</v>
      </c>
      <c r="C1281" s="1">
        <f t="shared" si="354"/>
        <v>2.1078927923016355E-2</v>
      </c>
      <c r="D1281">
        <v>15.157979149959999</v>
      </c>
      <c r="E1281">
        <v>0.22717005725023001</v>
      </c>
      <c r="F1281">
        <v>73</v>
      </c>
      <c r="H1281" t="s">
        <v>22</v>
      </c>
      <c r="I1281">
        <f t="shared" ref="I1281" si="373">STDEVP(F1262:F1281)</f>
        <v>4.1964270516714572</v>
      </c>
    </row>
    <row r="1282" spans="1:9" x14ac:dyDescent="0.25">
      <c r="C1282" s="1" t="str">
        <f t="shared" ref="C1282:C1345" si="374">IFERROR((B1282/A1282)-1,"")</f>
        <v/>
      </c>
    </row>
    <row r="1283" spans="1:9" x14ac:dyDescent="0.25">
      <c r="A1283">
        <v>478.27777777777999</v>
      </c>
      <c r="B1283">
        <v>522.16666666666003</v>
      </c>
      <c r="C1283" s="1">
        <f t="shared" si="374"/>
        <v>9.1764432570546672E-2</v>
      </c>
      <c r="D1283">
        <v>9.9710144927536</v>
      </c>
      <c r="E1283">
        <v>0.67291428381258001</v>
      </c>
      <c r="F1283">
        <v>12</v>
      </c>
    </row>
    <row r="1284" spans="1:9" x14ac:dyDescent="0.25">
      <c r="A1284">
        <v>483.58333333333002</v>
      </c>
      <c r="B1284">
        <v>521.52777777776998</v>
      </c>
      <c r="C1284" s="1">
        <f t="shared" si="374"/>
        <v>7.8465161697963692E-2</v>
      </c>
      <c r="D1284">
        <v>9.7173913043477995</v>
      </c>
      <c r="E1284">
        <v>0.62900919097896002</v>
      </c>
      <c r="F1284">
        <v>12</v>
      </c>
    </row>
    <row r="1285" spans="1:9" x14ac:dyDescent="0.25">
      <c r="A1285">
        <v>482.08333333333002</v>
      </c>
      <c r="B1285">
        <v>522.20833333332996</v>
      </c>
      <c r="C1285" s="1">
        <f t="shared" si="374"/>
        <v>8.3232497839239805E-2</v>
      </c>
      <c r="D1285">
        <v>9.9347826086957003</v>
      </c>
      <c r="E1285">
        <v>0.65670850473314002</v>
      </c>
      <c r="F1285">
        <v>12</v>
      </c>
    </row>
    <row r="1286" spans="1:9" x14ac:dyDescent="0.25">
      <c r="A1286">
        <v>477.11111111111001</v>
      </c>
      <c r="B1286">
        <v>511.44444444444002</v>
      </c>
      <c r="C1286" s="1">
        <f t="shared" si="374"/>
        <v>7.1960875640421751E-2</v>
      </c>
      <c r="D1286">
        <v>9.8840579710144993</v>
      </c>
      <c r="E1286">
        <v>0.66110557393977998</v>
      </c>
      <c r="F1286">
        <v>12</v>
      </c>
    </row>
    <row r="1287" spans="1:9" x14ac:dyDescent="0.25">
      <c r="A1287">
        <v>483.94444444444002</v>
      </c>
      <c r="B1287">
        <v>517.70833333332996</v>
      </c>
      <c r="C1287" s="1">
        <f t="shared" si="374"/>
        <v>6.9768109287110969E-2</v>
      </c>
      <c r="D1287">
        <v>9.4275362318840994</v>
      </c>
      <c r="E1287">
        <v>0.59793093039056</v>
      </c>
      <c r="F1287">
        <v>12</v>
      </c>
    </row>
    <row r="1288" spans="1:9" x14ac:dyDescent="0.25">
      <c r="A1288">
        <v>470.58333333333002</v>
      </c>
      <c r="B1288">
        <v>509.58333333333002</v>
      </c>
      <c r="C1288" s="1">
        <f t="shared" si="374"/>
        <v>8.2875863290243101E-2</v>
      </c>
      <c r="D1288">
        <v>9.8913043478261002</v>
      </c>
      <c r="E1288">
        <v>0.67711688965365002</v>
      </c>
      <c r="F1288">
        <v>12</v>
      </c>
    </row>
    <row r="1289" spans="1:9" x14ac:dyDescent="0.25">
      <c r="A1289">
        <v>480.08333333333002</v>
      </c>
      <c r="B1289">
        <v>510.15277777776998</v>
      </c>
      <c r="C1289" s="1">
        <f t="shared" si="374"/>
        <v>6.2633802001958339E-2</v>
      </c>
      <c r="D1289">
        <v>9.8478260869565002</v>
      </c>
      <c r="E1289">
        <v>0.65335083263119997</v>
      </c>
      <c r="F1289">
        <v>12</v>
      </c>
    </row>
    <row r="1290" spans="1:9" x14ac:dyDescent="0.25">
      <c r="A1290">
        <v>488.83333333333002</v>
      </c>
      <c r="B1290">
        <v>517.375</v>
      </c>
      <c r="C1290" s="1">
        <f t="shared" si="374"/>
        <v>5.838731674054598E-2</v>
      </c>
      <c r="D1290">
        <v>9.9782608695652009</v>
      </c>
      <c r="E1290">
        <v>0.64793698052463</v>
      </c>
      <c r="F1290">
        <v>12</v>
      </c>
    </row>
    <row r="1291" spans="1:9" x14ac:dyDescent="0.25">
      <c r="A1291">
        <v>475.97222222222001</v>
      </c>
      <c r="B1291">
        <v>518.73611111110995</v>
      </c>
      <c r="C1291" s="1">
        <f t="shared" si="374"/>
        <v>8.9845345783486685E-2</v>
      </c>
      <c r="D1291">
        <v>9.8985507246376994</v>
      </c>
      <c r="E1291">
        <v>0.66684190231061002</v>
      </c>
      <c r="F1291">
        <v>12</v>
      </c>
    </row>
    <row r="1292" spans="1:9" x14ac:dyDescent="0.25">
      <c r="A1292">
        <v>482.33333333333002</v>
      </c>
      <c r="B1292">
        <v>514.63888888889005</v>
      </c>
      <c r="C1292" s="1">
        <f t="shared" si="374"/>
        <v>6.6977654918231266E-2</v>
      </c>
      <c r="D1292">
        <v>9.8478260869565002</v>
      </c>
      <c r="E1292">
        <v>0.65003051329683004</v>
      </c>
      <c r="F1292">
        <v>12</v>
      </c>
    </row>
    <row r="1293" spans="1:9" x14ac:dyDescent="0.25">
      <c r="A1293">
        <v>483.66666666666998</v>
      </c>
      <c r="B1293">
        <v>524.69444444444002</v>
      </c>
      <c r="C1293" s="1">
        <f t="shared" si="374"/>
        <v>8.4826556397869846E-2</v>
      </c>
      <c r="D1293">
        <v>9.7826086956522005</v>
      </c>
      <c r="E1293">
        <v>0.63751551313404997</v>
      </c>
      <c r="F1293">
        <v>12</v>
      </c>
    </row>
    <row r="1294" spans="1:9" x14ac:dyDescent="0.25">
      <c r="A1294">
        <v>475.72222222222001</v>
      </c>
      <c r="B1294">
        <v>516.08333333332996</v>
      </c>
      <c r="C1294" s="1">
        <f t="shared" si="374"/>
        <v>8.4841761065045151E-2</v>
      </c>
      <c r="D1294">
        <v>9.7246376811594004</v>
      </c>
      <c r="E1294">
        <v>0.64810492269764997</v>
      </c>
      <c r="F1294">
        <v>12</v>
      </c>
    </row>
    <row r="1295" spans="1:9" x14ac:dyDescent="0.25">
      <c r="A1295">
        <v>477.58333333333002</v>
      </c>
      <c r="B1295">
        <v>519.09722222222001</v>
      </c>
      <c r="C1295" s="1">
        <f t="shared" si="374"/>
        <v>8.6924911301113905E-2</v>
      </c>
      <c r="D1295">
        <v>10.04347826087</v>
      </c>
      <c r="E1295">
        <v>0.67833021890112</v>
      </c>
      <c r="F1295">
        <v>12</v>
      </c>
    </row>
    <row r="1296" spans="1:9" x14ac:dyDescent="0.25">
      <c r="A1296">
        <v>476.69444444444002</v>
      </c>
      <c r="B1296">
        <v>512.06944444444002</v>
      </c>
      <c r="C1296" s="1">
        <f t="shared" si="374"/>
        <v>7.4208962181691707E-2</v>
      </c>
      <c r="D1296">
        <v>9.7536231884058004</v>
      </c>
      <c r="E1296">
        <v>0.64974638215035996</v>
      </c>
      <c r="F1296">
        <v>12</v>
      </c>
    </row>
    <row r="1297" spans="1:9" x14ac:dyDescent="0.25">
      <c r="A1297">
        <v>488.91666666666998</v>
      </c>
      <c r="B1297">
        <v>522.30555555554997</v>
      </c>
      <c r="C1297" s="1">
        <f t="shared" si="374"/>
        <v>6.8291574342348227E-2</v>
      </c>
      <c r="D1297">
        <v>10.217391304348</v>
      </c>
      <c r="E1297">
        <v>0.67193204920256999</v>
      </c>
      <c r="F1297">
        <v>13</v>
      </c>
      <c r="H1297" t="s">
        <v>17</v>
      </c>
      <c r="I1297">
        <f t="shared" ref="I1297" si="375">STDEVP(A1283:A1302)</f>
        <v>5.1506732374890758</v>
      </c>
    </row>
    <row r="1298" spans="1:9" x14ac:dyDescent="0.25">
      <c r="A1298">
        <v>476.5</v>
      </c>
      <c r="B1298">
        <v>513.81944444444002</v>
      </c>
      <c r="C1298" s="1">
        <f t="shared" si="374"/>
        <v>7.8319925381825861E-2</v>
      </c>
      <c r="D1298">
        <v>9.8913043478261002</v>
      </c>
      <c r="E1298">
        <v>0.66432553812123996</v>
      </c>
      <c r="F1298">
        <v>12</v>
      </c>
      <c r="H1298" t="s">
        <v>18</v>
      </c>
      <c r="I1298">
        <f t="shared" ref="I1298" si="376">STDEVP(B1283:B1302)</f>
        <v>4.3550960376221655</v>
      </c>
    </row>
    <row r="1299" spans="1:9" x14ac:dyDescent="0.25">
      <c r="A1299">
        <v>477.63888888888999</v>
      </c>
      <c r="B1299">
        <v>515.44444444444002</v>
      </c>
      <c r="C1299" s="1">
        <f t="shared" si="374"/>
        <v>7.9150915963931201E-2</v>
      </c>
      <c r="D1299">
        <v>9.8985507246376994</v>
      </c>
      <c r="E1299">
        <v>0.66254435434716996</v>
      </c>
      <c r="F1299">
        <v>12</v>
      </c>
      <c r="H1299" t="s">
        <v>19</v>
      </c>
      <c r="I1299">
        <f t="shared" ref="I1299" si="377">STDEVP(C1283:C1302)</f>
        <v>9.7611037985936306E-3</v>
      </c>
    </row>
    <row r="1300" spans="1:9" x14ac:dyDescent="0.25">
      <c r="A1300">
        <v>470.33333333333002</v>
      </c>
      <c r="B1300">
        <v>511.08333333333002</v>
      </c>
      <c r="C1300" s="1">
        <f t="shared" si="374"/>
        <v>8.6640680368533562E-2</v>
      </c>
      <c r="D1300">
        <v>9.6956521739130004</v>
      </c>
      <c r="E1300">
        <v>0.65749197656174996</v>
      </c>
      <c r="F1300">
        <v>12</v>
      </c>
      <c r="H1300" t="s">
        <v>20</v>
      </c>
      <c r="I1300">
        <f t="shared" ref="I1300" si="378">STDEVP(D1283:D1302)</f>
        <v>0.16120989916879341</v>
      </c>
    </row>
    <row r="1301" spans="1:9" x14ac:dyDescent="0.25">
      <c r="A1301">
        <v>484.33333333333002</v>
      </c>
      <c r="B1301">
        <v>517.26388888889005</v>
      </c>
      <c r="C1301" s="1">
        <f t="shared" si="374"/>
        <v>6.7991511814646133E-2</v>
      </c>
      <c r="D1301">
        <v>9.8478260869565002</v>
      </c>
      <c r="E1301">
        <v>0.64379376629042995</v>
      </c>
      <c r="F1301">
        <v>12</v>
      </c>
      <c r="H1301" t="s">
        <v>21</v>
      </c>
      <c r="I1301">
        <f t="shared" ref="I1301" si="379">STDEVP(E1283:E1302)</f>
        <v>1.8189390599523833E-2</v>
      </c>
    </row>
    <row r="1302" spans="1:9" x14ac:dyDescent="0.25">
      <c r="A1302">
        <v>486.33333333333002</v>
      </c>
      <c r="B1302">
        <v>516.29166666666003</v>
      </c>
      <c r="C1302" s="1">
        <f t="shared" si="374"/>
        <v>6.1600411240569253E-2</v>
      </c>
      <c r="D1302">
        <v>10.086956521738999</v>
      </c>
      <c r="E1302">
        <v>0.66647444234355002</v>
      </c>
      <c r="F1302">
        <v>12</v>
      </c>
      <c r="H1302" t="s">
        <v>22</v>
      </c>
      <c r="I1302">
        <f t="shared" ref="I1302" si="380">STDEVP(F1283:F1302)</f>
        <v>0.21794494717703367</v>
      </c>
    </row>
    <row r="1303" spans="1:9" x14ac:dyDescent="0.25">
      <c r="C1303" s="1" t="str">
        <f t="shared" si="374"/>
        <v/>
      </c>
    </row>
    <row r="1304" spans="1:9" x14ac:dyDescent="0.25">
      <c r="A1304">
        <v>1840.3639053254001</v>
      </c>
      <c r="B1304">
        <v>1886.2307692308</v>
      </c>
      <c r="C1304" s="1">
        <f t="shared" si="374"/>
        <v>2.492271434615545E-2</v>
      </c>
      <c r="D1304">
        <v>14.683257918552</v>
      </c>
      <c r="E1304">
        <v>0.18578321075080001</v>
      </c>
      <c r="F1304">
        <v>30</v>
      </c>
    </row>
    <row r="1305" spans="1:9" x14ac:dyDescent="0.25">
      <c r="A1305">
        <v>1852.3846153846</v>
      </c>
      <c r="B1305">
        <v>1895.4585798817</v>
      </c>
      <c r="C1305" s="1">
        <f t="shared" si="374"/>
        <v>2.3253251046979173E-2</v>
      </c>
      <c r="D1305">
        <v>14.392156862745001</v>
      </c>
      <c r="E1305">
        <v>0.18004954913665</v>
      </c>
      <c r="F1305">
        <v>31</v>
      </c>
    </row>
    <row r="1306" spans="1:9" x14ac:dyDescent="0.25">
      <c r="A1306">
        <v>1852.3579881656999</v>
      </c>
      <c r="B1306">
        <v>1896.5473372781</v>
      </c>
      <c r="C1306" s="1">
        <f t="shared" si="374"/>
        <v>2.3855728425453471E-2</v>
      </c>
      <c r="D1306">
        <v>14.886877828054001</v>
      </c>
      <c r="E1306">
        <v>0.18742595698487</v>
      </c>
      <c r="F1306">
        <v>31</v>
      </c>
    </row>
    <row r="1307" spans="1:9" x14ac:dyDescent="0.25">
      <c r="A1307">
        <v>1846.8017751478999</v>
      </c>
      <c r="B1307">
        <v>1900.0266272189999</v>
      </c>
      <c r="C1307" s="1">
        <f t="shared" si="374"/>
        <v>2.882001348890717E-2</v>
      </c>
      <c r="D1307">
        <v>14.674208144795999</v>
      </c>
      <c r="E1307">
        <v>0.18494026545219</v>
      </c>
      <c r="F1307">
        <v>30</v>
      </c>
    </row>
    <row r="1308" spans="1:9" x14ac:dyDescent="0.25">
      <c r="A1308">
        <v>1849.0591715976</v>
      </c>
      <c r="B1308">
        <v>1889.4615384616</v>
      </c>
      <c r="C1308" s="1">
        <f t="shared" si="374"/>
        <v>2.1850229286655143E-2</v>
      </c>
      <c r="D1308">
        <v>14.787330316742</v>
      </c>
      <c r="E1308">
        <v>0.18647634427410001</v>
      </c>
      <c r="F1308">
        <v>31</v>
      </c>
    </row>
    <row r="1309" spans="1:9" x14ac:dyDescent="0.25">
      <c r="A1309">
        <v>1846.8905325444</v>
      </c>
      <c r="B1309">
        <v>1889.5976331361001</v>
      </c>
      <c r="C1309" s="1">
        <f t="shared" si="374"/>
        <v>2.3123785540696717E-2</v>
      </c>
      <c r="D1309">
        <v>14.933634992459</v>
      </c>
      <c r="E1309">
        <v>0.18875637900237</v>
      </c>
      <c r="F1309">
        <v>31</v>
      </c>
    </row>
    <row r="1310" spans="1:9" x14ac:dyDescent="0.25">
      <c r="A1310">
        <v>1850.6952662721999</v>
      </c>
      <c r="B1310">
        <v>1897.6183431953</v>
      </c>
      <c r="C1310" s="1">
        <f t="shared" si="374"/>
        <v>2.5354296722018388E-2</v>
      </c>
      <c r="D1310">
        <v>14.751131221719</v>
      </c>
      <c r="E1310">
        <v>0.1856103127979</v>
      </c>
      <c r="F1310">
        <v>32</v>
      </c>
    </row>
    <row r="1311" spans="1:9" x14ac:dyDescent="0.25">
      <c r="A1311">
        <v>1846.5828402366999</v>
      </c>
      <c r="B1311">
        <v>1895.5266272189999</v>
      </c>
      <c r="C1311" s="1">
        <f t="shared" si="374"/>
        <v>2.6505058920631042E-2</v>
      </c>
      <c r="D1311">
        <v>14.835595776771999</v>
      </c>
      <c r="E1311">
        <v>0.18731005025111</v>
      </c>
      <c r="F1311">
        <v>29</v>
      </c>
    </row>
    <row r="1312" spans="1:9" x14ac:dyDescent="0.25">
      <c r="A1312">
        <v>1849.1656804734</v>
      </c>
      <c r="B1312">
        <v>1902.2869822486</v>
      </c>
      <c r="C1312" s="1">
        <f t="shared" si="374"/>
        <v>2.8727172657455169E-2</v>
      </c>
      <c r="D1312">
        <v>14.945701357466</v>
      </c>
      <c r="E1312">
        <v>0.18872365520451001</v>
      </c>
      <c r="F1312">
        <v>29</v>
      </c>
    </row>
    <row r="1313" spans="1:9" x14ac:dyDescent="0.25">
      <c r="A1313">
        <v>1848.4556213018</v>
      </c>
      <c r="B1313">
        <v>1898.9201183432001</v>
      </c>
      <c r="C1313" s="1">
        <f t="shared" si="374"/>
        <v>2.730089727870233E-2</v>
      </c>
      <c r="D1313">
        <v>14.458521870287001</v>
      </c>
      <c r="E1313">
        <v>0.18151595161243</v>
      </c>
      <c r="F1313">
        <v>32</v>
      </c>
    </row>
    <row r="1314" spans="1:9" x14ac:dyDescent="0.25">
      <c r="A1314">
        <v>1839.0384615385001</v>
      </c>
      <c r="B1314">
        <v>1890.9201183432001</v>
      </c>
      <c r="C1314" s="1">
        <f t="shared" si="374"/>
        <v>2.8211295135881498E-2</v>
      </c>
      <c r="D1314">
        <v>14.647058823528999</v>
      </c>
      <c r="E1314">
        <v>0.18544376395963</v>
      </c>
      <c r="F1314">
        <v>30</v>
      </c>
    </row>
    <row r="1315" spans="1:9" x14ac:dyDescent="0.25">
      <c r="A1315">
        <v>1848.8136094675001</v>
      </c>
      <c r="B1315">
        <v>1895.6597633136</v>
      </c>
      <c r="C1315" s="1">
        <f t="shared" si="374"/>
        <v>2.5338494700713809E-2</v>
      </c>
      <c r="D1315">
        <v>14.561085972851</v>
      </c>
      <c r="E1315">
        <v>0.18304537911468999</v>
      </c>
      <c r="F1315">
        <v>32</v>
      </c>
    </row>
    <row r="1316" spans="1:9" x14ac:dyDescent="0.25">
      <c r="A1316">
        <v>1831.4201183432001</v>
      </c>
      <c r="B1316">
        <v>1894.9970414202</v>
      </c>
      <c r="C1316" s="1">
        <f t="shared" si="374"/>
        <v>3.4714548802988521E-2</v>
      </c>
      <c r="D1316">
        <v>14.523378582202</v>
      </c>
      <c r="E1316">
        <v>0.18455341883568999</v>
      </c>
      <c r="F1316">
        <v>29</v>
      </c>
    </row>
    <row r="1317" spans="1:9" x14ac:dyDescent="0.25">
      <c r="A1317">
        <v>1856.9437869822</v>
      </c>
      <c r="B1317">
        <v>1900.0798816567999</v>
      </c>
      <c r="C1317" s="1">
        <f t="shared" si="374"/>
        <v>2.3229617922200241E-2</v>
      </c>
      <c r="D1317">
        <v>14.826546003017</v>
      </c>
      <c r="E1317">
        <v>0.18604622561954001</v>
      </c>
      <c r="F1317">
        <v>30</v>
      </c>
    </row>
    <row r="1318" spans="1:9" x14ac:dyDescent="0.25">
      <c r="A1318">
        <v>1850.3668639053001</v>
      </c>
      <c r="B1318">
        <v>1895.3994082841</v>
      </c>
      <c r="C1318" s="1">
        <f t="shared" si="374"/>
        <v>2.4337089718390326E-2</v>
      </c>
      <c r="D1318">
        <v>14.630467571643999</v>
      </c>
      <c r="E1318">
        <v>0.18379939650724</v>
      </c>
      <c r="F1318">
        <v>30</v>
      </c>
      <c r="H1318" t="s">
        <v>17</v>
      </c>
      <c r="I1318">
        <f t="shared" ref="I1318" si="381">STDEVP(A1304:A1323)</f>
        <v>5.7526808040611614</v>
      </c>
    </row>
    <row r="1319" spans="1:9" x14ac:dyDescent="0.25">
      <c r="A1319">
        <v>1848.1065088757</v>
      </c>
      <c r="B1319">
        <v>1895.7692307693001</v>
      </c>
      <c r="C1319" s="1">
        <f t="shared" si="374"/>
        <v>2.5790029776257661E-2</v>
      </c>
      <c r="D1319">
        <v>14.805429864253</v>
      </c>
      <c r="E1319">
        <v>0.18675098634687001</v>
      </c>
      <c r="F1319">
        <v>31</v>
      </c>
      <c r="H1319" t="s">
        <v>18</v>
      </c>
      <c r="I1319">
        <f t="shared" ref="I1319" si="382">STDEVP(B1304:B1323)</f>
        <v>3.9125802929668421</v>
      </c>
    </row>
    <row r="1320" spans="1:9" x14ac:dyDescent="0.25">
      <c r="A1320">
        <v>1854.6153846154</v>
      </c>
      <c r="B1320">
        <v>1896.1538461539001</v>
      </c>
      <c r="C1320" s="1">
        <f t="shared" si="374"/>
        <v>2.2397345499813204E-2</v>
      </c>
      <c r="D1320">
        <v>14.647058823528999</v>
      </c>
      <c r="E1320">
        <v>0.18352643135385999</v>
      </c>
      <c r="F1320">
        <v>30</v>
      </c>
      <c r="H1320" t="s">
        <v>19</v>
      </c>
      <c r="I1320">
        <f t="shared" ref="I1320" si="383">STDEVP(C1304:C1323)</f>
        <v>2.8698032604359026E-3</v>
      </c>
    </row>
    <row r="1321" spans="1:9" x14ac:dyDescent="0.25">
      <c r="A1321">
        <v>1846.7337278107</v>
      </c>
      <c r="B1321">
        <v>1895.3343195267</v>
      </c>
      <c r="C1321" s="1">
        <f t="shared" si="374"/>
        <v>2.6317054258610417E-2</v>
      </c>
      <c r="D1321">
        <v>14.711915535445</v>
      </c>
      <c r="E1321">
        <v>0.18544191234926</v>
      </c>
      <c r="F1321">
        <v>31</v>
      </c>
      <c r="H1321" t="s">
        <v>20</v>
      </c>
      <c r="I1321">
        <f t="shared" ref="I1321" si="384">STDEVP(D1304:D1323)</f>
        <v>0.15294883675452489</v>
      </c>
    </row>
    <row r="1322" spans="1:9" x14ac:dyDescent="0.25">
      <c r="A1322">
        <v>1843.4792899408001</v>
      </c>
      <c r="B1322">
        <v>1891.9556213018</v>
      </c>
      <c r="C1322" s="1">
        <f t="shared" si="374"/>
        <v>2.6296108464856527E-2</v>
      </c>
      <c r="D1322">
        <v>14.585218702865999</v>
      </c>
      <c r="E1322">
        <v>0.18392557518343999</v>
      </c>
      <c r="F1322">
        <v>30</v>
      </c>
      <c r="H1322" t="s">
        <v>21</v>
      </c>
      <c r="I1322">
        <f t="shared" ref="I1322" si="385">STDEVP(E1304:E1323)</f>
        <v>2.2924033496278412E-3</v>
      </c>
    </row>
    <row r="1323" spans="1:9" x14ac:dyDescent="0.25">
      <c r="A1323">
        <v>1840.3491124259999</v>
      </c>
      <c r="B1323">
        <v>1891.5946745562001</v>
      </c>
      <c r="C1323" s="1">
        <f t="shared" si="374"/>
        <v>2.7845565705001851E-2</v>
      </c>
      <c r="D1323">
        <v>14.88838612368</v>
      </c>
      <c r="E1323">
        <v>0.18900704310697</v>
      </c>
      <c r="F1323">
        <v>30</v>
      </c>
      <c r="H1323" t="s">
        <v>22</v>
      </c>
      <c r="I1323">
        <f t="shared" ref="I1323" si="386">STDEVP(F1304:F1323)</f>
        <v>0.92059763197609845</v>
      </c>
    </row>
    <row r="1324" spans="1:9" x14ac:dyDescent="0.25">
      <c r="C1324" s="1" t="str">
        <f t="shared" si="374"/>
        <v/>
      </c>
    </row>
    <row r="1325" spans="1:9" x14ac:dyDescent="0.25">
      <c r="A1325">
        <v>918.74422815753996</v>
      </c>
      <c r="B1325">
        <v>955.86328655501995</v>
      </c>
      <c r="C1325" s="1">
        <f t="shared" si="374"/>
        <v>4.0401950031206058E-2</v>
      </c>
      <c r="D1325">
        <v>9.4597594819611004</v>
      </c>
      <c r="E1325">
        <v>0.25369169725308</v>
      </c>
      <c r="F1325">
        <v>23</v>
      </c>
    </row>
    <row r="1326" spans="1:9" x14ac:dyDescent="0.25">
      <c r="A1326">
        <v>912.62381167949002</v>
      </c>
      <c r="B1326">
        <v>952.96333182437002</v>
      </c>
      <c r="C1326" s="1">
        <f t="shared" si="374"/>
        <v>4.4201695845129896E-2</v>
      </c>
      <c r="D1326">
        <v>9.5818686401480004</v>
      </c>
      <c r="E1326">
        <v>0.25976434746917998</v>
      </c>
      <c r="F1326">
        <v>24</v>
      </c>
    </row>
    <row r="1327" spans="1:9" x14ac:dyDescent="0.25">
      <c r="A1327">
        <v>912.58850158442999</v>
      </c>
      <c r="B1327">
        <v>948.11226799457995</v>
      </c>
      <c r="C1327" s="1">
        <f t="shared" si="374"/>
        <v>3.8926379576856185E-2</v>
      </c>
      <c r="D1327">
        <v>9.5300647548565998</v>
      </c>
      <c r="E1327">
        <v>0.25762017262357001</v>
      </c>
      <c r="F1327">
        <v>24</v>
      </c>
    </row>
    <row r="1328" spans="1:9" x14ac:dyDescent="0.25">
      <c r="A1328">
        <v>918.83023992757001</v>
      </c>
      <c r="B1328">
        <v>947.36532367587995</v>
      </c>
      <c r="C1328" s="1">
        <f t="shared" si="374"/>
        <v>3.1055882260208723E-2</v>
      </c>
      <c r="D1328">
        <v>9.2358926919519</v>
      </c>
      <c r="E1328">
        <v>0.24603627732281999</v>
      </c>
      <c r="F1328">
        <v>25</v>
      </c>
    </row>
    <row r="1329" spans="1:9" x14ac:dyDescent="0.25">
      <c r="A1329">
        <v>914.18198279764999</v>
      </c>
      <c r="B1329">
        <v>944.24717066546998</v>
      </c>
      <c r="C1329" s="1">
        <f t="shared" si="374"/>
        <v>3.2887530528453723E-2</v>
      </c>
      <c r="D1329">
        <v>9.0897317298797002</v>
      </c>
      <c r="E1329">
        <v>0.24230574332159999</v>
      </c>
      <c r="F1329">
        <v>25</v>
      </c>
    </row>
    <row r="1330" spans="1:9" x14ac:dyDescent="0.25">
      <c r="A1330">
        <v>909.25577184246004</v>
      </c>
      <c r="B1330">
        <v>936.89271163422995</v>
      </c>
      <c r="C1330" s="1">
        <f t="shared" si="374"/>
        <v>3.0395121645219847E-2</v>
      </c>
      <c r="D1330">
        <v>9.2358926919519</v>
      </c>
      <c r="E1330">
        <v>0.24905736880466001</v>
      </c>
      <c r="F1330">
        <v>25</v>
      </c>
    </row>
    <row r="1331" spans="1:9" x14ac:dyDescent="0.25">
      <c r="A1331">
        <v>920.52874603892997</v>
      </c>
      <c r="B1331">
        <v>946.87188773202001</v>
      </c>
      <c r="C1331" s="1">
        <f t="shared" si="374"/>
        <v>2.8617402559611094E-2</v>
      </c>
      <c r="D1331">
        <v>9.6096207215540996</v>
      </c>
      <c r="E1331">
        <v>0.25762170580496002</v>
      </c>
      <c r="F1331">
        <v>24</v>
      </c>
    </row>
    <row r="1332" spans="1:9" x14ac:dyDescent="0.25">
      <c r="A1332">
        <v>909.53191489361996</v>
      </c>
      <c r="B1332">
        <v>943.67587143505</v>
      </c>
      <c r="C1332" s="1">
        <f t="shared" si="374"/>
        <v>3.7540141233442625E-2</v>
      </c>
      <c r="D1332">
        <v>9.0434782608696</v>
      </c>
      <c r="E1332">
        <v>0.24250806961772001</v>
      </c>
      <c r="F1332">
        <v>24</v>
      </c>
    </row>
    <row r="1333" spans="1:9" x14ac:dyDescent="0.25">
      <c r="A1333">
        <v>909.60434585785003</v>
      </c>
      <c r="B1333">
        <v>944.97781801721999</v>
      </c>
      <c r="C1333" s="1">
        <f t="shared" si="374"/>
        <v>3.8888855710126569E-2</v>
      </c>
      <c r="D1333">
        <v>9.2210915818686008</v>
      </c>
      <c r="E1333">
        <v>0.24805172536697001</v>
      </c>
      <c r="F1333">
        <v>25</v>
      </c>
    </row>
    <row r="1334" spans="1:9" x14ac:dyDescent="0.25">
      <c r="A1334">
        <v>918.65912177456005</v>
      </c>
      <c r="B1334">
        <v>946.63558171118996</v>
      </c>
      <c r="C1334" s="1">
        <f t="shared" si="374"/>
        <v>3.0453580956762538E-2</v>
      </c>
      <c r="D1334">
        <v>9.2858464384828991</v>
      </c>
      <c r="E1334">
        <v>0.24746270393893999</v>
      </c>
      <c r="F1334">
        <v>24</v>
      </c>
    </row>
    <row r="1335" spans="1:9" x14ac:dyDescent="0.25">
      <c r="A1335">
        <v>906.45903123585003</v>
      </c>
      <c r="B1335">
        <v>933.48755092803003</v>
      </c>
      <c r="C1335" s="1">
        <f t="shared" si="374"/>
        <v>2.9817695848128656E-2</v>
      </c>
      <c r="D1335">
        <v>9.1951896392228996</v>
      </c>
      <c r="E1335">
        <v>0.24867216312377</v>
      </c>
      <c r="F1335">
        <v>23</v>
      </c>
    </row>
    <row r="1336" spans="1:9" x14ac:dyDescent="0.25">
      <c r="A1336">
        <v>911.28927116342004</v>
      </c>
      <c r="B1336">
        <v>944.41466727027</v>
      </c>
      <c r="C1336" s="1">
        <f t="shared" si="374"/>
        <v>3.6350034127538455E-2</v>
      </c>
      <c r="D1336">
        <v>9.3876040703053008</v>
      </c>
      <c r="E1336">
        <v>0.25329255560566</v>
      </c>
      <c r="F1336">
        <v>25</v>
      </c>
    </row>
    <row r="1337" spans="1:9" x14ac:dyDescent="0.25">
      <c r="A1337">
        <v>912.60842009959003</v>
      </c>
      <c r="B1337">
        <v>938.20823902219001</v>
      </c>
      <c r="C1337" s="1">
        <f t="shared" si="374"/>
        <v>2.8051263125324244E-2</v>
      </c>
      <c r="D1337">
        <v>8.8658649398704998</v>
      </c>
      <c r="E1337">
        <v>0.23540493477395999</v>
      </c>
      <c r="F1337">
        <v>24</v>
      </c>
    </row>
    <row r="1338" spans="1:9" x14ac:dyDescent="0.25">
      <c r="A1338">
        <v>909.43775464011003</v>
      </c>
      <c r="B1338">
        <v>947.40063377094998</v>
      </c>
      <c r="C1338" s="1">
        <f t="shared" si="374"/>
        <v>4.1743240740937715E-2</v>
      </c>
      <c r="D1338">
        <v>9.3691026827012003</v>
      </c>
      <c r="E1338">
        <v>0.25369258318262</v>
      </c>
      <c r="F1338">
        <v>24</v>
      </c>
    </row>
    <row r="1339" spans="1:9" x14ac:dyDescent="0.25">
      <c r="A1339">
        <v>919.71661385241998</v>
      </c>
      <c r="B1339">
        <v>948.12675418743004</v>
      </c>
      <c r="C1339" s="1">
        <f t="shared" si="374"/>
        <v>3.089010235012335E-2</v>
      </c>
      <c r="D1339">
        <v>9.4616096207215001</v>
      </c>
      <c r="E1339">
        <v>0.25369469439596998</v>
      </c>
      <c r="F1339">
        <v>23</v>
      </c>
      <c r="H1339" t="s">
        <v>17</v>
      </c>
      <c r="I1339">
        <f t="shared" ref="I1339" si="387">STDEVP(A1325:A1344)</f>
        <v>4.955816363349852</v>
      </c>
    </row>
    <row r="1340" spans="1:9" x14ac:dyDescent="0.25">
      <c r="A1340">
        <v>921.45405160706002</v>
      </c>
      <c r="B1340">
        <v>949.75192394750002</v>
      </c>
      <c r="C1340" s="1">
        <f t="shared" si="374"/>
        <v>3.071001998535583E-2</v>
      </c>
      <c r="D1340">
        <v>9.4264569842738002</v>
      </c>
      <c r="E1340">
        <v>0.25158151225768999</v>
      </c>
      <c r="F1340">
        <v>25</v>
      </c>
      <c r="H1340" t="s">
        <v>18</v>
      </c>
      <c r="I1340">
        <f t="shared" ref="I1340" si="388">STDEVP(B1325:B1344)</f>
        <v>5.2312105243600699</v>
      </c>
    </row>
    <row r="1341" spans="1:9" x14ac:dyDescent="0.25">
      <c r="A1341">
        <v>921.00769578995005</v>
      </c>
      <c r="B1341">
        <v>949.87234042553996</v>
      </c>
      <c r="C1341" s="1">
        <f t="shared" si="374"/>
        <v>3.1340286044876819E-2</v>
      </c>
      <c r="D1341">
        <v>9.2710453283995999</v>
      </c>
      <c r="E1341">
        <v>0.24613886136735</v>
      </c>
      <c r="F1341">
        <v>23</v>
      </c>
      <c r="H1341" t="s">
        <v>19</v>
      </c>
      <c r="I1341">
        <f t="shared" ref="I1341" si="389">STDEVP(C1325:C1344)</f>
        <v>4.9576509606246251E-3</v>
      </c>
    </row>
    <row r="1342" spans="1:9" x14ac:dyDescent="0.25">
      <c r="A1342">
        <v>912.78315980082004</v>
      </c>
      <c r="B1342">
        <v>939.81258488005005</v>
      </c>
      <c r="C1342" s="1">
        <f t="shared" si="374"/>
        <v>2.9612098765196437E-2</v>
      </c>
      <c r="D1342">
        <v>9.3117483811286004</v>
      </c>
      <c r="E1342">
        <v>0.25043566715004001</v>
      </c>
      <c r="F1342">
        <v>24</v>
      </c>
      <c r="H1342" t="s">
        <v>20</v>
      </c>
      <c r="I1342">
        <f t="shared" ref="I1342" si="390">STDEVP(D1325:D1344)</f>
        <v>0.18436806806351502</v>
      </c>
    </row>
    <row r="1343" spans="1:9" x14ac:dyDescent="0.25">
      <c r="A1343">
        <v>922.32684472612004</v>
      </c>
      <c r="B1343">
        <v>949.08736985062001</v>
      </c>
      <c r="C1343" s="1">
        <f t="shared" si="374"/>
        <v>2.9014145340686026E-2</v>
      </c>
      <c r="D1343">
        <v>9.5319148936169995</v>
      </c>
      <c r="E1343">
        <v>0.25447900901857001</v>
      </c>
      <c r="F1343">
        <v>24</v>
      </c>
      <c r="H1343" t="s">
        <v>21</v>
      </c>
      <c r="I1343">
        <f t="shared" ref="I1343" si="391">STDEVP(E1325:E1344)</f>
        <v>5.7989553628811641E-3</v>
      </c>
    </row>
    <row r="1344" spans="1:9" x14ac:dyDescent="0.25">
      <c r="A1344">
        <v>920.72068809415998</v>
      </c>
      <c r="B1344">
        <v>946.37754640109995</v>
      </c>
      <c r="C1344" s="1">
        <f t="shared" si="374"/>
        <v>2.7866060401062764E-2</v>
      </c>
      <c r="D1344">
        <v>9.2802960222016999</v>
      </c>
      <c r="E1344">
        <v>0.24613006127157</v>
      </c>
      <c r="F1344">
        <v>23</v>
      </c>
      <c r="H1344" t="s">
        <v>22</v>
      </c>
      <c r="I1344">
        <f t="shared" ref="I1344" si="392">STDEVP(F1325:F1344)</f>
        <v>0.73993242934743708</v>
      </c>
    </row>
    <row r="1345" spans="1:9" x14ac:dyDescent="0.25">
      <c r="C1345" s="1" t="str">
        <f t="shared" si="374"/>
        <v/>
      </c>
    </row>
    <row r="1346" spans="1:9" x14ac:dyDescent="0.25">
      <c r="A1346">
        <v>619.68571428570999</v>
      </c>
      <c r="B1346">
        <v>643.65306122449999</v>
      </c>
      <c r="C1346" s="1">
        <f t="shared" ref="C1346:C1409" si="393">IFERROR((B1346/A1346)-1,"")</f>
        <v>3.8676616849907974E-2</v>
      </c>
      <c r="D1346">
        <v>10.939130434782999</v>
      </c>
      <c r="E1346">
        <v>0.53669607284755005</v>
      </c>
      <c r="F1346">
        <v>14</v>
      </c>
    </row>
    <row r="1347" spans="1:9" x14ac:dyDescent="0.25">
      <c r="A1347">
        <v>624.22448979592002</v>
      </c>
      <c r="B1347">
        <v>642.91020408164002</v>
      </c>
      <c r="C1347" s="1">
        <f t="shared" si="393"/>
        <v>2.9934285807705185E-2</v>
      </c>
      <c r="D1347">
        <v>10.937474120082999</v>
      </c>
      <c r="E1347">
        <v>0.53034775032505999</v>
      </c>
      <c r="F1347">
        <v>14</v>
      </c>
    </row>
    <row r="1348" spans="1:9" x14ac:dyDescent="0.25">
      <c r="A1348">
        <v>619.47346938776002</v>
      </c>
      <c r="B1348">
        <v>643.32653061225005</v>
      </c>
      <c r="C1348" s="1">
        <f t="shared" si="393"/>
        <v>3.8505379815643392E-2</v>
      </c>
      <c r="D1348">
        <v>10.824016563147</v>
      </c>
      <c r="E1348">
        <v>0.52731719124934995</v>
      </c>
      <c r="F1348">
        <v>14</v>
      </c>
    </row>
    <row r="1349" spans="1:9" x14ac:dyDescent="0.25">
      <c r="A1349">
        <v>625.03673469388002</v>
      </c>
      <c r="B1349">
        <v>647.60000000001003</v>
      </c>
      <c r="C1349" s="1">
        <f t="shared" si="393"/>
        <v>3.6099102746625977E-2</v>
      </c>
      <c r="D1349">
        <v>11.012008281572999</v>
      </c>
      <c r="E1349">
        <v>0.53384679955711001</v>
      </c>
      <c r="F1349">
        <v>14</v>
      </c>
    </row>
    <row r="1350" spans="1:9" x14ac:dyDescent="0.25">
      <c r="A1350">
        <v>627.20816326530996</v>
      </c>
      <c r="B1350">
        <v>643.17142857143995</v>
      </c>
      <c r="C1350" s="1">
        <f t="shared" si="393"/>
        <v>2.5451303476382581E-2</v>
      </c>
      <c r="D1350">
        <v>10.965631469979</v>
      </c>
      <c r="E1350">
        <v>0.5286711709802</v>
      </c>
      <c r="F1350">
        <v>15</v>
      </c>
    </row>
    <row r="1351" spans="1:9" x14ac:dyDescent="0.25">
      <c r="A1351">
        <v>621.73469387754994</v>
      </c>
      <c r="B1351">
        <v>645.56734693879002</v>
      </c>
      <c r="C1351" s="1">
        <f t="shared" si="393"/>
        <v>3.8332512719539302E-2</v>
      </c>
      <c r="D1351">
        <v>10.779296066253</v>
      </c>
      <c r="E1351">
        <v>0.52203385625135001</v>
      </c>
      <c r="F1351">
        <v>14</v>
      </c>
    </row>
    <row r="1352" spans="1:9" x14ac:dyDescent="0.25">
      <c r="A1352">
        <v>622.87346938776</v>
      </c>
      <c r="B1352">
        <v>636.25714285715003</v>
      </c>
      <c r="C1352" s="1">
        <f t="shared" si="393"/>
        <v>2.1486985924356716E-2</v>
      </c>
      <c r="D1352">
        <v>10.887784679089</v>
      </c>
      <c r="E1352">
        <v>0.52825108788385999</v>
      </c>
      <c r="F1352">
        <v>14</v>
      </c>
    </row>
    <row r="1353" spans="1:9" x14ac:dyDescent="0.25">
      <c r="A1353">
        <v>618.29387755102005</v>
      </c>
      <c r="B1353">
        <v>644.71428571429999</v>
      </c>
      <c r="C1353" s="1">
        <f t="shared" si="393"/>
        <v>4.2731149575550909E-2</v>
      </c>
      <c r="D1353">
        <v>10.994616977226</v>
      </c>
      <c r="E1353">
        <v>0.54254623892822995</v>
      </c>
      <c r="F1353">
        <v>14</v>
      </c>
    </row>
    <row r="1354" spans="1:9" x14ac:dyDescent="0.25">
      <c r="A1354">
        <v>616.55510204081997</v>
      </c>
      <c r="B1354">
        <v>645.33469387755997</v>
      </c>
      <c r="C1354" s="1">
        <f t="shared" si="393"/>
        <v>4.667805317234186E-2</v>
      </c>
      <c r="D1354">
        <v>10.920910973085</v>
      </c>
      <c r="E1354">
        <v>0.53865938281907999</v>
      </c>
      <c r="F1354">
        <v>14</v>
      </c>
    </row>
    <row r="1355" spans="1:9" x14ac:dyDescent="0.25">
      <c r="A1355">
        <v>621.16326530612002</v>
      </c>
      <c r="B1355">
        <v>644.10612244899005</v>
      </c>
      <c r="C1355" s="1">
        <f t="shared" si="393"/>
        <v>3.69353089989366E-2</v>
      </c>
      <c r="D1355">
        <v>11.144513457557</v>
      </c>
      <c r="E1355">
        <v>0.55044135352365997</v>
      </c>
      <c r="F1355">
        <v>15</v>
      </c>
    </row>
    <row r="1356" spans="1:9" x14ac:dyDescent="0.25">
      <c r="A1356">
        <v>618.88979591837006</v>
      </c>
      <c r="B1356">
        <v>640.19183673470002</v>
      </c>
      <c r="C1356" s="1">
        <f t="shared" si="393"/>
        <v>3.4419764159659305E-2</v>
      </c>
      <c r="D1356">
        <v>10.627743271222</v>
      </c>
      <c r="E1356">
        <v>0.51439224467946998</v>
      </c>
      <c r="F1356">
        <v>14</v>
      </c>
    </row>
    <row r="1357" spans="1:9" x14ac:dyDescent="0.25">
      <c r="A1357">
        <v>620.39183673468995</v>
      </c>
      <c r="B1357">
        <v>644.04897959184996</v>
      </c>
      <c r="C1357" s="1">
        <f t="shared" si="393"/>
        <v>3.8132582436407825E-2</v>
      </c>
      <c r="D1357">
        <v>10.773498964803</v>
      </c>
      <c r="E1357">
        <v>0.52383113694657002</v>
      </c>
      <c r="F1357">
        <v>14</v>
      </c>
    </row>
    <row r="1358" spans="1:9" x14ac:dyDescent="0.25">
      <c r="A1358">
        <v>620.56734693878002</v>
      </c>
      <c r="B1358">
        <v>650.86530612245997</v>
      </c>
      <c r="C1358" s="1">
        <f t="shared" si="393"/>
        <v>4.8822999362015951E-2</v>
      </c>
      <c r="D1358">
        <v>10.833126293995999</v>
      </c>
      <c r="E1358">
        <v>0.52787031115195004</v>
      </c>
      <c r="F1358">
        <v>14</v>
      </c>
    </row>
    <row r="1359" spans="1:9" x14ac:dyDescent="0.25">
      <c r="A1359">
        <v>624.4</v>
      </c>
      <c r="B1359">
        <v>640.50204081634001</v>
      </c>
      <c r="C1359" s="1">
        <f t="shared" si="393"/>
        <v>2.5788021807078954E-2</v>
      </c>
      <c r="D1359">
        <v>10.805797101449</v>
      </c>
      <c r="E1359">
        <v>0.52004711048066998</v>
      </c>
      <c r="F1359">
        <v>15</v>
      </c>
    </row>
    <row r="1360" spans="1:9" x14ac:dyDescent="0.25">
      <c r="A1360">
        <v>621.64897959183998</v>
      </c>
      <c r="B1360">
        <v>643.16326530613003</v>
      </c>
      <c r="C1360" s="1">
        <f t="shared" si="393"/>
        <v>3.4608414749455196E-2</v>
      </c>
      <c r="D1360">
        <v>10.808281573499</v>
      </c>
      <c r="E1360">
        <v>0.52428594098557002</v>
      </c>
      <c r="F1360">
        <v>14</v>
      </c>
      <c r="H1360" t="s">
        <v>17</v>
      </c>
      <c r="I1360">
        <f t="shared" ref="I1360" si="394">STDEVP(A1346:A1365)</f>
        <v>4.0289494839468523</v>
      </c>
    </row>
    <row r="1361" spans="1:9" x14ac:dyDescent="0.25">
      <c r="A1361">
        <v>624.64897959183998</v>
      </c>
      <c r="B1361">
        <v>641.63265306123003</v>
      </c>
      <c r="C1361" s="1">
        <f t="shared" si="393"/>
        <v>2.71891478642734E-2</v>
      </c>
      <c r="D1361">
        <v>10.95900621118</v>
      </c>
      <c r="E1361">
        <v>0.53052247835738997</v>
      </c>
      <c r="F1361">
        <v>14</v>
      </c>
      <c r="H1361" t="s">
        <v>18</v>
      </c>
      <c r="I1361">
        <f t="shared" ref="I1361" si="395">STDEVP(B1346:B1365)</f>
        <v>3.1444640670646313</v>
      </c>
    </row>
    <row r="1362" spans="1:9" x14ac:dyDescent="0.25">
      <c r="A1362">
        <v>629.33877551019998</v>
      </c>
      <c r="B1362">
        <v>645.51020408164004</v>
      </c>
      <c r="C1362" s="1">
        <f t="shared" si="393"/>
        <v>2.5695903701992595E-2</v>
      </c>
      <c r="D1362">
        <v>10.966459627329</v>
      </c>
      <c r="E1362">
        <v>0.52615692492244004</v>
      </c>
      <c r="F1362">
        <v>14</v>
      </c>
      <c r="H1362" t="s">
        <v>19</v>
      </c>
      <c r="I1362">
        <f t="shared" ref="I1362" si="396">STDEVP(C1346:C1365)</f>
        <v>7.6345846482990896E-3</v>
      </c>
    </row>
    <row r="1363" spans="1:9" x14ac:dyDescent="0.25">
      <c r="A1363">
        <v>615.40408163264999</v>
      </c>
      <c r="B1363">
        <v>643.96734693879</v>
      </c>
      <c r="C1363" s="1">
        <f t="shared" si="393"/>
        <v>4.6413837929645263E-2</v>
      </c>
      <c r="D1363">
        <v>10.662525879917</v>
      </c>
      <c r="E1363">
        <v>0.52097557765864</v>
      </c>
      <c r="F1363">
        <v>14</v>
      </c>
      <c r="H1363" t="s">
        <v>20</v>
      </c>
      <c r="I1363">
        <f t="shared" ref="I1363" si="397">STDEVP(D1346:D1365)</f>
        <v>0.13130598010328828</v>
      </c>
    </row>
    <row r="1364" spans="1:9" x14ac:dyDescent="0.25">
      <c r="A1364">
        <v>629.30204081632996</v>
      </c>
      <c r="B1364">
        <v>649.26530612245995</v>
      </c>
      <c r="C1364" s="1">
        <f t="shared" si="393"/>
        <v>3.172286757601106E-2</v>
      </c>
      <c r="D1364">
        <v>11.044306418219</v>
      </c>
      <c r="E1364">
        <v>0.53250418343775996</v>
      </c>
      <c r="F1364">
        <v>15</v>
      </c>
      <c r="H1364" t="s">
        <v>21</v>
      </c>
      <c r="I1364">
        <f t="shared" ref="I1364" si="398">STDEVP(E1346:E1365)</f>
        <v>8.1684158816689306E-3</v>
      </c>
    </row>
    <row r="1365" spans="1:9" x14ac:dyDescent="0.25">
      <c r="A1365">
        <v>614.95102040816005</v>
      </c>
      <c r="B1365">
        <v>641.18775510205001</v>
      </c>
      <c r="C1365" s="1">
        <f t="shared" si="393"/>
        <v>4.2664755115742192E-2</v>
      </c>
      <c r="D1365">
        <v>10.681573498964999</v>
      </c>
      <c r="E1365">
        <v>0.52343827443188995</v>
      </c>
      <c r="F1365">
        <v>14</v>
      </c>
      <c r="H1365" t="s">
        <v>22</v>
      </c>
      <c r="I1365">
        <f t="shared" ref="I1365" si="399">STDEVP(F1346:F1365)</f>
        <v>0.39999999999999997</v>
      </c>
    </row>
    <row r="1366" spans="1:9" x14ac:dyDescent="0.25">
      <c r="C1366" s="1" t="str">
        <f t="shared" si="393"/>
        <v/>
      </c>
    </row>
    <row r="1367" spans="1:9" x14ac:dyDescent="0.25">
      <c r="A1367">
        <v>2718.5681818182002</v>
      </c>
      <c r="B1367">
        <v>2762.8388429749998</v>
      </c>
      <c r="C1367" s="1">
        <f t="shared" si="393"/>
        <v>1.6284550614872328E-2</v>
      </c>
      <c r="D1367">
        <v>20.310344827586</v>
      </c>
      <c r="E1367">
        <v>0.17342703405028001</v>
      </c>
      <c r="F1367">
        <v>38</v>
      </c>
    </row>
    <row r="1368" spans="1:9" x14ac:dyDescent="0.25">
      <c r="A1368">
        <v>2729.9400826445999</v>
      </c>
      <c r="B1368">
        <v>2766.5630165287998</v>
      </c>
      <c r="C1368" s="1">
        <f t="shared" si="393"/>
        <v>1.3415288532165004E-2</v>
      </c>
      <c r="D1368">
        <v>20.455590386625001</v>
      </c>
      <c r="E1368">
        <v>0.17399726823091</v>
      </c>
      <c r="F1368">
        <v>38</v>
      </c>
    </row>
    <row r="1369" spans="1:9" x14ac:dyDescent="0.25">
      <c r="A1369">
        <v>2732.3140495868001</v>
      </c>
      <c r="B1369">
        <v>2772.2200413221999</v>
      </c>
      <c r="C1369" s="1">
        <f t="shared" si="393"/>
        <v>1.4605199479699182E-2</v>
      </c>
      <c r="D1369">
        <v>20.433124346917001</v>
      </c>
      <c r="E1369">
        <v>0.17366160960638</v>
      </c>
      <c r="F1369">
        <v>38</v>
      </c>
    </row>
    <row r="1370" spans="1:9" x14ac:dyDescent="0.25">
      <c r="A1370">
        <v>2729.0330578511998</v>
      </c>
      <c r="B1370">
        <v>2770.5960743800001</v>
      </c>
      <c r="C1370" s="1">
        <f t="shared" si="393"/>
        <v>1.5229942491618687E-2</v>
      </c>
      <c r="D1370">
        <v>20.730407523511001</v>
      </c>
      <c r="E1370">
        <v>0.17684276580392999</v>
      </c>
      <c r="F1370">
        <v>38</v>
      </c>
    </row>
    <row r="1371" spans="1:9" x14ac:dyDescent="0.25">
      <c r="A1371">
        <v>2721.6322314049999</v>
      </c>
      <c r="B1371">
        <v>2763.7345041321</v>
      </c>
      <c r="C1371" s="1">
        <f t="shared" si="393"/>
        <v>1.5469493725596362E-2</v>
      </c>
      <c r="D1371">
        <v>20.260710553814</v>
      </c>
      <c r="E1371">
        <v>0.17270856539223001</v>
      </c>
      <c r="F1371">
        <v>38</v>
      </c>
    </row>
    <row r="1372" spans="1:9" x14ac:dyDescent="0.25">
      <c r="A1372">
        <v>2708.8904958677999</v>
      </c>
      <c r="B1372">
        <v>2759.6435950412001</v>
      </c>
      <c r="C1372" s="1">
        <f t="shared" si="393"/>
        <v>1.8735751500778663E-2</v>
      </c>
      <c r="D1372">
        <v>20.417450365726001</v>
      </c>
      <c r="E1372">
        <v>0.17526519105244001</v>
      </c>
      <c r="F1372">
        <v>38</v>
      </c>
    </row>
    <row r="1373" spans="1:9" x14ac:dyDescent="0.25">
      <c r="A1373">
        <v>2729.3946280992</v>
      </c>
      <c r="B1373">
        <v>2773.4483471072999</v>
      </c>
      <c r="C1373" s="1">
        <f t="shared" si="393"/>
        <v>1.6140472526239291E-2</v>
      </c>
      <c r="D1373">
        <v>20.513061650992999</v>
      </c>
      <c r="E1373">
        <v>0.17463192069066</v>
      </c>
      <c r="F1373">
        <v>38</v>
      </c>
    </row>
    <row r="1374" spans="1:9" x14ac:dyDescent="0.25">
      <c r="A1374">
        <v>2720.7871900825999</v>
      </c>
      <c r="B1374">
        <v>2762.4545454544</v>
      </c>
      <c r="C1374" s="1">
        <f t="shared" si="393"/>
        <v>1.5314448525661772E-2</v>
      </c>
      <c r="D1374">
        <v>20.389237199581999</v>
      </c>
      <c r="E1374">
        <v>0.17409006520331999</v>
      </c>
      <c r="F1374">
        <v>38</v>
      </c>
    </row>
    <row r="1375" spans="1:9" x14ac:dyDescent="0.25">
      <c r="A1375">
        <v>2725.1177685950001</v>
      </c>
      <c r="B1375">
        <v>2764.9090909089</v>
      </c>
      <c r="C1375" s="1">
        <f t="shared" si="393"/>
        <v>1.460168906183279E-2</v>
      </c>
      <c r="D1375">
        <v>20.612852664577002</v>
      </c>
      <c r="E1375">
        <v>0.17595445798847001</v>
      </c>
      <c r="F1375">
        <v>38</v>
      </c>
    </row>
    <row r="1376" spans="1:9" x14ac:dyDescent="0.25">
      <c r="A1376">
        <v>2722.6425619834999</v>
      </c>
      <c r="B1376">
        <v>2767.4070247932</v>
      </c>
      <c r="C1376" s="1">
        <f t="shared" si="393"/>
        <v>1.6441549630770602E-2</v>
      </c>
      <c r="D1376">
        <v>20.439393939394002</v>
      </c>
      <c r="E1376">
        <v>0.17445908820950001</v>
      </c>
      <c r="F1376">
        <v>38</v>
      </c>
    </row>
    <row r="1377" spans="1:9" x14ac:dyDescent="0.25">
      <c r="A1377">
        <v>2714.8739669421002</v>
      </c>
      <c r="B1377">
        <v>2759.8037190081</v>
      </c>
      <c r="C1377" s="1">
        <f t="shared" si="393"/>
        <v>1.6549479870185735E-2</v>
      </c>
      <c r="D1377">
        <v>20.333855799373001</v>
      </c>
      <c r="E1377">
        <v>0.17394946861491001</v>
      </c>
      <c r="F1377">
        <v>38</v>
      </c>
    </row>
    <row r="1378" spans="1:9" x14ac:dyDescent="0.25">
      <c r="A1378">
        <v>2727.1880165288999</v>
      </c>
      <c r="B1378">
        <v>2762.4369834709</v>
      </c>
      <c r="C1378" s="1">
        <f t="shared" si="393"/>
        <v>1.2925022671104403E-2</v>
      </c>
      <c r="D1378">
        <v>20.422152560084001</v>
      </c>
      <c r="E1378">
        <v>0.17392577605382001</v>
      </c>
      <c r="F1378">
        <v>39</v>
      </c>
    </row>
    <row r="1379" spans="1:9" x14ac:dyDescent="0.25">
      <c r="A1379">
        <v>2727.6983471074</v>
      </c>
      <c r="B1379">
        <v>2768.8502066114002</v>
      </c>
      <c r="C1379" s="1">
        <f t="shared" si="393"/>
        <v>1.5086660718051759E-2</v>
      </c>
      <c r="D1379">
        <v>20.681295715777999</v>
      </c>
      <c r="E1379">
        <v>0.17649246714483</v>
      </c>
      <c r="F1379">
        <v>38</v>
      </c>
    </row>
    <row r="1380" spans="1:9" x14ac:dyDescent="0.25">
      <c r="A1380">
        <v>2728.1962809917</v>
      </c>
      <c r="B1380">
        <v>2766.7510330577002</v>
      </c>
      <c r="C1380" s="1">
        <f t="shared" si="393"/>
        <v>1.4131956829728454E-2</v>
      </c>
      <c r="D1380">
        <v>20.498432601880999</v>
      </c>
      <c r="E1380">
        <v>0.17459463022287</v>
      </c>
      <c r="F1380">
        <v>38</v>
      </c>
    </row>
    <row r="1381" spans="1:9" x14ac:dyDescent="0.25">
      <c r="A1381">
        <v>2725.3078512397001</v>
      </c>
      <c r="B1381">
        <v>2768.2252066114002</v>
      </c>
      <c r="C1381" s="1">
        <f t="shared" si="393"/>
        <v>1.5747709144923849E-2</v>
      </c>
      <c r="D1381">
        <v>20.373040752350999</v>
      </c>
      <c r="E1381">
        <v>0.17364029581556001</v>
      </c>
      <c r="F1381">
        <v>38</v>
      </c>
      <c r="H1381" t="s">
        <v>17</v>
      </c>
      <c r="I1381">
        <f t="shared" ref="I1381" si="400">STDEVP(A1367:A1386)</f>
        <v>6.0767102687836463</v>
      </c>
    </row>
    <row r="1382" spans="1:9" x14ac:dyDescent="0.25">
      <c r="A1382">
        <v>2718.3388429751999</v>
      </c>
      <c r="B1382">
        <v>2757.7603305784</v>
      </c>
      <c r="C1382" s="1">
        <f t="shared" si="393"/>
        <v>1.4502050656809873E-2</v>
      </c>
      <c r="D1382">
        <v>20.311389759666</v>
      </c>
      <c r="E1382">
        <v>0.17344468087882001</v>
      </c>
      <c r="F1382">
        <v>38</v>
      </c>
      <c r="H1382" t="s">
        <v>18</v>
      </c>
      <c r="I1382">
        <f t="shared" ref="I1382" si="401">STDEVP(B1367:B1386)</f>
        <v>4.5416710619678815</v>
      </c>
    </row>
    <row r="1383" spans="1:9" x14ac:dyDescent="0.25">
      <c r="A1383">
        <v>2712.1280991734998</v>
      </c>
      <c r="B1383">
        <v>2755.3688016526999</v>
      </c>
      <c r="C1383" s="1">
        <f t="shared" si="393"/>
        <v>1.5943458751958461E-2</v>
      </c>
      <c r="D1383">
        <v>20.446708463949999</v>
      </c>
      <c r="E1383">
        <v>0.17525145700290001</v>
      </c>
      <c r="F1383">
        <v>38</v>
      </c>
      <c r="H1383" t="s">
        <v>19</v>
      </c>
      <c r="I1383">
        <f t="shared" ref="I1383" si="402">STDEVP(C1367:C1386)</f>
        <v>1.2614791111841364E-3</v>
      </c>
    </row>
    <row r="1384" spans="1:9" x14ac:dyDescent="0.25">
      <c r="A1384">
        <v>2721.0061983471001</v>
      </c>
      <c r="B1384">
        <v>2765.2778925617999</v>
      </c>
      <c r="C1384" s="1">
        <f t="shared" si="393"/>
        <v>1.6270339347846052E-2</v>
      </c>
      <c r="D1384">
        <v>20.560083594565999</v>
      </c>
      <c r="E1384">
        <v>0.17573306113619999</v>
      </c>
      <c r="F1384">
        <v>39</v>
      </c>
      <c r="H1384" t="s">
        <v>20</v>
      </c>
      <c r="I1384">
        <f t="shared" ref="I1384" si="403">STDEVP(D1367:D1386)</f>
        <v>0.12032378148337029</v>
      </c>
    </row>
    <row r="1385" spans="1:9" x14ac:dyDescent="0.25">
      <c r="A1385">
        <v>2719.847107438</v>
      </c>
      <c r="B1385">
        <v>2764.0826446279002</v>
      </c>
      <c r="C1385" s="1">
        <f t="shared" si="393"/>
        <v>1.6263979349768976E-2</v>
      </c>
      <c r="D1385">
        <v>20.341692789968999</v>
      </c>
      <c r="E1385">
        <v>0.17363316063726</v>
      </c>
      <c r="F1385">
        <v>38</v>
      </c>
      <c r="H1385" t="s">
        <v>21</v>
      </c>
      <c r="I1385">
        <f t="shared" ref="I1385" si="404">STDEVP(E1367:E1386)</f>
        <v>1.0723655332874735E-3</v>
      </c>
    </row>
    <row r="1386" spans="1:9" x14ac:dyDescent="0.25">
      <c r="A1386">
        <v>2725.1446280992</v>
      </c>
      <c r="B1386">
        <v>2764.1828512395</v>
      </c>
      <c r="C1386" s="1">
        <f t="shared" si="393"/>
        <v>1.4325193143062354E-2</v>
      </c>
      <c r="D1386">
        <v>20.478578892371999</v>
      </c>
      <c r="E1386">
        <v>0.17460087016602999</v>
      </c>
      <c r="F1386">
        <v>38</v>
      </c>
      <c r="H1386" t="s">
        <v>22</v>
      </c>
      <c r="I1386">
        <f t="shared" ref="I1386" si="405">STDEVP(F1367:F1386)</f>
        <v>0.29999999999999993</v>
      </c>
    </row>
    <row r="1387" spans="1:9" x14ac:dyDescent="0.25">
      <c r="C1387" s="1" t="str">
        <f t="shared" si="393"/>
        <v/>
      </c>
    </row>
    <row r="1388" spans="1:9" x14ac:dyDescent="0.25">
      <c r="A1388">
        <v>703.56454491373995</v>
      </c>
      <c r="B1388">
        <v>729.84295062463002</v>
      </c>
      <c r="C1388" s="1">
        <f t="shared" si="393"/>
        <v>3.7350383700918144E-2</v>
      </c>
      <c r="D1388">
        <v>10.192682926829001</v>
      </c>
      <c r="E1388">
        <v>0.39539757608436998</v>
      </c>
      <c r="F1388">
        <v>16</v>
      </c>
    </row>
    <row r="1389" spans="1:9" x14ac:dyDescent="0.25">
      <c r="A1389">
        <v>707.59666864961002</v>
      </c>
      <c r="B1389">
        <v>738.29744199880997</v>
      </c>
      <c r="C1389" s="1">
        <f t="shared" si="393"/>
        <v>4.3387391022897015E-2</v>
      </c>
      <c r="D1389">
        <v>10.326829268293</v>
      </c>
      <c r="E1389">
        <v>0.39898820172830002</v>
      </c>
      <c r="F1389">
        <v>16</v>
      </c>
    </row>
    <row r="1390" spans="1:9" x14ac:dyDescent="0.25">
      <c r="A1390">
        <v>693.29922665080005</v>
      </c>
      <c r="B1390">
        <v>718.08685306365999</v>
      </c>
      <c r="C1390" s="1">
        <f t="shared" si="393"/>
        <v>3.5753143029748191E-2</v>
      </c>
      <c r="D1390">
        <v>9.9365853658537002</v>
      </c>
      <c r="E1390">
        <v>0.38954469350064003</v>
      </c>
      <c r="F1390">
        <v>17</v>
      </c>
    </row>
    <row r="1391" spans="1:9" x14ac:dyDescent="0.25">
      <c r="A1391">
        <v>688.69482450921998</v>
      </c>
      <c r="B1391">
        <v>728.88042831647999</v>
      </c>
      <c r="C1391" s="1">
        <f t="shared" si="393"/>
        <v>5.8350378683181159E-2</v>
      </c>
      <c r="D1391">
        <v>9.7756097560975999</v>
      </c>
      <c r="E1391">
        <v>0.38485491146320999</v>
      </c>
      <c r="F1391">
        <v>16</v>
      </c>
    </row>
    <row r="1392" spans="1:9" x14ac:dyDescent="0.25">
      <c r="A1392">
        <v>701.90957763235997</v>
      </c>
      <c r="B1392">
        <v>728.67935752529002</v>
      </c>
      <c r="C1392" s="1">
        <f t="shared" si="393"/>
        <v>3.813850208915559E-2</v>
      </c>
      <c r="D1392">
        <v>10.185365853659</v>
      </c>
      <c r="E1392">
        <v>0.39592904253967998</v>
      </c>
      <c r="F1392">
        <v>17</v>
      </c>
    </row>
    <row r="1393" spans="1:9" x14ac:dyDescent="0.25">
      <c r="A1393">
        <v>690.58179654967</v>
      </c>
      <c r="B1393">
        <v>725.21713265913002</v>
      </c>
      <c r="C1393" s="1">
        <f t="shared" si="393"/>
        <v>5.0153850394706767E-2</v>
      </c>
      <c r="D1393">
        <v>10.107317073171</v>
      </c>
      <c r="E1393">
        <v>0.40063137819025002</v>
      </c>
      <c r="F1393">
        <v>16</v>
      </c>
    </row>
    <row r="1394" spans="1:9" x14ac:dyDescent="0.25">
      <c r="A1394">
        <v>696.11421772753999</v>
      </c>
      <c r="B1394">
        <v>733.60261748958999</v>
      </c>
      <c r="C1394" s="1">
        <f t="shared" si="393"/>
        <v>5.3853805607405381E-2</v>
      </c>
      <c r="D1394">
        <v>9.9658536585366004</v>
      </c>
      <c r="E1394">
        <v>0.38864197378421</v>
      </c>
      <c r="F1394">
        <v>16</v>
      </c>
    </row>
    <row r="1395" spans="1:9" x14ac:dyDescent="0.25">
      <c r="A1395">
        <v>691.09458655562003</v>
      </c>
      <c r="B1395">
        <v>736.68887566925002</v>
      </c>
      <c r="C1395" s="1">
        <f t="shared" si="393"/>
        <v>6.5974021502424929E-2</v>
      </c>
      <c r="D1395">
        <v>10.156097560976001</v>
      </c>
      <c r="E1395">
        <v>0.40332800758436999</v>
      </c>
      <c r="F1395">
        <v>17</v>
      </c>
    </row>
    <row r="1396" spans="1:9" x14ac:dyDescent="0.25">
      <c r="A1396">
        <v>695.60499702558002</v>
      </c>
      <c r="B1396">
        <v>730.23795359905</v>
      </c>
      <c r="C1396" s="1">
        <f t="shared" si="393"/>
        <v>4.9788251553052554E-2</v>
      </c>
      <c r="D1396">
        <v>10.109756097561</v>
      </c>
      <c r="E1396">
        <v>0.39708105360751</v>
      </c>
      <c r="F1396">
        <v>16</v>
      </c>
    </row>
    <row r="1397" spans="1:9" x14ac:dyDescent="0.25">
      <c r="A1397">
        <v>689.21475312313999</v>
      </c>
      <c r="B1397">
        <v>727.21713265913002</v>
      </c>
      <c r="C1397" s="1">
        <f t="shared" si="393"/>
        <v>5.5138662316475795E-2</v>
      </c>
      <c r="D1397">
        <v>9.8097560975609994</v>
      </c>
      <c r="E1397">
        <v>0.38641493758917</v>
      </c>
      <c r="F1397">
        <v>17</v>
      </c>
    </row>
    <row r="1398" spans="1:9" x14ac:dyDescent="0.25">
      <c r="A1398">
        <v>700.56038072575996</v>
      </c>
      <c r="B1398">
        <v>729.52171326591997</v>
      </c>
      <c r="C1398" s="1">
        <f t="shared" si="393"/>
        <v>4.134023752550342E-2</v>
      </c>
      <c r="D1398">
        <v>10.151219512195</v>
      </c>
      <c r="E1398">
        <v>0.39555509519542997</v>
      </c>
      <c r="F1398">
        <v>16</v>
      </c>
    </row>
    <row r="1399" spans="1:9" x14ac:dyDescent="0.25">
      <c r="A1399">
        <v>691.73944080904005</v>
      </c>
      <c r="B1399">
        <v>736.43188578228001</v>
      </c>
      <c r="C1399" s="1">
        <f t="shared" si="393"/>
        <v>6.4608785239958166E-2</v>
      </c>
      <c r="D1399">
        <v>9.8341463414634003</v>
      </c>
      <c r="E1399">
        <v>0.38511430311709999</v>
      </c>
      <c r="F1399">
        <v>17</v>
      </c>
    </row>
    <row r="1400" spans="1:9" x14ac:dyDescent="0.25">
      <c r="A1400">
        <v>698.82450922069995</v>
      </c>
      <c r="B1400">
        <v>733.74657941702003</v>
      </c>
      <c r="C1400" s="1">
        <f t="shared" si="393"/>
        <v>4.9972589306095827E-2</v>
      </c>
      <c r="D1400">
        <v>9.9097560975610008</v>
      </c>
      <c r="E1400">
        <v>0.38402210758471</v>
      </c>
      <c r="F1400">
        <v>16</v>
      </c>
    </row>
    <row r="1401" spans="1:9" x14ac:dyDescent="0.25">
      <c r="A1401">
        <v>699.97144556810997</v>
      </c>
      <c r="B1401">
        <v>725.88935157645005</v>
      </c>
      <c r="C1401" s="1">
        <f t="shared" si="393"/>
        <v>3.7027090422673714E-2</v>
      </c>
      <c r="D1401">
        <v>10.058536585365999</v>
      </c>
      <c r="E1401">
        <v>0.39086124289478003</v>
      </c>
      <c r="F1401">
        <v>17</v>
      </c>
    </row>
    <row r="1402" spans="1:9" x14ac:dyDescent="0.25">
      <c r="A1402">
        <v>696.06067816775999</v>
      </c>
      <c r="B1402">
        <v>728.41998810231996</v>
      </c>
      <c r="C1402" s="1">
        <f t="shared" si="393"/>
        <v>4.6489208411742755E-2</v>
      </c>
      <c r="D1402">
        <v>10.175609756098</v>
      </c>
      <c r="E1402">
        <v>0.40027240954058002</v>
      </c>
      <c r="F1402">
        <v>16</v>
      </c>
      <c r="H1402" t="s">
        <v>17</v>
      </c>
      <c r="I1402">
        <f t="shared" ref="I1402" si="406">STDEVP(A1388:A1407)</f>
        <v>5.3105450398659926</v>
      </c>
    </row>
    <row r="1403" spans="1:9" x14ac:dyDescent="0.25">
      <c r="A1403">
        <v>703.25401546698004</v>
      </c>
      <c r="B1403">
        <v>734.10826888757003</v>
      </c>
      <c r="C1403" s="1">
        <f t="shared" si="393"/>
        <v>4.3873554564920481E-2</v>
      </c>
      <c r="D1403">
        <v>10.129268292682999</v>
      </c>
      <c r="E1403">
        <v>0.39243521891205002</v>
      </c>
      <c r="F1403">
        <v>17</v>
      </c>
      <c r="H1403" t="s">
        <v>18</v>
      </c>
      <c r="I1403">
        <f t="shared" ref="I1403" si="407">STDEVP(B1388:B1407)</f>
        <v>5.1806662243097472</v>
      </c>
    </row>
    <row r="1404" spans="1:9" x14ac:dyDescent="0.25">
      <c r="A1404">
        <v>695.76442593694003</v>
      </c>
      <c r="B1404">
        <v>730.98512790005998</v>
      </c>
      <c r="C1404" s="1">
        <f t="shared" si="393"/>
        <v>5.0621590656479087E-2</v>
      </c>
      <c r="D1404">
        <v>9.9829268292682993</v>
      </c>
      <c r="E1404">
        <v>0.38989348094283</v>
      </c>
      <c r="F1404">
        <v>16</v>
      </c>
      <c r="H1404" t="s">
        <v>19</v>
      </c>
      <c r="I1404">
        <f t="shared" ref="I1404" si="408">STDEVP(C1388:C1407)</f>
        <v>8.9282654904806226E-3</v>
      </c>
    </row>
    <row r="1405" spans="1:9" x14ac:dyDescent="0.25">
      <c r="A1405">
        <v>698.4759071981</v>
      </c>
      <c r="B1405">
        <v>726.98869720405003</v>
      </c>
      <c r="C1405" s="1">
        <f t="shared" si="393"/>
        <v>4.0821436662472177E-2</v>
      </c>
      <c r="D1405">
        <v>10.124390243902001</v>
      </c>
      <c r="E1405">
        <v>0.39561713083060002</v>
      </c>
      <c r="F1405">
        <v>16</v>
      </c>
      <c r="H1405" t="s">
        <v>20</v>
      </c>
      <c r="I1405">
        <f t="shared" ref="I1405" si="409">STDEVP(D1388:D1407)</f>
        <v>0.14073318678689095</v>
      </c>
    </row>
    <row r="1406" spans="1:9" x14ac:dyDescent="0.25">
      <c r="A1406">
        <v>703.27543129089997</v>
      </c>
      <c r="B1406">
        <v>730.15704937536998</v>
      </c>
      <c r="C1406" s="1">
        <f t="shared" si="393"/>
        <v>3.8223456825624336E-2</v>
      </c>
      <c r="D1406">
        <v>10.085365853659001</v>
      </c>
      <c r="E1406">
        <v>0.38973338172346</v>
      </c>
      <c r="F1406">
        <v>17</v>
      </c>
      <c r="H1406" t="s">
        <v>21</v>
      </c>
      <c r="I1406">
        <f t="shared" ref="I1406" si="410">STDEVP(E1388:E1407)</f>
        <v>5.5694181986020198E-3</v>
      </c>
    </row>
    <row r="1407" spans="1:9" x14ac:dyDescent="0.25">
      <c r="A1407">
        <v>691.78227245687003</v>
      </c>
      <c r="B1407">
        <v>718.32123735872005</v>
      </c>
      <c r="C1407" s="1">
        <f t="shared" si="393"/>
        <v>3.8363175754123846E-2</v>
      </c>
      <c r="D1407">
        <v>10.046341463415001</v>
      </c>
      <c r="E1407">
        <v>0.39671080327358998</v>
      </c>
      <c r="F1407">
        <v>16</v>
      </c>
      <c r="H1407" t="s">
        <v>22</v>
      </c>
      <c r="I1407">
        <f t="shared" ref="I1407" si="411">STDEVP(F1388:F1407)</f>
        <v>0.48989794855663565</v>
      </c>
    </row>
    <row r="1408" spans="1:9" x14ac:dyDescent="0.25">
      <c r="C1408" s="1" t="str">
        <f t="shared" si="393"/>
        <v/>
      </c>
    </row>
    <row r="1409" spans="1:9" x14ac:dyDescent="0.25">
      <c r="A1409">
        <v>1817.6</v>
      </c>
      <c r="B1409">
        <v>1848.75</v>
      </c>
      <c r="C1409" s="1">
        <f t="shared" si="393"/>
        <v>1.7137984154929731E-2</v>
      </c>
      <c r="D1409">
        <v>15.146153846154</v>
      </c>
      <c r="E1409">
        <v>0.19421170847222999</v>
      </c>
      <c r="F1409">
        <v>30</v>
      </c>
    </row>
    <row r="1410" spans="1:9" x14ac:dyDescent="0.25">
      <c r="A1410">
        <v>1816.35</v>
      </c>
      <c r="B1410">
        <v>1871.925</v>
      </c>
      <c r="C1410" s="1">
        <f t="shared" ref="C1410:C1473" si="412">IFERROR((B1410/A1410)-1,"")</f>
        <v>3.0597076554628844E-2</v>
      </c>
      <c r="D1410">
        <v>15.479487179487</v>
      </c>
      <c r="E1410">
        <v>0.19957312945222999</v>
      </c>
      <c r="F1410">
        <v>30</v>
      </c>
    </row>
    <row r="1411" spans="1:9" x14ac:dyDescent="0.25">
      <c r="A1411">
        <v>1802.5</v>
      </c>
      <c r="B1411">
        <v>1858.2</v>
      </c>
      <c r="C1411" s="1">
        <f t="shared" si="412"/>
        <v>3.0901525658807216E-2</v>
      </c>
      <c r="D1411">
        <v>15.407692307692001</v>
      </c>
      <c r="E1411">
        <v>0.20029809918686001</v>
      </c>
      <c r="F1411">
        <v>30</v>
      </c>
    </row>
    <row r="1412" spans="1:9" x14ac:dyDescent="0.25">
      <c r="A1412">
        <v>1803.1</v>
      </c>
      <c r="B1412">
        <v>1863.7</v>
      </c>
      <c r="C1412" s="1">
        <f t="shared" si="412"/>
        <v>3.3608784870500896E-2</v>
      </c>
      <c r="D1412">
        <v>15.210256410255999</v>
      </c>
      <c r="E1412">
        <v>0.19712919687809999</v>
      </c>
      <c r="F1412">
        <v>31</v>
      </c>
    </row>
    <row r="1413" spans="1:9" x14ac:dyDescent="0.25">
      <c r="A1413">
        <v>1812.3</v>
      </c>
      <c r="B1413">
        <v>1845.9749999999999</v>
      </c>
      <c r="C1413" s="1">
        <f t="shared" si="412"/>
        <v>1.8581360701870553E-2</v>
      </c>
      <c r="D1413">
        <v>15.410256410256</v>
      </c>
      <c r="E1413">
        <v>0.1989461343001</v>
      </c>
      <c r="F1413">
        <v>30</v>
      </c>
    </row>
    <row r="1414" spans="1:9" x14ac:dyDescent="0.25">
      <c r="A1414">
        <v>1797</v>
      </c>
      <c r="B1414">
        <v>1847.9749999999999</v>
      </c>
      <c r="C1414" s="1">
        <f t="shared" si="412"/>
        <v>2.8366722314969284E-2</v>
      </c>
      <c r="D1414">
        <v>15.279487179487001</v>
      </c>
      <c r="E1414">
        <v>0.19905673089675999</v>
      </c>
      <c r="F1414">
        <v>31</v>
      </c>
    </row>
    <row r="1415" spans="1:9" x14ac:dyDescent="0.25">
      <c r="A1415">
        <v>1806.35</v>
      </c>
      <c r="B1415">
        <v>1841.45</v>
      </c>
      <c r="C1415" s="1">
        <f t="shared" si="412"/>
        <v>1.943145016192882E-2</v>
      </c>
      <c r="D1415">
        <v>15.258974358973999</v>
      </c>
      <c r="E1415">
        <v>0.19731743512086999</v>
      </c>
      <c r="F1415">
        <v>30</v>
      </c>
    </row>
    <row r="1416" spans="1:9" x14ac:dyDescent="0.25">
      <c r="A1416">
        <v>1801.85</v>
      </c>
      <c r="B1416">
        <v>1843.425</v>
      </c>
      <c r="C1416" s="1">
        <f t="shared" si="412"/>
        <v>2.3073507783666791E-2</v>
      </c>
      <c r="D1416">
        <v>14.917948717949001</v>
      </c>
      <c r="E1416">
        <v>0.19270499527945001</v>
      </c>
      <c r="F1416">
        <v>31</v>
      </c>
    </row>
    <row r="1417" spans="1:9" x14ac:dyDescent="0.25">
      <c r="A1417">
        <v>1802.1</v>
      </c>
      <c r="B1417">
        <v>1850.175</v>
      </c>
      <c r="C1417" s="1">
        <f t="shared" si="412"/>
        <v>2.6677209921758038E-2</v>
      </c>
      <c r="D1417">
        <v>15.302564102564</v>
      </c>
      <c r="E1417">
        <v>0.19877382261400001</v>
      </c>
      <c r="F1417">
        <v>31</v>
      </c>
    </row>
    <row r="1418" spans="1:9" x14ac:dyDescent="0.25">
      <c r="A1418">
        <v>1803.15</v>
      </c>
      <c r="B1418">
        <v>1850.25</v>
      </c>
      <c r="C1418" s="1">
        <f t="shared" si="412"/>
        <v>2.6120954995424661E-2</v>
      </c>
      <c r="D1418">
        <v>15.438461538462001</v>
      </c>
      <c r="E1418">
        <v>0.20070687282031999</v>
      </c>
      <c r="F1418">
        <v>30</v>
      </c>
    </row>
    <row r="1419" spans="1:9" x14ac:dyDescent="0.25">
      <c r="A1419">
        <v>1803.25</v>
      </c>
      <c r="B1419">
        <v>1847.2750000000001</v>
      </c>
      <c r="C1419" s="1">
        <f t="shared" si="412"/>
        <v>2.4414252044918872E-2</v>
      </c>
      <c r="D1419">
        <v>14.946153846154001</v>
      </c>
      <c r="E1419">
        <v>0.19296643761876001</v>
      </c>
      <c r="F1419">
        <v>31</v>
      </c>
    </row>
    <row r="1420" spans="1:9" x14ac:dyDescent="0.25">
      <c r="A1420">
        <v>1822.45</v>
      </c>
      <c r="B1420">
        <v>1865.25</v>
      </c>
      <c r="C1420" s="1">
        <f t="shared" si="412"/>
        <v>2.3484869269390085E-2</v>
      </c>
      <c r="D1420">
        <v>15.433333333333</v>
      </c>
      <c r="E1420">
        <v>0.19798939219079001</v>
      </c>
      <c r="F1420">
        <v>30</v>
      </c>
    </row>
    <row r="1421" spans="1:9" x14ac:dyDescent="0.25">
      <c r="A1421">
        <v>1801.65</v>
      </c>
      <c r="B1421">
        <v>1856.25</v>
      </c>
      <c r="C1421" s="1">
        <f t="shared" si="412"/>
        <v>3.0305553242860661E-2</v>
      </c>
      <c r="D1421">
        <v>15.217948717949</v>
      </c>
      <c r="E1421">
        <v>0.19745788598207001</v>
      </c>
      <c r="F1421">
        <v>31</v>
      </c>
    </row>
    <row r="1422" spans="1:9" x14ac:dyDescent="0.25">
      <c r="A1422">
        <v>1799</v>
      </c>
      <c r="B1422">
        <v>1863.15</v>
      </c>
      <c r="C1422" s="1">
        <f t="shared" si="412"/>
        <v>3.5658699277376416E-2</v>
      </c>
      <c r="D1422">
        <v>15.24358974359</v>
      </c>
      <c r="E1422">
        <v>0.19818618961866999</v>
      </c>
      <c r="F1422">
        <v>31</v>
      </c>
    </row>
    <row r="1423" spans="1:9" x14ac:dyDescent="0.25">
      <c r="A1423">
        <v>1784.6</v>
      </c>
      <c r="B1423">
        <v>1834.55</v>
      </c>
      <c r="C1423" s="1">
        <f t="shared" si="412"/>
        <v>2.7989465426426108E-2</v>
      </c>
      <c r="D1423">
        <v>15.476923076923001</v>
      </c>
      <c r="E1423">
        <v>0.20361910473726999</v>
      </c>
      <c r="F1423">
        <v>30</v>
      </c>
      <c r="H1423" t="s">
        <v>17</v>
      </c>
      <c r="I1423">
        <f t="shared" ref="I1423" si="413">STDEVP(A1409:A1428)</f>
        <v>9.1512003994011657</v>
      </c>
    </row>
    <row r="1424" spans="1:9" x14ac:dyDescent="0.25">
      <c r="A1424">
        <v>1808.5</v>
      </c>
      <c r="B1424">
        <v>1861.95</v>
      </c>
      <c r="C1424" s="1">
        <f t="shared" si="412"/>
        <v>2.9554879734586592E-2</v>
      </c>
      <c r="D1424">
        <v>15.505128205128001</v>
      </c>
      <c r="E1424">
        <v>0.20095520543907999</v>
      </c>
      <c r="F1424">
        <v>30</v>
      </c>
      <c r="H1424" t="s">
        <v>18</v>
      </c>
      <c r="I1424">
        <f t="shared" ref="I1424" si="414">STDEVP(B1409:B1428)</f>
        <v>9.1111898063590093</v>
      </c>
    </row>
    <row r="1425" spans="1:9" x14ac:dyDescent="0.25">
      <c r="A1425">
        <v>1805.6</v>
      </c>
      <c r="B1425">
        <v>1854.9</v>
      </c>
      <c r="C1425" s="1">
        <f t="shared" si="412"/>
        <v>2.7303943287549926E-2</v>
      </c>
      <c r="D1425">
        <v>15.187179487179</v>
      </c>
      <c r="E1425">
        <v>0.19639527393216999</v>
      </c>
      <c r="F1425">
        <v>31</v>
      </c>
      <c r="H1425" t="s">
        <v>19</v>
      </c>
      <c r="I1425">
        <f t="shared" ref="I1425" si="415">STDEVP(C1409:C1428)</f>
        <v>4.9735122991546423E-3</v>
      </c>
    </row>
    <row r="1426" spans="1:9" x14ac:dyDescent="0.25">
      <c r="A1426">
        <v>1822.55</v>
      </c>
      <c r="B1426">
        <v>1862.575</v>
      </c>
      <c r="C1426" s="1">
        <f t="shared" si="412"/>
        <v>2.1960988724589292E-2</v>
      </c>
      <c r="D1426">
        <v>15.507692307692</v>
      </c>
      <c r="E1426">
        <v>0.19927581601516001</v>
      </c>
      <c r="F1426">
        <v>30</v>
      </c>
      <c r="H1426" t="s">
        <v>20</v>
      </c>
      <c r="I1426">
        <f t="shared" ref="I1426" si="416">STDEVP(D1409:D1428)</f>
        <v>0.17494786487418384</v>
      </c>
    </row>
    <row r="1427" spans="1:9" x14ac:dyDescent="0.25">
      <c r="A1427">
        <v>1802.75</v>
      </c>
      <c r="B1427">
        <v>1858.0250000000001</v>
      </c>
      <c r="C1427" s="1">
        <f t="shared" si="412"/>
        <v>3.066148939120783E-2</v>
      </c>
      <c r="D1427">
        <v>15.033333333332999</v>
      </c>
      <c r="E1427">
        <v>0.19445483383046</v>
      </c>
      <c r="F1427">
        <v>31</v>
      </c>
      <c r="H1427" t="s">
        <v>21</v>
      </c>
      <c r="I1427">
        <f t="shared" ref="I1427" si="417">STDEVP(E1409:E1428)</f>
        <v>2.7682962982998999E-3</v>
      </c>
    </row>
    <row r="1428" spans="1:9" x14ac:dyDescent="0.25">
      <c r="A1428">
        <v>1793.1</v>
      </c>
      <c r="B1428">
        <v>1851.0250000000001</v>
      </c>
      <c r="C1428" s="1">
        <f t="shared" si="412"/>
        <v>3.2304389046902138E-2</v>
      </c>
      <c r="D1428">
        <v>15.379487179487001</v>
      </c>
      <c r="E1428">
        <v>0.20104558669393</v>
      </c>
      <c r="F1428">
        <v>30</v>
      </c>
      <c r="H1428" t="s">
        <v>22</v>
      </c>
      <c r="I1428">
        <f t="shared" ref="I1428" si="418">STDEVP(F1409:F1428)</f>
        <v>0.49749371855330993</v>
      </c>
    </row>
    <row r="1429" spans="1:9" x14ac:dyDescent="0.25">
      <c r="C1429" s="1" t="str">
        <f t="shared" si="412"/>
        <v/>
      </c>
    </row>
    <row r="1430" spans="1:9" x14ac:dyDescent="0.25">
      <c r="A1430">
        <v>483.61856752783001</v>
      </c>
      <c r="B1430">
        <v>500.84057971013999</v>
      </c>
      <c r="C1430" s="1">
        <f t="shared" si="412"/>
        <v>3.5610734034356328E-2</v>
      </c>
      <c r="D1430">
        <v>9.0571184995737006</v>
      </c>
      <c r="E1430">
        <v>0.58812230234144003</v>
      </c>
      <c r="F1430">
        <v>12</v>
      </c>
    </row>
    <row r="1431" spans="1:9" x14ac:dyDescent="0.25">
      <c r="A1431">
        <v>488.14786809494001</v>
      </c>
      <c r="B1431">
        <v>503.36399915983998</v>
      </c>
      <c r="C1431" s="1">
        <f t="shared" si="412"/>
        <v>3.1171151324050461E-2</v>
      </c>
      <c r="D1431">
        <v>9.0545609548167008</v>
      </c>
      <c r="E1431">
        <v>0.57993666326508997</v>
      </c>
      <c r="F1431">
        <v>12</v>
      </c>
    </row>
    <row r="1432" spans="1:9" x14ac:dyDescent="0.25">
      <c r="A1432">
        <v>486.78134845621003</v>
      </c>
      <c r="B1432">
        <v>508.33522369249999</v>
      </c>
      <c r="C1432" s="1">
        <f t="shared" si="412"/>
        <v>4.4278350648903064E-2</v>
      </c>
      <c r="D1432">
        <v>8.9514066496164002</v>
      </c>
      <c r="E1432">
        <v>0.57192595987909001</v>
      </c>
      <c r="F1432">
        <v>13</v>
      </c>
    </row>
    <row r="1433" spans="1:9" x14ac:dyDescent="0.25">
      <c r="A1433">
        <v>483.84204998950003</v>
      </c>
      <c r="B1433">
        <v>504.72547784078</v>
      </c>
      <c r="C1433" s="1">
        <f t="shared" si="412"/>
        <v>4.3161663711810849E-2</v>
      </c>
      <c r="D1433">
        <v>9.0861040068201007</v>
      </c>
      <c r="E1433">
        <v>0.59129245373169004</v>
      </c>
      <c r="F1433">
        <v>12</v>
      </c>
    </row>
    <row r="1434" spans="1:9" x14ac:dyDescent="0.25">
      <c r="A1434">
        <v>486.15837009031998</v>
      </c>
      <c r="B1434">
        <v>504.38983406847001</v>
      </c>
      <c r="C1434" s="1">
        <f t="shared" si="412"/>
        <v>3.7501080100221129E-2</v>
      </c>
      <c r="D1434">
        <v>8.9889173060528993</v>
      </c>
      <c r="E1434">
        <v>0.57687118694105</v>
      </c>
      <c r="F1434">
        <v>13</v>
      </c>
    </row>
    <row r="1435" spans="1:9" x14ac:dyDescent="0.25">
      <c r="A1435">
        <v>485.14555765594997</v>
      </c>
      <c r="B1435">
        <v>504.44402436462002</v>
      </c>
      <c r="C1435" s="1">
        <f t="shared" si="412"/>
        <v>3.9778714664344017E-2</v>
      </c>
      <c r="D1435">
        <v>8.9948849104859008</v>
      </c>
      <c r="E1435">
        <v>0.5784079461535</v>
      </c>
      <c r="F1435">
        <v>12</v>
      </c>
    </row>
    <row r="1436" spans="1:9" x14ac:dyDescent="0.25">
      <c r="A1436">
        <v>488.09367779877999</v>
      </c>
      <c r="B1436">
        <v>509.14807813483998</v>
      </c>
      <c r="C1436" s="1">
        <f t="shared" si="412"/>
        <v>4.3135982483960333E-2</v>
      </c>
      <c r="D1436">
        <v>9.0238704177323008</v>
      </c>
      <c r="E1436">
        <v>0.57660459907754003</v>
      </c>
      <c r="F1436">
        <v>12</v>
      </c>
    </row>
    <row r="1437" spans="1:9" x14ac:dyDescent="0.25">
      <c r="A1437">
        <v>481.65847511026999</v>
      </c>
      <c r="B1437">
        <v>506.80403276622002</v>
      </c>
      <c r="C1437" s="1">
        <f t="shared" si="412"/>
        <v>5.2206197867053605E-2</v>
      </c>
      <c r="D1437">
        <v>8.8900255754476003</v>
      </c>
      <c r="E1437">
        <v>0.57653993742043996</v>
      </c>
      <c r="F1437">
        <v>13</v>
      </c>
    </row>
    <row r="1438" spans="1:9" x14ac:dyDescent="0.25">
      <c r="A1438">
        <v>478.59231253937998</v>
      </c>
      <c r="B1438">
        <v>499.67233774417002</v>
      </c>
      <c r="C1438" s="1">
        <f t="shared" si="412"/>
        <v>4.4045891779875834E-2</v>
      </c>
      <c r="D1438">
        <v>8.9565217391304</v>
      </c>
      <c r="E1438">
        <v>0.58763619491282004</v>
      </c>
      <c r="F1438">
        <v>12</v>
      </c>
    </row>
    <row r="1439" spans="1:9" x14ac:dyDescent="0.25">
      <c r="A1439">
        <v>476.69523209409999</v>
      </c>
      <c r="B1439">
        <v>500.64650283552999</v>
      </c>
      <c r="C1439" s="1">
        <f t="shared" si="412"/>
        <v>5.0244410115480198E-2</v>
      </c>
      <c r="D1439">
        <v>8.7485080988916994</v>
      </c>
      <c r="E1439">
        <v>0.56998869954366005</v>
      </c>
      <c r="F1439">
        <v>13</v>
      </c>
    </row>
    <row r="1440" spans="1:9" x14ac:dyDescent="0.25">
      <c r="A1440">
        <v>487.81726528040002</v>
      </c>
      <c r="B1440">
        <v>505.80424280612999</v>
      </c>
      <c r="C1440" s="1">
        <f t="shared" si="412"/>
        <v>3.6872367597303057E-2</v>
      </c>
      <c r="D1440">
        <v>8.9539641943734001</v>
      </c>
      <c r="E1440">
        <v>0.57034689259060001</v>
      </c>
      <c r="F1440">
        <v>12</v>
      </c>
    </row>
    <row r="1441" spans="1:9" x14ac:dyDescent="0.25">
      <c r="A1441">
        <v>469.54463348036001</v>
      </c>
      <c r="B1441">
        <v>493.31653014071998</v>
      </c>
      <c r="C1441" s="1">
        <f t="shared" si="412"/>
        <v>5.0627554795287244E-2</v>
      </c>
      <c r="D1441">
        <v>8.5004262574595</v>
      </c>
      <c r="E1441">
        <v>0.55796633885584002</v>
      </c>
      <c r="F1441">
        <v>12</v>
      </c>
    </row>
    <row r="1442" spans="1:9" x14ac:dyDescent="0.25">
      <c r="A1442">
        <v>481.42491073304001</v>
      </c>
      <c r="B1442">
        <v>500.57929006511</v>
      </c>
      <c r="C1442" s="1">
        <f t="shared" si="412"/>
        <v>3.9786847138642223E-2</v>
      </c>
      <c r="D1442">
        <v>9.0017050298379999</v>
      </c>
      <c r="E1442">
        <v>0.58725528467975996</v>
      </c>
      <c r="F1442">
        <v>13</v>
      </c>
    </row>
    <row r="1443" spans="1:9" x14ac:dyDescent="0.25">
      <c r="A1443">
        <v>480.30077714766003</v>
      </c>
      <c r="B1443">
        <v>499.88279773156</v>
      </c>
      <c r="C1443" s="1">
        <f t="shared" si="412"/>
        <v>4.0770328751476903E-2</v>
      </c>
      <c r="D1443">
        <v>8.7740835464620996</v>
      </c>
      <c r="E1443">
        <v>0.56696542433181996</v>
      </c>
      <c r="F1443">
        <v>12</v>
      </c>
    </row>
    <row r="1444" spans="1:9" x14ac:dyDescent="0.25">
      <c r="A1444">
        <v>482.74606175173</v>
      </c>
      <c r="B1444">
        <v>500.94854022264002</v>
      </c>
      <c r="C1444" s="1">
        <f t="shared" si="412"/>
        <v>3.770611489788056E-2</v>
      </c>
      <c r="D1444">
        <v>8.9437340153452993</v>
      </c>
      <c r="E1444">
        <v>0.57822502373215001</v>
      </c>
      <c r="F1444">
        <v>13</v>
      </c>
      <c r="H1444" t="s">
        <v>17</v>
      </c>
      <c r="I1444">
        <f t="shared" ref="I1444" si="419">STDEVP(A1430:A1449)</f>
        <v>4.5864734179762587</v>
      </c>
    </row>
    <row r="1445" spans="1:9" x14ac:dyDescent="0.25">
      <c r="A1445">
        <v>486.77126654064</v>
      </c>
      <c r="B1445">
        <v>509.90632220121</v>
      </c>
      <c r="C1445" s="1">
        <f t="shared" si="412"/>
        <v>4.7527570443886225E-2</v>
      </c>
      <c r="D1445">
        <v>8.9744245524296993</v>
      </c>
      <c r="E1445">
        <v>0.57360402935559995</v>
      </c>
      <c r="F1445">
        <v>12</v>
      </c>
      <c r="H1445" t="s">
        <v>18</v>
      </c>
      <c r="I1445">
        <f t="shared" ref="I1445" si="420">STDEVP(B1430:B1449)</f>
        <v>4.200455138851769</v>
      </c>
    </row>
    <row r="1446" spans="1:9" x14ac:dyDescent="0.25">
      <c r="A1446">
        <v>486.20625918924998</v>
      </c>
      <c r="B1446">
        <v>507.29636630958998</v>
      </c>
      <c r="C1446" s="1">
        <f t="shared" si="412"/>
        <v>4.337687292530501E-2</v>
      </c>
      <c r="D1446">
        <v>8.9531116794544001</v>
      </c>
      <c r="E1446">
        <v>0.57306616375726005</v>
      </c>
      <c r="F1446">
        <v>12</v>
      </c>
      <c r="H1446" t="s">
        <v>19</v>
      </c>
      <c r="I1446">
        <f t="shared" ref="I1446" si="421">STDEVP(C1430:C1449)</f>
        <v>5.7600650037441777E-3</v>
      </c>
    </row>
    <row r="1447" spans="1:9" x14ac:dyDescent="0.25">
      <c r="A1447">
        <v>485.62780928375997</v>
      </c>
      <c r="B1447">
        <v>503.52320940978001</v>
      </c>
      <c r="C1447" s="1">
        <f t="shared" si="412"/>
        <v>3.6850031616627366E-2</v>
      </c>
      <c r="D1447">
        <v>9.0605285592497999</v>
      </c>
      <c r="E1447">
        <v>0.58527936417515003</v>
      </c>
      <c r="F1447">
        <v>13</v>
      </c>
      <c r="H1447" t="s">
        <v>20</v>
      </c>
      <c r="I1447">
        <f t="shared" ref="I1447" si="422">STDEVP(D1430:D1449)</f>
        <v>0.13275912264976941</v>
      </c>
    </row>
    <row r="1448" spans="1:9" x14ac:dyDescent="0.25">
      <c r="A1448">
        <v>479.24469649232998</v>
      </c>
      <c r="B1448">
        <v>495.55765595462998</v>
      </c>
      <c r="C1448" s="1">
        <f t="shared" si="412"/>
        <v>3.4038894079991389E-2</v>
      </c>
      <c r="D1448">
        <v>8.8763853367434002</v>
      </c>
      <c r="E1448">
        <v>0.57839393806135997</v>
      </c>
      <c r="F1448">
        <v>12</v>
      </c>
      <c r="H1448" t="s">
        <v>21</v>
      </c>
      <c r="I1448">
        <f t="shared" ref="I1448" si="423">STDEVP(E1430:E1449)</f>
        <v>7.8648854082566267E-3</v>
      </c>
    </row>
    <row r="1449" spans="1:9" x14ac:dyDescent="0.25">
      <c r="A1449">
        <v>487.40726738080002</v>
      </c>
      <c r="B1449">
        <v>504.00630119722001</v>
      </c>
      <c r="C1449" s="1">
        <f t="shared" si="412"/>
        <v>3.4055778252176871E-2</v>
      </c>
      <c r="D1449">
        <v>9.0272804774084001</v>
      </c>
      <c r="E1449">
        <v>0.57781763952437004</v>
      </c>
      <c r="F1449">
        <v>13</v>
      </c>
      <c r="H1449" t="s">
        <v>22</v>
      </c>
      <c r="I1449">
        <f t="shared" ref="I1449" si="424">STDEVP(F1430:F1449)</f>
        <v>0.48989794855663554</v>
      </c>
    </row>
    <row r="1450" spans="1:9" x14ac:dyDescent="0.25">
      <c r="C1450" s="1" t="str">
        <f t="shared" si="412"/>
        <v/>
      </c>
    </row>
    <row r="1451" spans="1:9" x14ac:dyDescent="0.25">
      <c r="A1451">
        <v>734.74652777777999</v>
      </c>
      <c r="B1451">
        <v>757.45486111112996</v>
      </c>
      <c r="C1451" s="1">
        <f t="shared" si="412"/>
        <v>3.0906349978992997E-2</v>
      </c>
      <c r="D1451">
        <v>12.132456140351</v>
      </c>
      <c r="E1451">
        <v>0.48774775457816</v>
      </c>
      <c r="F1451">
        <v>16</v>
      </c>
    </row>
    <row r="1452" spans="1:9" x14ac:dyDescent="0.25">
      <c r="A1452">
        <v>733.19270833332996</v>
      </c>
      <c r="B1452">
        <v>751.91145833334997</v>
      </c>
      <c r="C1452" s="1">
        <f t="shared" si="412"/>
        <v>2.5530463938424619E-2</v>
      </c>
      <c r="D1452">
        <v>12.238157894737</v>
      </c>
      <c r="E1452">
        <v>0.49505783175821</v>
      </c>
      <c r="F1452">
        <v>16</v>
      </c>
    </row>
    <row r="1453" spans="1:9" x14ac:dyDescent="0.25">
      <c r="A1453">
        <v>734.06423611110995</v>
      </c>
      <c r="B1453">
        <v>757.86458333334997</v>
      </c>
      <c r="C1453" s="1">
        <f t="shared" si="412"/>
        <v>3.2422703697333466E-2</v>
      </c>
      <c r="D1453">
        <v>12.249561403509</v>
      </c>
      <c r="E1453">
        <v>0.49604149852705998</v>
      </c>
      <c r="F1453">
        <v>17</v>
      </c>
    </row>
    <row r="1454" spans="1:9" x14ac:dyDescent="0.25">
      <c r="A1454">
        <v>728.84375</v>
      </c>
      <c r="B1454">
        <v>755.88975694446003</v>
      </c>
      <c r="C1454" s="1">
        <f t="shared" si="412"/>
        <v>3.7108100253943288E-2</v>
      </c>
      <c r="D1454">
        <v>11.955263157895001</v>
      </c>
      <c r="E1454">
        <v>0.48322820506424002</v>
      </c>
      <c r="F1454">
        <v>16</v>
      </c>
    </row>
    <row r="1455" spans="1:9" x14ac:dyDescent="0.25">
      <c r="A1455">
        <v>736.42708333332996</v>
      </c>
      <c r="B1455">
        <v>761.12152777778999</v>
      </c>
      <c r="C1455" s="1">
        <f t="shared" si="412"/>
        <v>3.3532776025406719E-2</v>
      </c>
      <c r="D1455">
        <v>12.234210526316</v>
      </c>
      <c r="E1455">
        <v>0.49279967690297999</v>
      </c>
      <c r="F1455">
        <v>17</v>
      </c>
    </row>
    <row r="1456" spans="1:9" x14ac:dyDescent="0.25">
      <c r="A1456">
        <v>734</v>
      </c>
      <c r="B1456">
        <v>751.82291666668004</v>
      </c>
      <c r="C1456" s="1">
        <f t="shared" si="412"/>
        <v>2.4281902815640466E-2</v>
      </c>
      <c r="D1456">
        <v>12.042105263158</v>
      </c>
      <c r="E1456">
        <v>0.48351436364383998</v>
      </c>
      <c r="F1456">
        <v>16</v>
      </c>
    </row>
    <row r="1457" spans="1:9" x14ac:dyDescent="0.25">
      <c r="A1457">
        <v>733.28125</v>
      </c>
      <c r="B1457">
        <v>751.51128472224002</v>
      </c>
      <c r="C1457" s="1">
        <f t="shared" si="412"/>
        <v>2.486090394680085E-2</v>
      </c>
      <c r="D1457">
        <v>12.276315789473999</v>
      </c>
      <c r="E1457">
        <v>0.49746702774522</v>
      </c>
      <c r="F1457">
        <v>17</v>
      </c>
    </row>
    <row r="1458" spans="1:9" x14ac:dyDescent="0.25">
      <c r="A1458">
        <v>733.77951388889005</v>
      </c>
      <c r="B1458">
        <v>756.67968750002001</v>
      </c>
      <c r="C1458" s="1">
        <f t="shared" si="412"/>
        <v>3.1208521330560846E-2</v>
      </c>
      <c r="D1458">
        <v>12.247807017544</v>
      </c>
      <c r="E1458">
        <v>0.49548199358348999</v>
      </c>
      <c r="F1458">
        <v>16</v>
      </c>
    </row>
    <row r="1459" spans="1:9" x14ac:dyDescent="0.25">
      <c r="A1459">
        <v>730.78819444444002</v>
      </c>
      <c r="B1459">
        <v>752.18489583334997</v>
      </c>
      <c r="C1459" s="1">
        <f t="shared" si="412"/>
        <v>2.9278936840483771E-2</v>
      </c>
      <c r="D1459">
        <v>12.116666666666999</v>
      </c>
      <c r="E1459">
        <v>0.49080552451333997</v>
      </c>
      <c r="F1459">
        <v>17</v>
      </c>
    </row>
    <row r="1460" spans="1:9" x14ac:dyDescent="0.25">
      <c r="A1460">
        <v>734.94791666667004</v>
      </c>
      <c r="B1460">
        <v>757.60850694446003</v>
      </c>
      <c r="C1460" s="1">
        <f t="shared" si="412"/>
        <v>3.0832919944268067E-2</v>
      </c>
      <c r="D1460">
        <v>12.155263157895</v>
      </c>
      <c r="E1460">
        <v>0.48896304685155001</v>
      </c>
      <c r="F1460">
        <v>16</v>
      </c>
    </row>
    <row r="1461" spans="1:9" x14ac:dyDescent="0.25">
      <c r="A1461">
        <v>730.046875</v>
      </c>
      <c r="B1461">
        <v>750.73003472224002</v>
      </c>
      <c r="C1461" s="1">
        <f t="shared" si="412"/>
        <v>2.8331276292690166E-2</v>
      </c>
      <c r="D1461">
        <v>12.206578947368</v>
      </c>
      <c r="E1461">
        <v>0.49717226652919999</v>
      </c>
      <c r="F1461">
        <v>17</v>
      </c>
    </row>
    <row r="1462" spans="1:9" x14ac:dyDescent="0.25">
      <c r="A1462">
        <v>738.40625</v>
      </c>
      <c r="B1462">
        <v>759.73784722224002</v>
      </c>
      <c r="C1462" s="1">
        <f t="shared" si="412"/>
        <v>2.8888700796126932E-2</v>
      </c>
      <c r="D1462">
        <v>12.344736842105</v>
      </c>
      <c r="E1462">
        <v>0.49726143554983998</v>
      </c>
      <c r="F1462">
        <v>16</v>
      </c>
    </row>
    <row r="1463" spans="1:9" x14ac:dyDescent="0.25">
      <c r="A1463">
        <v>733.328125</v>
      </c>
      <c r="B1463">
        <v>754.78211805556998</v>
      </c>
      <c r="C1463" s="1">
        <f t="shared" si="412"/>
        <v>2.9255652857402614E-2</v>
      </c>
      <c r="D1463">
        <v>12.135526315789001</v>
      </c>
      <c r="E1463">
        <v>0.48907334375092998</v>
      </c>
      <c r="F1463">
        <v>17</v>
      </c>
    </row>
    <row r="1464" spans="1:9" x14ac:dyDescent="0.25">
      <c r="A1464">
        <v>742.328125</v>
      </c>
      <c r="B1464">
        <v>761.79513888890006</v>
      </c>
      <c r="C1464" s="1">
        <f t="shared" si="412"/>
        <v>2.6224270956862972E-2</v>
      </c>
      <c r="D1464">
        <v>12.303947368420999</v>
      </c>
      <c r="E1464">
        <v>0.49030360969623998</v>
      </c>
      <c r="F1464">
        <v>16</v>
      </c>
    </row>
    <row r="1465" spans="1:9" x14ac:dyDescent="0.25">
      <c r="A1465">
        <v>734.95833333332996</v>
      </c>
      <c r="B1465">
        <v>756.46006944446003</v>
      </c>
      <c r="C1465" s="1">
        <f t="shared" si="412"/>
        <v>2.9255721223829356E-2</v>
      </c>
      <c r="D1465">
        <v>12.084210526315999</v>
      </c>
      <c r="E1465">
        <v>0.48561762784550999</v>
      </c>
      <c r="F1465">
        <v>17</v>
      </c>
      <c r="H1465" t="s">
        <v>17</v>
      </c>
      <c r="I1465">
        <f t="shared" ref="I1465" si="425">STDEVP(A1451:A1470)</f>
        <v>3.3869464848343358</v>
      </c>
    </row>
    <row r="1466" spans="1:9" x14ac:dyDescent="0.25">
      <c r="A1466">
        <v>728.86111111110995</v>
      </c>
      <c r="B1466">
        <v>751.54513888890995</v>
      </c>
      <c r="C1466" s="1">
        <f t="shared" si="412"/>
        <v>3.1122565646587219E-2</v>
      </c>
      <c r="D1466">
        <v>12.087719298246</v>
      </c>
      <c r="E1466">
        <v>0.49083040387896998</v>
      </c>
      <c r="F1466">
        <v>16</v>
      </c>
      <c r="H1466" t="s">
        <v>18</v>
      </c>
      <c r="I1466">
        <f t="shared" ref="I1466" si="426">STDEVP(B1451:B1470)</f>
        <v>3.4647090275060632</v>
      </c>
    </row>
    <row r="1467" spans="1:9" x14ac:dyDescent="0.25">
      <c r="A1467">
        <v>736.140625</v>
      </c>
      <c r="B1467">
        <v>756.29079861112996</v>
      </c>
      <c r="C1467" s="1">
        <f t="shared" si="412"/>
        <v>2.7372723263479726E-2</v>
      </c>
      <c r="D1467">
        <v>12.203947368421</v>
      </c>
      <c r="E1467">
        <v>0.49125732216500001</v>
      </c>
      <c r="F1467">
        <v>17</v>
      </c>
      <c r="H1467" t="s">
        <v>19</v>
      </c>
      <c r="I1467">
        <f t="shared" ref="I1467" si="427">STDEVP(C1451:C1470)</f>
        <v>3.1590911412548283E-3</v>
      </c>
    </row>
    <row r="1468" spans="1:9" x14ac:dyDescent="0.25">
      <c r="A1468">
        <v>740.46354166667004</v>
      </c>
      <c r="B1468">
        <v>759.76215277778999</v>
      </c>
      <c r="C1468" s="1">
        <f t="shared" si="412"/>
        <v>2.6062878217719909E-2</v>
      </c>
      <c r="D1468">
        <v>12.201315789474</v>
      </c>
      <c r="E1468">
        <v>0.48709962850299998</v>
      </c>
      <c r="F1468">
        <v>16</v>
      </c>
      <c r="H1468" t="s">
        <v>20</v>
      </c>
      <c r="I1468">
        <f t="shared" ref="I1468" si="428">STDEVP(D1451:D1470)</f>
        <v>9.7574304222750402E-2</v>
      </c>
    </row>
    <row r="1469" spans="1:9" x14ac:dyDescent="0.25">
      <c r="A1469">
        <v>736.52777777777999</v>
      </c>
      <c r="B1469">
        <v>760.91666666668004</v>
      </c>
      <c r="C1469" s="1">
        <f t="shared" si="412"/>
        <v>3.3113332076198265E-2</v>
      </c>
      <c r="D1469">
        <v>12.340350877193</v>
      </c>
      <c r="E1469">
        <v>0.4990212587085</v>
      </c>
      <c r="F1469">
        <v>16</v>
      </c>
      <c r="H1469" t="s">
        <v>21</v>
      </c>
      <c r="I1469">
        <f t="shared" ref="I1469" si="429">STDEVP(E1451:E1470)</f>
        <v>4.6014927313583164E-3</v>
      </c>
    </row>
    <row r="1470" spans="1:9" x14ac:dyDescent="0.25">
      <c r="A1470">
        <v>732.58333333332996</v>
      </c>
      <c r="B1470">
        <v>754.94965277778999</v>
      </c>
      <c r="C1470" s="1">
        <f t="shared" si="412"/>
        <v>3.0530751147027857E-2</v>
      </c>
      <c r="D1470">
        <v>12.168421052632</v>
      </c>
      <c r="E1470">
        <v>0.49187110560517</v>
      </c>
      <c r="F1470">
        <v>17</v>
      </c>
      <c r="H1470" t="s">
        <v>22</v>
      </c>
      <c r="I1470">
        <f t="shared" ref="I1470" si="430">STDEVP(F1451:F1470)</f>
        <v>0.49749371855330993</v>
      </c>
    </row>
    <row r="1471" spans="1:9" x14ac:dyDescent="0.25">
      <c r="C1471" s="1" t="str">
        <f t="shared" si="412"/>
        <v/>
      </c>
    </row>
    <row r="1472" spans="1:9" x14ac:dyDescent="0.25">
      <c r="A1472">
        <v>1808.276532434</v>
      </c>
      <c r="B1472">
        <v>1856.1971830985999</v>
      </c>
      <c r="C1472" s="1">
        <f t="shared" si="412"/>
        <v>2.6500731389848431E-2</v>
      </c>
      <c r="D1472">
        <v>16.632595573441002</v>
      </c>
      <c r="E1472">
        <v>0.2219927227706</v>
      </c>
      <c r="F1472">
        <v>55</v>
      </c>
    </row>
    <row r="1473" spans="1:9" x14ac:dyDescent="0.25">
      <c r="A1473">
        <v>1823.7579845268999</v>
      </c>
      <c r="B1473">
        <v>1862.5899623091</v>
      </c>
      <c r="C1473" s="1">
        <f t="shared" si="412"/>
        <v>2.1292286647492498E-2</v>
      </c>
      <c r="D1473">
        <v>16.602012072434999</v>
      </c>
      <c r="E1473">
        <v>0.21912983556674001</v>
      </c>
      <c r="F1473">
        <v>61</v>
      </c>
    </row>
    <row r="1474" spans="1:9" x14ac:dyDescent="0.25">
      <c r="A1474">
        <v>1814.7073993255001</v>
      </c>
      <c r="B1474">
        <v>1859.1942074985</v>
      </c>
      <c r="C1474" s="1">
        <f t="shared" ref="C1474:C1537" si="431">IFERROR((B1474/A1474)-1,"")</f>
        <v>2.4514590170037875E-2</v>
      </c>
      <c r="D1474">
        <v>16.503018108652</v>
      </c>
      <c r="E1474">
        <v>0.21886141968428</v>
      </c>
      <c r="F1474">
        <v>61</v>
      </c>
    </row>
    <row r="1475" spans="1:9" x14ac:dyDescent="0.25">
      <c r="A1475">
        <v>1823.1640547510001</v>
      </c>
      <c r="B1475">
        <v>1860.6236857766</v>
      </c>
      <c r="C1475" s="1">
        <f t="shared" si="431"/>
        <v>2.0546494939927884E-2</v>
      </c>
      <c r="D1475">
        <v>16.524748490945999</v>
      </c>
      <c r="E1475">
        <v>0.21786755219442</v>
      </c>
      <c r="F1475">
        <v>59</v>
      </c>
    </row>
    <row r="1476" spans="1:9" x14ac:dyDescent="0.25">
      <c r="A1476">
        <v>1808.7319976194999</v>
      </c>
      <c r="B1476">
        <v>1858.6978774053</v>
      </c>
      <c r="C1476" s="1">
        <f t="shared" si="431"/>
        <v>2.7624811111630176E-2</v>
      </c>
      <c r="D1476">
        <v>16.444265593560999</v>
      </c>
      <c r="E1476">
        <v>0.21876248651012001</v>
      </c>
      <c r="F1476">
        <v>60</v>
      </c>
    </row>
    <row r="1477" spans="1:9" x14ac:dyDescent="0.25">
      <c r="A1477">
        <v>1823.2370561396999</v>
      </c>
      <c r="B1477">
        <v>1868.4979170798999</v>
      </c>
      <c r="C1477" s="1">
        <f t="shared" si="431"/>
        <v>2.48244520852543E-2</v>
      </c>
      <c r="D1477">
        <v>16.722736418511001</v>
      </c>
      <c r="E1477">
        <v>0.22115724158076</v>
      </c>
      <c r="F1477">
        <v>57</v>
      </c>
    </row>
    <row r="1478" spans="1:9" x14ac:dyDescent="0.25">
      <c r="A1478">
        <v>1819.5310454275</v>
      </c>
      <c r="B1478">
        <v>1868.3451696092</v>
      </c>
      <c r="C1478" s="1">
        <f t="shared" si="431"/>
        <v>2.6827860016112703E-2</v>
      </c>
      <c r="D1478">
        <v>16.893360160966001</v>
      </c>
      <c r="E1478">
        <v>0.22439348929993</v>
      </c>
      <c r="F1478">
        <v>58</v>
      </c>
    </row>
    <row r="1479" spans="1:9" x14ac:dyDescent="0.25">
      <c r="A1479">
        <v>1817.650862924</v>
      </c>
      <c r="B1479">
        <v>1862.9537790121001</v>
      </c>
      <c r="C1479" s="1">
        <f t="shared" si="431"/>
        <v>2.4923882254935803E-2</v>
      </c>
      <c r="D1479">
        <v>16.553722334004</v>
      </c>
      <c r="E1479">
        <v>0.21938789980809001</v>
      </c>
      <c r="F1479">
        <v>61</v>
      </c>
    </row>
    <row r="1480" spans="1:9" x14ac:dyDescent="0.25">
      <c r="A1480">
        <v>1821.3739337433001</v>
      </c>
      <c r="B1480">
        <v>1856.2424122197999</v>
      </c>
      <c r="C1480" s="1">
        <f t="shared" si="431"/>
        <v>1.9144052646475451E-2</v>
      </c>
      <c r="D1480">
        <v>16.479678068409999</v>
      </c>
      <c r="E1480">
        <v>0.21731941164221999</v>
      </c>
      <c r="F1480">
        <v>55</v>
      </c>
    </row>
    <row r="1481" spans="1:9" x14ac:dyDescent="0.25">
      <c r="A1481">
        <v>1819.6710970045999</v>
      </c>
      <c r="B1481">
        <v>1861.9857171195999</v>
      </c>
      <c r="C1481" s="1">
        <f t="shared" si="431"/>
        <v>2.3253993639100523E-2</v>
      </c>
      <c r="D1481">
        <v>16.524748490945999</v>
      </c>
      <c r="E1481">
        <v>0.21843631447670001</v>
      </c>
      <c r="F1481">
        <v>57</v>
      </c>
    </row>
    <row r="1482" spans="1:9" x14ac:dyDescent="0.25">
      <c r="A1482">
        <v>1816.7208887126001</v>
      </c>
      <c r="B1482">
        <v>1860.8664947431</v>
      </c>
      <c r="C1482" s="1">
        <f t="shared" si="431"/>
        <v>2.4299608324415356E-2</v>
      </c>
      <c r="D1482">
        <v>16.540845070423</v>
      </c>
      <c r="E1482">
        <v>0.21918525478451001</v>
      </c>
      <c r="F1482">
        <v>58</v>
      </c>
    </row>
    <row r="1483" spans="1:9" x14ac:dyDescent="0.25">
      <c r="A1483">
        <v>1818.9811545328</v>
      </c>
      <c r="B1483">
        <v>1855.0382860543</v>
      </c>
      <c r="C1483" s="1">
        <f t="shared" si="431"/>
        <v>1.9822707580915644E-2</v>
      </c>
      <c r="D1483">
        <v>16.588329979878999</v>
      </c>
      <c r="E1483">
        <v>0.2195335341911</v>
      </c>
      <c r="F1483">
        <v>54</v>
      </c>
    </row>
    <row r="1484" spans="1:9" x14ac:dyDescent="0.25">
      <c r="A1484">
        <v>1805.6893473517</v>
      </c>
      <c r="B1484">
        <v>1852.2523308867001</v>
      </c>
      <c r="C1484" s="1">
        <f t="shared" si="431"/>
        <v>2.5786818537358869E-2</v>
      </c>
      <c r="D1484">
        <v>16.545674044266001</v>
      </c>
      <c r="E1484">
        <v>0.22084717472554</v>
      </c>
      <c r="F1484">
        <v>57</v>
      </c>
    </row>
    <row r="1485" spans="1:9" x14ac:dyDescent="0.25">
      <c r="A1485">
        <v>1808.8256298353999</v>
      </c>
      <c r="B1485">
        <v>1860.7216822058999</v>
      </c>
      <c r="C1485" s="1">
        <f t="shared" si="431"/>
        <v>2.8690467181860191E-2</v>
      </c>
      <c r="D1485">
        <v>16.454728370221002</v>
      </c>
      <c r="E1485">
        <v>0.21882379724534001</v>
      </c>
      <c r="F1485">
        <v>54</v>
      </c>
    </row>
    <row r="1486" spans="1:9" x14ac:dyDescent="0.25">
      <c r="A1486">
        <v>1818.8280103154</v>
      </c>
      <c r="B1486">
        <v>1856.7323943662</v>
      </c>
      <c r="C1486" s="1">
        <f t="shared" si="431"/>
        <v>2.0840004572080018E-2</v>
      </c>
      <c r="D1486">
        <v>16.589134808853</v>
      </c>
      <c r="E1486">
        <v>0.21967391189916999</v>
      </c>
      <c r="F1486">
        <v>54</v>
      </c>
      <c r="H1486" t="s">
        <v>17</v>
      </c>
      <c r="I1486">
        <f t="shared" ref="I1486" si="432">STDEVP(A1472:A1491)</f>
        <v>6.9483164624177709</v>
      </c>
    </row>
    <row r="1487" spans="1:9" x14ac:dyDescent="0.25">
      <c r="A1487">
        <v>1823.9591350922001</v>
      </c>
      <c r="B1487">
        <v>1861.0370958143001</v>
      </c>
      <c r="C1487" s="1">
        <f t="shared" si="431"/>
        <v>2.0328284778280192E-2</v>
      </c>
      <c r="D1487">
        <v>16.502213279677999</v>
      </c>
      <c r="E1487">
        <v>0.21755455449975</v>
      </c>
      <c r="F1487">
        <v>56</v>
      </c>
      <c r="H1487" t="s">
        <v>18</v>
      </c>
      <c r="I1487">
        <f t="shared" ref="I1487" si="433">STDEVP(B1472:B1491)</f>
        <v>4.3594762975687962</v>
      </c>
    </row>
    <row r="1488" spans="1:9" x14ac:dyDescent="0.25">
      <c r="A1488">
        <v>1803.111287443</v>
      </c>
      <c r="B1488">
        <v>1861.2049196588</v>
      </c>
      <c r="C1488" s="1">
        <f t="shared" si="431"/>
        <v>3.2218550579971472E-2</v>
      </c>
      <c r="D1488">
        <v>16.469215291750999</v>
      </c>
      <c r="E1488">
        <v>0.22017178232866999</v>
      </c>
      <c r="F1488">
        <v>59</v>
      </c>
      <c r="H1488" t="s">
        <v>19</v>
      </c>
      <c r="I1488">
        <f t="shared" ref="I1488" si="434">STDEVP(C1472:C1491)</f>
        <v>3.2987221324038553E-3</v>
      </c>
    </row>
    <row r="1489" spans="1:9" x14ac:dyDescent="0.25">
      <c r="A1489">
        <v>1820.5645705217</v>
      </c>
      <c r="B1489">
        <v>1862.2602658203</v>
      </c>
      <c r="C1489" s="1">
        <f t="shared" si="431"/>
        <v>2.2902618217299331E-2</v>
      </c>
      <c r="D1489">
        <v>16.495774647887</v>
      </c>
      <c r="E1489">
        <v>0.21773269183985</v>
      </c>
      <c r="F1489">
        <v>57</v>
      </c>
      <c r="H1489" t="s">
        <v>20</v>
      </c>
      <c r="I1489">
        <f t="shared" ref="I1489" si="435">STDEVP(D1472:D1491)</f>
        <v>0.10140161581520546</v>
      </c>
    </row>
    <row r="1490" spans="1:9" x14ac:dyDescent="0.25">
      <c r="A1490">
        <v>1828.1832969648999</v>
      </c>
      <c r="B1490">
        <v>1866.7593731402001</v>
      </c>
      <c r="C1490" s="1">
        <f t="shared" si="431"/>
        <v>2.1100770496778498E-2</v>
      </c>
      <c r="D1490">
        <v>16.635010060361999</v>
      </c>
      <c r="E1490">
        <v>0.21896057605638999</v>
      </c>
      <c r="F1490">
        <v>58</v>
      </c>
      <c r="H1490" t="s">
        <v>21</v>
      </c>
      <c r="I1490">
        <f t="shared" ref="I1490" si="436">STDEVP(E1472:E1491)</f>
        <v>1.6340087538873299E-3</v>
      </c>
    </row>
    <row r="1491" spans="1:9" x14ac:dyDescent="0.25">
      <c r="A1491">
        <v>1826.2348740329001</v>
      </c>
      <c r="B1491">
        <v>1867.5604046815999</v>
      </c>
      <c r="C1491" s="1">
        <f t="shared" si="431"/>
        <v>2.262881474683498E-2</v>
      </c>
      <c r="D1491">
        <v>16.594768611669998</v>
      </c>
      <c r="E1491">
        <v>0.21853694786118</v>
      </c>
      <c r="F1491">
        <v>58</v>
      </c>
      <c r="H1491" t="s">
        <v>22</v>
      </c>
      <c r="I1491">
        <f t="shared" ref="I1491" si="437">STDEVP(F1472:F1491)</f>
        <v>2.2466641938660969</v>
      </c>
    </row>
    <row r="1492" spans="1:9" x14ac:dyDescent="0.25">
      <c r="C1492" s="1" t="str">
        <f t="shared" si="431"/>
        <v/>
      </c>
    </row>
    <row r="1493" spans="1:9" x14ac:dyDescent="0.25">
      <c r="A1493">
        <v>471.0306122449</v>
      </c>
      <c r="B1493">
        <v>501</v>
      </c>
      <c r="C1493" s="1">
        <f t="shared" si="431"/>
        <v>6.3625138103589274E-2</v>
      </c>
      <c r="D1493">
        <v>8.6349206349206007</v>
      </c>
      <c r="E1493">
        <v>0.54895934808906</v>
      </c>
      <c r="F1493">
        <v>10</v>
      </c>
    </row>
    <row r="1494" spans="1:9" x14ac:dyDescent="0.25">
      <c r="A1494">
        <v>476.47959183672998</v>
      </c>
      <c r="B1494">
        <v>505.92857142857002</v>
      </c>
      <c r="C1494" s="1">
        <f t="shared" si="431"/>
        <v>6.1805332476718045E-2</v>
      </c>
      <c r="D1494">
        <v>8.8730158730159001</v>
      </c>
      <c r="E1494">
        <v>0.56335135770059996</v>
      </c>
      <c r="F1494">
        <v>10</v>
      </c>
    </row>
    <row r="1495" spans="1:9" x14ac:dyDescent="0.25">
      <c r="A1495">
        <v>467.04081632652998</v>
      </c>
      <c r="B1495">
        <v>498.5612244898</v>
      </c>
      <c r="C1495" s="1">
        <f t="shared" si="431"/>
        <v>6.7489622023169549E-2</v>
      </c>
      <c r="D1495">
        <v>8.6613756613757005</v>
      </c>
      <c r="E1495">
        <v>0.55869663518429002</v>
      </c>
      <c r="F1495">
        <v>10</v>
      </c>
    </row>
    <row r="1496" spans="1:9" x14ac:dyDescent="0.25">
      <c r="A1496">
        <v>481.73469387755</v>
      </c>
      <c r="B1496">
        <v>512.16326530612002</v>
      </c>
      <c r="C1496" s="1">
        <f t="shared" si="431"/>
        <v>6.3164583774621308E-2</v>
      </c>
      <c r="D1496">
        <v>8.9417989417989006</v>
      </c>
      <c r="E1496">
        <v>0.55976743670136997</v>
      </c>
      <c r="F1496">
        <v>10</v>
      </c>
    </row>
    <row r="1497" spans="1:9" x14ac:dyDescent="0.25">
      <c r="A1497">
        <v>482.09183673468999</v>
      </c>
      <c r="B1497">
        <v>515.91836734694004</v>
      </c>
      <c r="C1497" s="1">
        <f t="shared" si="431"/>
        <v>7.0166155148704279E-2</v>
      </c>
      <c r="D1497">
        <v>8.9047619047618998</v>
      </c>
      <c r="E1497">
        <v>0.55517014362412997</v>
      </c>
      <c r="F1497">
        <v>10</v>
      </c>
    </row>
    <row r="1498" spans="1:9" x14ac:dyDescent="0.25">
      <c r="A1498">
        <v>479.01020408162998</v>
      </c>
      <c r="B1498">
        <v>509.26530612245</v>
      </c>
      <c r="C1498" s="1">
        <f t="shared" si="431"/>
        <v>6.3161706750748392E-2</v>
      </c>
      <c r="D1498">
        <v>8.5449735449734998</v>
      </c>
      <c r="E1498">
        <v>0.52653673113719002</v>
      </c>
      <c r="F1498">
        <v>10</v>
      </c>
    </row>
    <row r="1499" spans="1:9" x14ac:dyDescent="0.25">
      <c r="A1499">
        <v>470.44897959183999</v>
      </c>
      <c r="B1499">
        <v>506.5306122449</v>
      </c>
      <c r="C1499" s="1">
        <f t="shared" si="431"/>
        <v>7.6696165191737276E-2</v>
      </c>
      <c r="D1499">
        <v>8.5714285714285996</v>
      </c>
      <c r="E1499">
        <v>0.54549178607954996</v>
      </c>
      <c r="F1499">
        <v>10</v>
      </c>
    </row>
    <row r="1500" spans="1:9" x14ac:dyDescent="0.25">
      <c r="A1500">
        <v>478.33673469387998</v>
      </c>
      <c r="B1500">
        <v>512.26530612245006</v>
      </c>
      <c r="C1500" s="1">
        <f t="shared" si="431"/>
        <v>7.093030697356606E-2</v>
      </c>
      <c r="D1500">
        <v>8.9470899470898999</v>
      </c>
      <c r="E1500">
        <v>0.56637687026886996</v>
      </c>
      <c r="F1500">
        <v>10</v>
      </c>
    </row>
    <row r="1501" spans="1:9" x14ac:dyDescent="0.25">
      <c r="A1501">
        <v>469.28571428571001</v>
      </c>
      <c r="B1501">
        <v>501.74489795918998</v>
      </c>
      <c r="C1501" s="1">
        <f t="shared" si="431"/>
        <v>6.916721026312378E-2</v>
      </c>
      <c r="D1501">
        <v>8.5925925925926006</v>
      </c>
      <c r="E1501">
        <v>0.54870958938637004</v>
      </c>
      <c r="F1501">
        <v>10</v>
      </c>
    </row>
    <row r="1502" spans="1:9" x14ac:dyDescent="0.25">
      <c r="A1502">
        <v>477.38775510203999</v>
      </c>
      <c r="B1502">
        <v>508.10204081632997</v>
      </c>
      <c r="C1502" s="1">
        <f t="shared" si="431"/>
        <v>6.4338235294126633E-2</v>
      </c>
      <c r="D1502">
        <v>8.8571428571429003</v>
      </c>
      <c r="E1502">
        <v>0.56001420459561002</v>
      </c>
      <c r="F1502">
        <v>10</v>
      </c>
    </row>
    <row r="1503" spans="1:9" x14ac:dyDescent="0.25">
      <c r="A1503">
        <v>478.36734693877997</v>
      </c>
      <c r="B1503">
        <v>517.02040816326996</v>
      </c>
      <c r="C1503" s="1">
        <f t="shared" si="431"/>
        <v>8.080204778156963E-2</v>
      </c>
      <c r="D1503">
        <v>8.9153439153439002</v>
      </c>
      <c r="E1503">
        <v>0.56467338681991996</v>
      </c>
      <c r="F1503">
        <v>10</v>
      </c>
    </row>
    <row r="1504" spans="1:9" x14ac:dyDescent="0.25">
      <c r="A1504">
        <v>485.30612244897998</v>
      </c>
      <c r="B1504">
        <v>506.26530612245</v>
      </c>
      <c r="C1504" s="1">
        <f t="shared" si="431"/>
        <v>4.3187552565182141E-2</v>
      </c>
      <c r="D1504">
        <v>9.0158730158729998</v>
      </c>
      <c r="E1504">
        <v>0.56055126419002999</v>
      </c>
      <c r="F1504">
        <v>10</v>
      </c>
    </row>
    <row r="1505" spans="1:9" x14ac:dyDescent="0.25">
      <c r="A1505">
        <v>477.42857142857002</v>
      </c>
      <c r="B1505">
        <v>504.64285714286001</v>
      </c>
      <c r="C1505" s="1">
        <f t="shared" si="431"/>
        <v>5.7001795332145555E-2</v>
      </c>
      <c r="D1505">
        <v>9.0370370370370008</v>
      </c>
      <c r="E1505">
        <v>0.57776398624543002</v>
      </c>
      <c r="F1505">
        <v>10</v>
      </c>
    </row>
    <row r="1506" spans="1:9" x14ac:dyDescent="0.25">
      <c r="A1506">
        <v>481.04081632652998</v>
      </c>
      <c r="B1506">
        <v>511.81632653061001</v>
      </c>
      <c r="C1506" s="1">
        <f t="shared" si="431"/>
        <v>6.3976920792496061E-2</v>
      </c>
      <c r="D1506">
        <v>8.9576719576719999</v>
      </c>
      <c r="E1506">
        <v>0.56271412600751003</v>
      </c>
      <c r="F1506">
        <v>10</v>
      </c>
    </row>
    <row r="1507" spans="1:9" x14ac:dyDescent="0.25">
      <c r="A1507">
        <v>478.18367346938999</v>
      </c>
      <c r="B1507">
        <v>508.93877551021001</v>
      </c>
      <c r="C1507" s="1">
        <f t="shared" si="431"/>
        <v>6.4316503777055001E-2</v>
      </c>
      <c r="D1507">
        <v>8.7724867724868005</v>
      </c>
      <c r="E1507">
        <v>0.54978748021636004</v>
      </c>
      <c r="F1507">
        <v>10</v>
      </c>
      <c r="H1507" t="s">
        <v>17</v>
      </c>
      <c r="I1507">
        <f t="shared" ref="I1507" si="438">STDEVP(A1493:A1512)</f>
        <v>4.8635775365017473</v>
      </c>
    </row>
    <row r="1508" spans="1:9" x14ac:dyDescent="0.25">
      <c r="A1508">
        <v>474.81632653061001</v>
      </c>
      <c r="B1508">
        <v>506.33673469387998</v>
      </c>
      <c r="C1508" s="1">
        <f t="shared" si="431"/>
        <v>6.6384423622463551E-2</v>
      </c>
      <c r="D1508">
        <v>8.8201058201058</v>
      </c>
      <c r="E1508">
        <v>0.56052109690493002</v>
      </c>
      <c r="F1508">
        <v>10</v>
      </c>
      <c r="H1508" t="s">
        <v>18</v>
      </c>
      <c r="I1508">
        <f t="shared" ref="I1508" si="439">STDEVP(B1493:B1512)</f>
        <v>4.6980952656751933</v>
      </c>
    </row>
    <row r="1509" spans="1:9" x14ac:dyDescent="0.25">
      <c r="A1509">
        <v>478.48979591837002</v>
      </c>
      <c r="B1509">
        <v>511.07142857142998</v>
      </c>
      <c r="C1509" s="1">
        <f t="shared" si="431"/>
        <v>6.8092638403136174E-2</v>
      </c>
      <c r="D1509">
        <v>8.7142857142856993</v>
      </c>
      <c r="E1509">
        <v>0.54493345203443999</v>
      </c>
      <c r="F1509">
        <v>10</v>
      </c>
      <c r="H1509" t="s">
        <v>19</v>
      </c>
      <c r="I1509">
        <f t="shared" ref="I1509" si="440">STDEVP(C1493:C1512)</f>
        <v>7.5748207812978263E-3</v>
      </c>
    </row>
    <row r="1510" spans="1:9" x14ac:dyDescent="0.25">
      <c r="A1510">
        <v>472.92857142857002</v>
      </c>
      <c r="B1510">
        <v>505.34693877551001</v>
      </c>
      <c r="C1510" s="1">
        <f t="shared" si="431"/>
        <v>6.8548126092306427E-2</v>
      </c>
      <c r="D1510">
        <v>8.7037037037037006</v>
      </c>
      <c r="E1510">
        <v>0.55420414609101998</v>
      </c>
      <c r="F1510">
        <v>10</v>
      </c>
      <c r="H1510" t="s">
        <v>20</v>
      </c>
      <c r="I1510">
        <f t="shared" ref="I1510" si="441">STDEVP(D1493:D1512)</f>
        <v>0.15101255808366307</v>
      </c>
    </row>
    <row r="1511" spans="1:9" x14ac:dyDescent="0.25">
      <c r="A1511">
        <v>473.0306122449</v>
      </c>
      <c r="B1511">
        <v>503.78571428572002</v>
      </c>
      <c r="C1511" s="1">
        <f t="shared" si="431"/>
        <v>6.5017149513565409E-2</v>
      </c>
      <c r="D1511">
        <v>8.6349206349206007</v>
      </c>
      <c r="E1511">
        <v>0.54530875689992997</v>
      </c>
      <c r="F1511">
        <v>10</v>
      </c>
      <c r="H1511" t="s">
        <v>21</v>
      </c>
      <c r="I1511">
        <f t="shared" ref="I1511" si="442">STDEVP(E1493:E1512)</f>
        <v>1.0620411542622816E-2</v>
      </c>
    </row>
    <row r="1512" spans="1:9" x14ac:dyDescent="0.25">
      <c r="A1512">
        <v>484.32653061225</v>
      </c>
      <c r="B1512">
        <v>511.17346938776001</v>
      </c>
      <c r="C1512" s="1">
        <f t="shared" si="431"/>
        <v>5.5431484914881812E-2</v>
      </c>
      <c r="D1512">
        <v>8.8465608465608003</v>
      </c>
      <c r="E1512">
        <v>0.54707057919360003</v>
      </c>
      <c r="F1512">
        <v>10</v>
      </c>
      <c r="H1512" t="s">
        <v>22</v>
      </c>
      <c r="I1512">
        <f t="shared" ref="I1512" si="443">STDEVP(F1493:F1512)</f>
        <v>0</v>
      </c>
    </row>
    <row r="1513" spans="1:9" x14ac:dyDescent="0.25">
      <c r="C1513" s="1" t="str">
        <f t="shared" si="431"/>
        <v/>
      </c>
    </row>
    <row r="1514" spans="1:9" x14ac:dyDescent="0.25">
      <c r="A1514">
        <v>553.80664827987005</v>
      </c>
      <c r="B1514">
        <v>573.13049789519005</v>
      </c>
      <c r="C1514" s="1">
        <f t="shared" si="431"/>
        <v>3.4892772911520931E-2</v>
      </c>
      <c r="D1514">
        <v>9.4804584190419998</v>
      </c>
      <c r="E1514">
        <v>0.51386429974825998</v>
      </c>
      <c r="F1514">
        <v>14</v>
      </c>
    </row>
    <row r="1515" spans="1:9" x14ac:dyDescent="0.25">
      <c r="A1515">
        <v>555.29597909711003</v>
      </c>
      <c r="B1515">
        <v>572.04151545943</v>
      </c>
      <c r="C1515" s="1">
        <f t="shared" si="431"/>
        <v>3.0156055495931255E-2</v>
      </c>
      <c r="D1515">
        <v>9.4704672347927996</v>
      </c>
      <c r="E1515">
        <v>0.51079965218506995</v>
      </c>
      <c r="F1515">
        <v>15</v>
      </c>
    </row>
    <row r="1516" spans="1:9" x14ac:dyDescent="0.25">
      <c r="A1516">
        <v>553.92800116127</v>
      </c>
      <c r="B1516">
        <v>572.21628683408005</v>
      </c>
      <c r="C1516" s="1">
        <f t="shared" si="431"/>
        <v>3.3015636751473121E-2</v>
      </c>
      <c r="D1516">
        <v>9.5280634734057994</v>
      </c>
      <c r="E1516">
        <v>0.51732957771624</v>
      </c>
      <c r="F1516">
        <v>15</v>
      </c>
    </row>
    <row r="1517" spans="1:9" x14ac:dyDescent="0.25">
      <c r="A1517">
        <v>555.20075482653999</v>
      </c>
      <c r="B1517">
        <v>573.07533749456002</v>
      </c>
      <c r="C1517" s="1">
        <f t="shared" si="431"/>
        <v>3.2194809737974062E-2</v>
      </c>
      <c r="D1517">
        <v>9.3875991771966003</v>
      </c>
      <c r="E1517">
        <v>0.50440224452117999</v>
      </c>
      <c r="F1517">
        <v>15</v>
      </c>
    </row>
    <row r="1518" spans="1:9" x14ac:dyDescent="0.25">
      <c r="A1518">
        <v>553.19843228335003</v>
      </c>
      <c r="B1518">
        <v>572.71563361880999</v>
      </c>
      <c r="C1518" s="1">
        <f t="shared" si="431"/>
        <v>3.5280651926112405E-2</v>
      </c>
      <c r="D1518">
        <v>9.5045548045842008</v>
      </c>
      <c r="E1518">
        <v>0.51690208332813004</v>
      </c>
      <c r="F1518">
        <v>14</v>
      </c>
    </row>
    <row r="1519" spans="1:9" x14ac:dyDescent="0.25">
      <c r="A1519">
        <v>556.20380316446995</v>
      </c>
      <c r="B1519">
        <v>576.17302946727</v>
      </c>
      <c r="C1519" s="1">
        <f t="shared" si="431"/>
        <v>3.5902714417245907E-2</v>
      </c>
      <c r="D1519">
        <v>9.3834851601527998</v>
      </c>
      <c r="E1519">
        <v>0.50236968937911997</v>
      </c>
      <c r="F1519">
        <v>15</v>
      </c>
    </row>
    <row r="1520" spans="1:9" x14ac:dyDescent="0.25">
      <c r="A1520">
        <v>548.62824793148002</v>
      </c>
      <c r="B1520">
        <v>569.43852518508004</v>
      </c>
      <c r="C1520" s="1">
        <f t="shared" si="431"/>
        <v>3.7931472417000123E-2</v>
      </c>
      <c r="D1520">
        <v>9.3147223038495</v>
      </c>
      <c r="E1520">
        <v>0.50750523017691995</v>
      </c>
      <c r="F1520">
        <v>15</v>
      </c>
    </row>
    <row r="1521" spans="1:9" x14ac:dyDescent="0.25">
      <c r="A1521">
        <v>549.64668311800995</v>
      </c>
      <c r="B1521">
        <v>567.73348816954001</v>
      </c>
      <c r="C1521" s="1">
        <f t="shared" si="431"/>
        <v>3.2906238874995219E-2</v>
      </c>
      <c r="D1521">
        <v>9.3711431090214994</v>
      </c>
      <c r="E1521">
        <v>0.51070408407135004</v>
      </c>
      <c r="F1521">
        <v>14</v>
      </c>
    </row>
    <row r="1522" spans="1:9" x14ac:dyDescent="0.25">
      <c r="A1522">
        <v>554.17564232835002</v>
      </c>
      <c r="B1522">
        <v>571.37784874437</v>
      </c>
      <c r="C1522" s="1">
        <f t="shared" si="431"/>
        <v>3.1041072725148E-2</v>
      </c>
      <c r="D1522">
        <v>9.5515721422273998</v>
      </c>
      <c r="E1522">
        <v>0.51920882391727996</v>
      </c>
      <c r="F1522">
        <v>15</v>
      </c>
    </row>
    <row r="1523" spans="1:9" x14ac:dyDescent="0.25">
      <c r="A1523">
        <v>557.56394251706001</v>
      </c>
      <c r="B1523">
        <v>577.04630570475001</v>
      </c>
      <c r="C1523" s="1">
        <f t="shared" si="431"/>
        <v>3.4941935268875346E-2</v>
      </c>
      <c r="D1523">
        <v>9.4828092859241995</v>
      </c>
      <c r="E1523">
        <v>0.50840100329695004</v>
      </c>
      <c r="F1523">
        <v>15</v>
      </c>
    </row>
    <row r="1524" spans="1:9" x14ac:dyDescent="0.25">
      <c r="A1524">
        <v>555.4498475831</v>
      </c>
      <c r="B1524">
        <v>572.25431847873006</v>
      </c>
      <c r="C1524" s="1">
        <f t="shared" si="431"/>
        <v>3.0253804135063733E-2</v>
      </c>
      <c r="D1524">
        <v>9.3441081398765995</v>
      </c>
      <c r="E1524">
        <v>0.50054048841760002</v>
      </c>
      <c r="F1524">
        <v>14</v>
      </c>
    </row>
    <row r="1525" spans="1:9" x14ac:dyDescent="0.25">
      <c r="A1525">
        <v>551.73697198432001</v>
      </c>
      <c r="B1525">
        <v>570.23428654376005</v>
      </c>
      <c r="C1525" s="1">
        <f t="shared" si="431"/>
        <v>3.3525602775747565E-2</v>
      </c>
      <c r="D1525">
        <v>9.4281516309139004</v>
      </c>
      <c r="E1525">
        <v>0.51265864879321998</v>
      </c>
      <c r="F1525">
        <v>15</v>
      </c>
    </row>
    <row r="1526" spans="1:9" x14ac:dyDescent="0.25">
      <c r="A1526">
        <v>552.07112788503002</v>
      </c>
      <c r="B1526">
        <v>568.16054579765</v>
      </c>
      <c r="C1526" s="1">
        <f t="shared" si="431"/>
        <v>2.9143740905738236E-2</v>
      </c>
      <c r="D1526">
        <v>9.3999412283279007</v>
      </c>
      <c r="E1526">
        <v>0.50917827183759001</v>
      </c>
      <c r="F1526">
        <v>15</v>
      </c>
    </row>
    <row r="1527" spans="1:9" x14ac:dyDescent="0.25">
      <c r="A1527">
        <v>559.20191609813003</v>
      </c>
      <c r="B1527">
        <v>574.72550442734996</v>
      </c>
      <c r="C1527" s="1">
        <f t="shared" si="431"/>
        <v>2.7760255968965364E-2</v>
      </c>
      <c r="D1527">
        <v>9.4998530708198992</v>
      </c>
      <c r="E1527">
        <v>0.50843468776334</v>
      </c>
      <c r="F1527">
        <v>15</v>
      </c>
    </row>
    <row r="1528" spans="1:9" x14ac:dyDescent="0.25">
      <c r="A1528">
        <v>548.33183335752994</v>
      </c>
      <c r="B1528">
        <v>569.19088401800002</v>
      </c>
      <c r="C1528" s="1">
        <f t="shared" si="431"/>
        <v>3.8040925934842207E-2</v>
      </c>
      <c r="D1528">
        <v>9.3570379077285004</v>
      </c>
      <c r="E1528">
        <v>0.51136235905236005</v>
      </c>
      <c r="F1528">
        <v>14</v>
      </c>
      <c r="H1528" t="s">
        <v>17</v>
      </c>
      <c r="I1528">
        <f t="shared" ref="I1528" si="444">STDEVP(A1514:A1533)</f>
        <v>3.2218170466210871</v>
      </c>
    </row>
    <row r="1529" spans="1:9" x14ac:dyDescent="0.25">
      <c r="A1529">
        <v>558.23922194803004</v>
      </c>
      <c r="B1529">
        <v>575.09478879373</v>
      </c>
      <c r="C1529" s="1">
        <f t="shared" si="431"/>
        <v>3.0194164406579738E-2</v>
      </c>
      <c r="D1529">
        <v>9.5633264766383004</v>
      </c>
      <c r="E1529">
        <v>0.51452722307687004</v>
      </c>
      <c r="F1529">
        <v>15</v>
      </c>
      <c r="H1529" t="s">
        <v>18</v>
      </c>
      <c r="I1529">
        <f t="shared" ref="I1529" si="445">STDEVP(B1514:B1533)</f>
        <v>2.6747938192329235</v>
      </c>
    </row>
    <row r="1530" spans="1:9" x14ac:dyDescent="0.25">
      <c r="A1530">
        <v>558.66308607925998</v>
      </c>
      <c r="B1530">
        <v>576.30105966033</v>
      </c>
      <c r="C1530" s="1">
        <f t="shared" si="431"/>
        <v>3.1571754104704919E-2</v>
      </c>
      <c r="D1530">
        <v>9.6091683808403996</v>
      </c>
      <c r="E1530">
        <v>0.51745506017161003</v>
      </c>
      <c r="F1530">
        <v>15</v>
      </c>
      <c r="H1530" t="s">
        <v>19</v>
      </c>
      <c r="I1530">
        <f t="shared" ref="I1530" si="446">STDEVP(C1514:C1533)</f>
        <v>3.1867005657698873E-3</v>
      </c>
    </row>
    <row r="1531" spans="1:9" x14ac:dyDescent="0.25">
      <c r="A1531">
        <v>557.30062418347995</v>
      </c>
      <c r="B1531">
        <v>573.86442154158999</v>
      </c>
      <c r="C1531" s="1">
        <f t="shared" si="431"/>
        <v>2.9721476415674575E-2</v>
      </c>
      <c r="D1531">
        <v>9.4804584190419998</v>
      </c>
      <c r="E1531">
        <v>0.50921660593199003</v>
      </c>
      <c r="F1531">
        <v>15</v>
      </c>
      <c r="H1531" t="s">
        <v>20</v>
      </c>
      <c r="I1531">
        <f t="shared" ref="I1531" si="447">STDEVP(D1514:D1533)</f>
        <v>8.2533064506188109E-2</v>
      </c>
    </row>
    <row r="1532" spans="1:9" x14ac:dyDescent="0.25">
      <c r="A1532">
        <v>558.60066773117001</v>
      </c>
      <c r="B1532">
        <v>573.09449847583005</v>
      </c>
      <c r="C1532" s="1">
        <f t="shared" si="431"/>
        <v>2.5946676368162391E-2</v>
      </c>
      <c r="D1532">
        <v>9.5633264766383004</v>
      </c>
      <c r="E1532">
        <v>0.51370464574581998</v>
      </c>
      <c r="F1532">
        <v>14</v>
      </c>
      <c r="H1532" t="s">
        <v>21</v>
      </c>
      <c r="I1532">
        <f t="shared" ref="I1532" si="448">STDEVP(E1514:E1533)</f>
        <v>4.9409648588079284E-3</v>
      </c>
    </row>
    <row r="1533" spans="1:9" x14ac:dyDescent="0.25">
      <c r="A1533">
        <v>552.77224560894001</v>
      </c>
      <c r="B1533">
        <v>569.08636957468002</v>
      </c>
      <c r="C1533" s="1">
        <f t="shared" si="431"/>
        <v>2.9513283446002569E-2</v>
      </c>
      <c r="D1533">
        <v>9.3805465765501008</v>
      </c>
      <c r="E1533">
        <v>0.50715348725040998</v>
      </c>
      <c r="F1533">
        <v>15</v>
      </c>
      <c r="H1533" t="s">
        <v>22</v>
      </c>
      <c r="I1533">
        <f t="shared" ref="I1533" si="449">STDEVP(F1514:F1533)</f>
        <v>0.45825756949558394</v>
      </c>
    </row>
    <row r="1534" spans="1:9" x14ac:dyDescent="0.25">
      <c r="C1534" s="1" t="str">
        <f t="shared" si="431"/>
        <v/>
      </c>
    </row>
    <row r="1535" spans="1:9" x14ac:dyDescent="0.25">
      <c r="A1535">
        <v>732.48749999999995</v>
      </c>
      <c r="B1535">
        <v>755.01874999999995</v>
      </c>
      <c r="C1535" s="1">
        <f t="shared" si="431"/>
        <v>3.0759910578678884E-2</v>
      </c>
      <c r="D1535">
        <v>11.520886075949001</v>
      </c>
      <c r="E1535">
        <v>0.45303193136525</v>
      </c>
      <c r="F1535">
        <v>19</v>
      </c>
    </row>
    <row r="1536" spans="1:9" x14ac:dyDescent="0.25">
      <c r="A1536">
        <v>731.5625</v>
      </c>
      <c r="B1536">
        <v>753.05</v>
      </c>
      <c r="C1536" s="1">
        <f t="shared" si="431"/>
        <v>2.9372063220845623E-2</v>
      </c>
      <c r="D1536">
        <v>11.461392405063</v>
      </c>
      <c r="E1536">
        <v>0.44973515158055</v>
      </c>
      <c r="F1536">
        <v>21</v>
      </c>
    </row>
    <row r="1537" spans="1:9" x14ac:dyDescent="0.25">
      <c r="A1537">
        <v>724.3</v>
      </c>
      <c r="B1537">
        <v>743.85</v>
      </c>
      <c r="C1537" s="1">
        <f t="shared" si="431"/>
        <v>2.6991578075383327E-2</v>
      </c>
      <c r="D1537">
        <v>11.429113924051</v>
      </c>
      <c r="E1537">
        <v>0.45566967601434</v>
      </c>
      <c r="F1537">
        <v>20</v>
      </c>
    </row>
    <row r="1538" spans="1:9" x14ac:dyDescent="0.25">
      <c r="A1538">
        <v>726.08749999999998</v>
      </c>
      <c r="B1538">
        <v>750.65</v>
      </c>
      <c r="C1538" s="1">
        <f t="shared" ref="C1538:C1601" si="450">IFERROR((B1538/A1538)-1,"")</f>
        <v>3.3828567493587203E-2</v>
      </c>
      <c r="D1538">
        <v>11.456329113923999</v>
      </c>
      <c r="E1538">
        <v>0.45473391931322998</v>
      </c>
      <c r="F1538">
        <v>20</v>
      </c>
    </row>
    <row r="1539" spans="1:9" x14ac:dyDescent="0.25">
      <c r="A1539">
        <v>729.46249999999998</v>
      </c>
      <c r="B1539">
        <v>751.40625</v>
      </c>
      <c r="C1539" s="1">
        <f t="shared" si="450"/>
        <v>3.008208098428633E-2</v>
      </c>
      <c r="D1539">
        <v>11.568987341772001</v>
      </c>
      <c r="E1539">
        <v>0.45808570678586003</v>
      </c>
      <c r="F1539">
        <v>20</v>
      </c>
    </row>
    <row r="1540" spans="1:9" x14ac:dyDescent="0.25">
      <c r="A1540">
        <v>723.63750000000005</v>
      </c>
      <c r="B1540">
        <v>749.86874999999998</v>
      </c>
      <c r="C1540" s="1">
        <f t="shared" si="450"/>
        <v>3.6249157900191564E-2</v>
      </c>
      <c r="D1540">
        <v>11.443670886075999</v>
      </c>
      <c r="E1540">
        <v>0.45649211749229002</v>
      </c>
      <c r="F1540">
        <v>20</v>
      </c>
    </row>
    <row r="1541" spans="1:9" x14ac:dyDescent="0.25">
      <c r="A1541">
        <v>730.53750000000002</v>
      </c>
      <c r="B1541">
        <v>751.92499999999995</v>
      </c>
      <c r="C1541" s="1">
        <f t="shared" si="450"/>
        <v>2.9276388960183253E-2</v>
      </c>
      <c r="D1541">
        <v>11.441139240506001</v>
      </c>
      <c r="E1541">
        <v>0.44964027907182003</v>
      </c>
      <c r="F1541">
        <v>21</v>
      </c>
    </row>
    <row r="1542" spans="1:9" x14ac:dyDescent="0.25">
      <c r="A1542">
        <v>726.1</v>
      </c>
      <c r="B1542">
        <v>751.01874999999995</v>
      </c>
      <c r="C1542" s="1">
        <f t="shared" si="450"/>
        <v>3.4318620024789803E-2</v>
      </c>
      <c r="D1542">
        <v>11.329113924051001</v>
      </c>
      <c r="E1542">
        <v>0.44795007168812001</v>
      </c>
      <c r="F1542">
        <v>20</v>
      </c>
    </row>
    <row r="1543" spans="1:9" x14ac:dyDescent="0.25">
      <c r="A1543">
        <v>725.5</v>
      </c>
      <c r="B1543">
        <v>744.65625</v>
      </c>
      <c r="C1543" s="1">
        <f t="shared" si="450"/>
        <v>2.6404203997243192E-2</v>
      </c>
      <c r="D1543">
        <v>11.064556962025</v>
      </c>
      <c r="E1543">
        <v>0.4331594510074</v>
      </c>
      <c r="F1543">
        <v>20</v>
      </c>
    </row>
    <row r="1544" spans="1:9" x14ac:dyDescent="0.25">
      <c r="A1544">
        <v>725.67499999999995</v>
      </c>
      <c r="B1544">
        <v>746.63750000000005</v>
      </c>
      <c r="C1544" s="1">
        <f t="shared" si="450"/>
        <v>2.8886898404933525E-2</v>
      </c>
      <c r="D1544">
        <v>11.440506329113999</v>
      </c>
      <c r="E1544">
        <v>0.45474777328558003</v>
      </c>
      <c r="F1544">
        <v>20</v>
      </c>
    </row>
    <row r="1545" spans="1:9" x14ac:dyDescent="0.25">
      <c r="A1545">
        <v>724.97500000000002</v>
      </c>
      <c r="B1545">
        <v>746.76250000000005</v>
      </c>
      <c r="C1545" s="1">
        <f t="shared" si="450"/>
        <v>3.0052760440015147E-2</v>
      </c>
      <c r="D1545">
        <v>11.593670886076</v>
      </c>
      <c r="E1545">
        <v>0.46359685787174998</v>
      </c>
      <c r="F1545">
        <v>21</v>
      </c>
    </row>
    <row r="1546" spans="1:9" x14ac:dyDescent="0.25">
      <c r="A1546">
        <v>727.26250000000005</v>
      </c>
      <c r="B1546">
        <v>746.89374999999995</v>
      </c>
      <c r="C1546" s="1">
        <f t="shared" si="450"/>
        <v>2.6993348343961054E-2</v>
      </c>
      <c r="D1546">
        <v>11.470253164557001</v>
      </c>
      <c r="E1546">
        <v>0.45461575590385001</v>
      </c>
      <c r="F1546">
        <v>20</v>
      </c>
    </row>
    <row r="1547" spans="1:9" x14ac:dyDescent="0.25">
      <c r="A1547">
        <v>719.4</v>
      </c>
      <c r="B1547">
        <v>747.66250000000002</v>
      </c>
      <c r="C1547" s="1">
        <f t="shared" si="450"/>
        <v>3.9286210731164894E-2</v>
      </c>
      <c r="D1547">
        <v>11.515189873418</v>
      </c>
      <c r="E1547">
        <v>0.46421866694018998</v>
      </c>
      <c r="F1547">
        <v>20</v>
      </c>
    </row>
    <row r="1548" spans="1:9" x14ac:dyDescent="0.25">
      <c r="A1548">
        <v>732.67499999999995</v>
      </c>
      <c r="B1548">
        <v>752.34375</v>
      </c>
      <c r="C1548" s="1">
        <f t="shared" si="450"/>
        <v>2.6845122325724224E-2</v>
      </c>
      <c r="D1548">
        <v>11.548101265823</v>
      </c>
      <c r="E1548">
        <v>0.45450076740034001</v>
      </c>
      <c r="F1548">
        <v>21</v>
      </c>
    </row>
    <row r="1549" spans="1:9" x14ac:dyDescent="0.25">
      <c r="A1549">
        <v>723.45</v>
      </c>
      <c r="B1549">
        <v>744.28125</v>
      </c>
      <c r="C1549" s="1">
        <f t="shared" si="450"/>
        <v>2.8794318888658355E-2</v>
      </c>
      <c r="D1549">
        <v>11.436708860759</v>
      </c>
      <c r="E1549">
        <v>0.45654834040067999</v>
      </c>
      <c r="F1549">
        <v>19</v>
      </c>
      <c r="H1549" t="s">
        <v>17</v>
      </c>
      <c r="I1549">
        <f t="shared" ref="I1549" si="451">STDEVP(A1535:A1554)</f>
        <v>3.8673563220726073</v>
      </c>
    </row>
    <row r="1550" spans="1:9" x14ac:dyDescent="0.25">
      <c r="A1550">
        <v>728.67499999999995</v>
      </c>
      <c r="B1550">
        <v>752.625</v>
      </c>
      <c r="C1550" s="1">
        <f t="shared" si="450"/>
        <v>3.286787662538182E-2</v>
      </c>
      <c r="D1550">
        <v>11.635443037975</v>
      </c>
      <c r="E1550">
        <v>0.46380491343338998</v>
      </c>
      <c r="F1550">
        <v>21</v>
      </c>
      <c r="H1550" t="s">
        <v>18</v>
      </c>
      <c r="I1550">
        <f t="shared" ref="I1550" si="452">STDEVP(B1535:B1554)</f>
        <v>3.3880713309713362</v>
      </c>
    </row>
    <row r="1551" spans="1:9" x14ac:dyDescent="0.25">
      <c r="A1551">
        <v>718.17499999999995</v>
      </c>
      <c r="B1551">
        <v>743.40625</v>
      </c>
      <c r="C1551" s="1">
        <f t="shared" si="450"/>
        <v>3.5132453789118223E-2</v>
      </c>
      <c r="D1551">
        <v>11.275949367089</v>
      </c>
      <c r="E1551">
        <v>0.45169658931992002</v>
      </c>
      <c r="F1551">
        <v>20</v>
      </c>
      <c r="H1551" t="s">
        <v>19</v>
      </c>
      <c r="I1551">
        <f t="shared" ref="I1551" si="453">STDEVP(C1535:C1554)</f>
        <v>3.539410248496903E-3</v>
      </c>
    </row>
    <row r="1552" spans="1:9" x14ac:dyDescent="0.25">
      <c r="A1552">
        <v>725.96249999999998</v>
      </c>
      <c r="B1552">
        <v>745.66875000000005</v>
      </c>
      <c r="C1552" s="1">
        <f t="shared" si="450"/>
        <v>2.7144997158944362E-2</v>
      </c>
      <c r="D1552">
        <v>11.460126582278001</v>
      </c>
      <c r="E1552">
        <v>0.45560022671779998</v>
      </c>
      <c r="F1552">
        <v>20</v>
      </c>
      <c r="H1552" t="s">
        <v>20</v>
      </c>
      <c r="I1552">
        <f t="shared" ref="I1552" si="454">STDEVP(D1535:D1554)</f>
        <v>0.12602225405172462</v>
      </c>
    </row>
    <row r="1553" spans="1:9" x14ac:dyDescent="0.25">
      <c r="A1553">
        <v>723.92499999999995</v>
      </c>
      <c r="B1553">
        <v>747.4</v>
      </c>
      <c r="C1553" s="1">
        <f t="shared" si="450"/>
        <v>3.2427392340366845E-2</v>
      </c>
      <c r="D1553">
        <v>11.464556962025</v>
      </c>
      <c r="E1553">
        <v>0.45677973936089999</v>
      </c>
      <c r="F1553">
        <v>21</v>
      </c>
      <c r="H1553" t="s">
        <v>21</v>
      </c>
      <c r="I1553">
        <f t="shared" ref="I1553" si="455">STDEVP(E1535:E1554)</f>
        <v>6.7020041926361363E-3</v>
      </c>
    </row>
    <row r="1554" spans="1:9" x14ac:dyDescent="0.25">
      <c r="A1554">
        <v>722.13750000000005</v>
      </c>
      <c r="B1554">
        <v>746.875</v>
      </c>
      <c r="C1554" s="1">
        <f t="shared" si="450"/>
        <v>3.4255941562375547E-2</v>
      </c>
      <c r="D1554">
        <v>11.260126582278</v>
      </c>
      <c r="E1554">
        <v>0.44712538857100997</v>
      </c>
      <c r="F1554">
        <v>20</v>
      </c>
      <c r="H1554" t="s">
        <v>22</v>
      </c>
      <c r="I1554">
        <f t="shared" ref="I1554" si="456">STDEVP(F1535:F1554)</f>
        <v>0.60000000000000009</v>
      </c>
    </row>
    <row r="1555" spans="1:9" x14ac:dyDescent="0.25">
      <c r="C1555" s="1" t="str">
        <f t="shared" si="450"/>
        <v/>
      </c>
    </row>
    <row r="1556" spans="1:9" x14ac:dyDescent="0.25">
      <c r="A1556">
        <v>1375.6740180633999</v>
      </c>
      <c r="B1556">
        <v>1410.5587061542001</v>
      </c>
      <c r="C1556" s="1">
        <f t="shared" si="450"/>
        <v>2.5358251760768891E-2</v>
      </c>
      <c r="D1556">
        <v>12.665814151748</v>
      </c>
      <c r="E1556">
        <v>0.22195600490622999</v>
      </c>
      <c r="F1556">
        <v>22</v>
      </c>
    </row>
    <row r="1557" spans="1:9" x14ac:dyDescent="0.25">
      <c r="A1557">
        <v>1370.9283763915</v>
      </c>
      <c r="B1557">
        <v>1403.4778407896999</v>
      </c>
      <c r="C1557" s="1">
        <f t="shared" si="450"/>
        <v>2.3742644005863456E-2</v>
      </c>
      <c r="D1557">
        <v>12.679454390451999</v>
      </c>
      <c r="E1557">
        <v>0.22315527456161999</v>
      </c>
      <c r="F1557">
        <v>23</v>
      </c>
    </row>
    <row r="1558" spans="1:9" x14ac:dyDescent="0.25">
      <c r="A1558">
        <v>1394.4381432472001</v>
      </c>
      <c r="B1558">
        <v>1417.3803822725999</v>
      </c>
      <c r="C1558" s="1">
        <f t="shared" si="450"/>
        <v>1.6452676037658209E-2</v>
      </c>
      <c r="D1558">
        <v>12.658994032396</v>
      </c>
      <c r="E1558">
        <v>0.21827644929904999</v>
      </c>
      <c r="F1558">
        <v>23</v>
      </c>
    </row>
    <row r="1559" spans="1:9" x14ac:dyDescent="0.25">
      <c r="A1559">
        <v>1376.2839739551</v>
      </c>
      <c r="B1559">
        <v>1413.9432892248999</v>
      </c>
      <c r="C1559" s="1">
        <f t="shared" si="450"/>
        <v>2.7363041336284866E-2</v>
      </c>
      <c r="D1559">
        <v>12.714407502130999</v>
      </c>
      <c r="E1559">
        <v>0.22304223760929001</v>
      </c>
      <c r="F1559">
        <v>23</v>
      </c>
    </row>
    <row r="1560" spans="1:9" x14ac:dyDescent="0.25">
      <c r="A1560">
        <v>1391.6492333542999</v>
      </c>
      <c r="B1560">
        <v>1415.2862843939999</v>
      </c>
      <c r="C1560" s="1">
        <f t="shared" si="450"/>
        <v>1.6984920102839141E-2</v>
      </c>
      <c r="D1560">
        <v>12.651321398124001</v>
      </c>
      <c r="E1560">
        <v>0.21868590551598999</v>
      </c>
      <c r="F1560">
        <v>23</v>
      </c>
    </row>
    <row r="1561" spans="1:9" x14ac:dyDescent="0.25">
      <c r="A1561">
        <v>1379.2833438353</v>
      </c>
      <c r="B1561">
        <v>1415.8260869564999</v>
      </c>
      <c r="C1561" s="1">
        <f t="shared" si="450"/>
        <v>2.6494007402124931E-2</v>
      </c>
      <c r="D1561">
        <v>12.719522591644999</v>
      </c>
      <c r="E1561">
        <v>0.22246215171712999</v>
      </c>
      <c r="F1561">
        <v>23</v>
      </c>
    </row>
    <row r="1562" spans="1:9" x14ac:dyDescent="0.25">
      <c r="A1562">
        <v>1383.3862633900001</v>
      </c>
      <c r="B1562">
        <v>1413.4921235034999</v>
      </c>
      <c r="C1562" s="1">
        <f t="shared" si="450"/>
        <v>2.176243968168734E-2</v>
      </c>
      <c r="D1562">
        <v>12.570332480817999</v>
      </c>
      <c r="E1562">
        <v>0.21859505542926999</v>
      </c>
      <c r="F1562">
        <v>22</v>
      </c>
    </row>
    <row r="1563" spans="1:9" x14ac:dyDescent="0.25">
      <c r="A1563">
        <v>1373.1573198908</v>
      </c>
      <c r="B1563">
        <v>1418.6801092206999</v>
      </c>
      <c r="C1563" s="1">
        <f t="shared" si="450"/>
        <v>3.3151911052347716E-2</v>
      </c>
      <c r="D1563">
        <v>12.683716965046999</v>
      </c>
      <c r="E1563">
        <v>0.22308914926226001</v>
      </c>
      <c r="F1563">
        <v>23</v>
      </c>
    </row>
    <row r="1564" spans="1:9" x14ac:dyDescent="0.25">
      <c r="A1564">
        <v>1375.6798991808</v>
      </c>
      <c r="B1564">
        <v>1404.0882167612001</v>
      </c>
      <c r="C1564" s="1">
        <f t="shared" si="450"/>
        <v>2.0650383564750019E-2</v>
      </c>
      <c r="D1564">
        <v>12.539641943734001</v>
      </c>
      <c r="E1564">
        <v>0.21931859300779999</v>
      </c>
      <c r="F1564">
        <v>23</v>
      </c>
    </row>
    <row r="1565" spans="1:9" x14ac:dyDescent="0.25">
      <c r="A1565">
        <v>1384.3936147868001</v>
      </c>
      <c r="B1565">
        <v>1417.3152699013001</v>
      </c>
      <c r="C1565" s="1">
        <f t="shared" si="450"/>
        <v>2.3780559779286392E-2</v>
      </c>
      <c r="D1565">
        <v>12.70673486786</v>
      </c>
      <c r="E1565">
        <v>0.22126529864201999</v>
      </c>
      <c r="F1565">
        <v>23</v>
      </c>
    </row>
    <row r="1566" spans="1:9" x14ac:dyDescent="0.25">
      <c r="A1566">
        <v>1381.3379542113</v>
      </c>
      <c r="B1566">
        <v>1412.9418189456001</v>
      </c>
      <c r="C1566" s="1">
        <f t="shared" si="450"/>
        <v>2.2879169169245595E-2</v>
      </c>
      <c r="D1566">
        <v>12.531116794543999</v>
      </c>
      <c r="E1566">
        <v>0.21807502112499999</v>
      </c>
      <c r="F1566">
        <v>23</v>
      </c>
    </row>
    <row r="1567" spans="1:9" x14ac:dyDescent="0.25">
      <c r="A1567">
        <v>1382.9498004621</v>
      </c>
      <c r="B1567">
        <v>1410.2789329973</v>
      </c>
      <c r="C1567" s="1">
        <f t="shared" si="450"/>
        <v>1.9761478345828642E-2</v>
      </c>
      <c r="D1567">
        <v>12.682011935208999</v>
      </c>
      <c r="E1567">
        <v>0.22101595748868</v>
      </c>
      <c r="F1567">
        <v>23</v>
      </c>
    </row>
    <row r="1568" spans="1:9" x14ac:dyDescent="0.25">
      <c r="A1568">
        <v>1370.7279983197</v>
      </c>
      <c r="B1568">
        <v>1409.0943079184999</v>
      </c>
      <c r="C1568" s="1">
        <f t="shared" si="450"/>
        <v>2.7989732204953155E-2</v>
      </c>
      <c r="D1568">
        <v>12.600170502984</v>
      </c>
      <c r="E1568">
        <v>0.22170097436594999</v>
      </c>
      <c r="F1568">
        <v>23</v>
      </c>
    </row>
    <row r="1569" spans="1:9" x14ac:dyDescent="0.25">
      <c r="A1569">
        <v>1381.0581810543999</v>
      </c>
      <c r="B1569">
        <v>1414.0205839109001</v>
      </c>
      <c r="C1569" s="1">
        <f t="shared" si="450"/>
        <v>2.3867497625142953E-2</v>
      </c>
      <c r="D1569">
        <v>12.684569479965999</v>
      </c>
      <c r="E1569">
        <v>0.22135169286525</v>
      </c>
      <c r="F1569">
        <v>22</v>
      </c>
    </row>
    <row r="1570" spans="1:9" x14ac:dyDescent="0.25">
      <c r="A1570">
        <v>1373.8454106280001</v>
      </c>
      <c r="B1570">
        <v>1410.0344465447999</v>
      </c>
      <c r="C1570" s="1">
        <f t="shared" si="450"/>
        <v>2.6341417772948406E-2</v>
      </c>
      <c r="D1570">
        <v>12.627450980392</v>
      </c>
      <c r="E1570">
        <v>0.22159753750833999</v>
      </c>
      <c r="F1570">
        <v>23</v>
      </c>
      <c r="H1570" t="s">
        <v>17</v>
      </c>
      <c r="I1570">
        <f t="shared" ref="I1570" si="457">STDEVP(A1556:A1575)</f>
        <v>6.056625660462541</v>
      </c>
    </row>
    <row r="1571" spans="1:9" x14ac:dyDescent="0.25">
      <c r="A1571">
        <v>1383.0842260029001</v>
      </c>
      <c r="B1571">
        <v>1410.940978786</v>
      </c>
      <c r="C1571" s="1">
        <f t="shared" si="450"/>
        <v>2.0141038600089978E-2</v>
      </c>
      <c r="D1571">
        <v>12.806479113384</v>
      </c>
      <c r="E1571">
        <v>0.22355614968813001</v>
      </c>
      <c r="F1571">
        <v>23</v>
      </c>
      <c r="H1571" t="s">
        <v>18</v>
      </c>
      <c r="I1571">
        <f t="shared" ref="I1571" si="458">STDEVP(B1556:B1575)</f>
        <v>3.8654904673733923</v>
      </c>
    </row>
    <row r="1572" spans="1:9" x14ac:dyDescent="0.25">
      <c r="A1572">
        <v>1379.61352657</v>
      </c>
      <c r="B1572">
        <v>1409.7000630120001</v>
      </c>
      <c r="C1572" s="1">
        <f t="shared" si="450"/>
        <v>2.1807945386561611E-2</v>
      </c>
      <c r="D1572">
        <v>12.627450980392</v>
      </c>
      <c r="E1572">
        <v>0.22041803448846001</v>
      </c>
      <c r="F1572">
        <v>23</v>
      </c>
      <c r="H1572" t="s">
        <v>19</v>
      </c>
      <c r="I1572">
        <f t="shared" ref="I1572" si="459">STDEVP(C1556:C1575)</f>
        <v>3.823796235487756E-3</v>
      </c>
    </row>
    <row r="1573" spans="1:9" x14ac:dyDescent="0.25">
      <c r="A1573">
        <v>1374.6578449905001</v>
      </c>
      <c r="B1573">
        <v>1410.6712875446001</v>
      </c>
      <c r="C1573" s="1">
        <f t="shared" si="450"/>
        <v>2.6198113723600036E-2</v>
      </c>
      <c r="D1573">
        <v>12.718670076725999</v>
      </c>
      <c r="E1573">
        <v>0.22344393608644</v>
      </c>
      <c r="F1573">
        <v>23</v>
      </c>
      <c r="H1573" t="s">
        <v>20</v>
      </c>
      <c r="I1573">
        <f t="shared" ref="I1573" si="460">STDEVP(D1556:D1575)</f>
        <v>6.5437059357554089E-2</v>
      </c>
    </row>
    <row r="1574" spans="1:9" x14ac:dyDescent="0.25">
      <c r="A1574">
        <v>1381.7307288385</v>
      </c>
      <c r="B1574">
        <v>1411.9353077085</v>
      </c>
      <c r="C1574" s="1">
        <f t="shared" si="450"/>
        <v>2.1859960294427605E-2</v>
      </c>
      <c r="D1574">
        <v>12.676044330776</v>
      </c>
      <c r="E1574">
        <v>0.22107934432505999</v>
      </c>
      <c r="F1574">
        <v>23</v>
      </c>
      <c r="H1574" t="s">
        <v>21</v>
      </c>
      <c r="I1574">
        <f t="shared" ref="I1574" si="461">STDEVP(E1556:E1575)</f>
        <v>1.7768436275466236E-3</v>
      </c>
    </row>
    <row r="1575" spans="1:9" x14ac:dyDescent="0.25">
      <c r="A1575">
        <v>1377.8374291114999</v>
      </c>
      <c r="B1575">
        <v>1412.0646922915</v>
      </c>
      <c r="C1575" s="1">
        <f t="shared" si="450"/>
        <v>2.4841292925299241E-2</v>
      </c>
      <c r="D1575">
        <v>12.731457800512</v>
      </c>
      <c r="E1575">
        <v>0.22310315880271001</v>
      </c>
      <c r="F1575">
        <v>22</v>
      </c>
      <c r="H1575" t="s">
        <v>22</v>
      </c>
      <c r="I1575">
        <f t="shared" ref="I1575" si="462">STDEVP(F1556:F1575)</f>
        <v>0.39999999999999997</v>
      </c>
    </row>
    <row r="1576" spans="1:9" x14ac:dyDescent="0.25">
      <c r="C1576" s="1" t="str">
        <f t="shared" si="450"/>
        <v/>
      </c>
    </row>
    <row r="1577" spans="1:9" x14ac:dyDescent="0.25">
      <c r="A1577">
        <v>578.79999999999995</v>
      </c>
      <c r="B1577">
        <v>623.4</v>
      </c>
      <c r="C1577" s="1">
        <f t="shared" si="450"/>
        <v>7.7055977885279958E-2</v>
      </c>
      <c r="D1577">
        <v>9.7894736842105008</v>
      </c>
      <c r="E1577">
        <v>0.47659029550924997</v>
      </c>
      <c r="F1577">
        <v>12</v>
      </c>
    </row>
    <row r="1578" spans="1:9" x14ac:dyDescent="0.25">
      <c r="A1578">
        <v>578.5</v>
      </c>
      <c r="B1578">
        <v>619.29999999999995</v>
      </c>
      <c r="C1578" s="1">
        <f t="shared" si="450"/>
        <v>7.0527225583405295E-2</v>
      </c>
      <c r="D1578">
        <v>9.3578947368421002</v>
      </c>
      <c r="E1578">
        <v>0.44519751667224</v>
      </c>
      <c r="F1578">
        <v>13</v>
      </c>
    </row>
    <row r="1579" spans="1:9" x14ac:dyDescent="0.25">
      <c r="A1579">
        <v>574</v>
      </c>
      <c r="B1579">
        <v>616</v>
      </c>
      <c r="C1579" s="1">
        <f t="shared" si="450"/>
        <v>7.3170731707317138E-2</v>
      </c>
      <c r="D1579">
        <v>9.6526315789473998</v>
      </c>
      <c r="E1579">
        <v>0.47099051049208002</v>
      </c>
      <c r="F1579">
        <v>12</v>
      </c>
    </row>
    <row r="1580" spans="1:9" x14ac:dyDescent="0.25">
      <c r="A1580">
        <v>576.70000000000005</v>
      </c>
      <c r="B1580">
        <v>610.4</v>
      </c>
      <c r="C1580" s="1">
        <f t="shared" si="450"/>
        <v>5.8435928559042782E-2</v>
      </c>
      <c r="D1580">
        <v>9.6842105263158</v>
      </c>
      <c r="E1580">
        <v>0.47158306339085998</v>
      </c>
      <c r="F1580">
        <v>13</v>
      </c>
    </row>
    <row r="1581" spans="1:9" x14ac:dyDescent="0.25">
      <c r="A1581">
        <v>559.4</v>
      </c>
      <c r="B1581">
        <v>620.6</v>
      </c>
      <c r="C1581" s="1">
        <f t="shared" si="450"/>
        <v>0.10940293171254933</v>
      </c>
      <c r="D1581">
        <v>8.8421052631578991</v>
      </c>
      <c r="E1581">
        <v>0.43129789158981002</v>
      </c>
      <c r="F1581">
        <v>12</v>
      </c>
    </row>
    <row r="1582" spans="1:9" x14ac:dyDescent="0.25">
      <c r="A1582">
        <v>568</v>
      </c>
      <c r="B1582">
        <v>607.5</v>
      </c>
      <c r="C1582" s="1">
        <f t="shared" si="450"/>
        <v>6.9542253521126751E-2</v>
      </c>
      <c r="D1582">
        <v>9.4631578947367991</v>
      </c>
      <c r="E1582">
        <v>0.46426752487820999</v>
      </c>
      <c r="F1582">
        <v>13</v>
      </c>
    </row>
    <row r="1583" spans="1:9" x14ac:dyDescent="0.25">
      <c r="A1583">
        <v>585.6</v>
      </c>
      <c r="B1583">
        <v>619.9</v>
      </c>
      <c r="C1583" s="1">
        <f t="shared" si="450"/>
        <v>5.857240437158473E-2</v>
      </c>
      <c r="D1583">
        <v>9.7368421052632002</v>
      </c>
      <c r="E1583">
        <v>0.46432882894001998</v>
      </c>
      <c r="F1583">
        <v>13</v>
      </c>
    </row>
    <row r="1584" spans="1:9" x14ac:dyDescent="0.25">
      <c r="A1584">
        <v>562.9</v>
      </c>
      <c r="B1584">
        <v>612.20000000000005</v>
      </c>
      <c r="C1584" s="1">
        <f t="shared" si="450"/>
        <v>8.7582163794635015E-2</v>
      </c>
      <c r="D1584">
        <v>9.0842105263158004</v>
      </c>
      <c r="E1584">
        <v>0.44329909417782998</v>
      </c>
      <c r="F1584">
        <v>12</v>
      </c>
    </row>
    <row r="1585" spans="1:9" x14ac:dyDescent="0.25">
      <c r="A1585">
        <v>581.9</v>
      </c>
      <c r="B1585">
        <v>615.5</v>
      </c>
      <c r="C1585" s="1">
        <f t="shared" si="450"/>
        <v>5.7741880048118199E-2</v>
      </c>
      <c r="D1585">
        <v>9.6210526315789</v>
      </c>
      <c r="E1585">
        <v>0.46111786904738</v>
      </c>
      <c r="F1585">
        <v>13</v>
      </c>
    </row>
    <row r="1586" spans="1:9" x14ac:dyDescent="0.25">
      <c r="A1586">
        <v>580.70000000000005</v>
      </c>
      <c r="B1586">
        <v>626.20000000000005</v>
      </c>
      <c r="C1586" s="1">
        <f t="shared" si="450"/>
        <v>7.835371103840183E-2</v>
      </c>
      <c r="D1586">
        <v>9.8842105263157993</v>
      </c>
      <c r="E1586">
        <v>0.48138403367035998</v>
      </c>
      <c r="F1586">
        <v>13</v>
      </c>
    </row>
    <row r="1587" spans="1:9" x14ac:dyDescent="0.25">
      <c r="A1587">
        <v>563.1</v>
      </c>
      <c r="B1587">
        <v>625</v>
      </c>
      <c r="C1587" s="1">
        <f t="shared" si="450"/>
        <v>0.10992718877641616</v>
      </c>
      <c r="D1587">
        <v>9.4210526315789007</v>
      </c>
      <c r="E1587">
        <v>0.46636640376996003</v>
      </c>
      <c r="F1587">
        <v>12</v>
      </c>
    </row>
    <row r="1588" spans="1:9" x14ac:dyDescent="0.25">
      <c r="A1588">
        <v>573.5</v>
      </c>
      <c r="B1588">
        <v>611.70000000000005</v>
      </c>
      <c r="C1588" s="1">
        <f t="shared" si="450"/>
        <v>6.6608544027898953E-2</v>
      </c>
      <c r="D1588">
        <v>9.1999999999999993</v>
      </c>
      <c r="E1588">
        <v>0.44164253847252</v>
      </c>
      <c r="F1588">
        <v>12</v>
      </c>
    </row>
    <row r="1589" spans="1:9" x14ac:dyDescent="0.25">
      <c r="A1589">
        <v>575.4</v>
      </c>
      <c r="B1589">
        <v>610.29999999999995</v>
      </c>
      <c r="C1589" s="1">
        <f t="shared" si="450"/>
        <v>6.0653458463677312E-2</v>
      </c>
      <c r="D1589">
        <v>9.1473684210525992</v>
      </c>
      <c r="E1589">
        <v>0.43462103715845002</v>
      </c>
      <c r="F1589">
        <v>13</v>
      </c>
    </row>
    <row r="1590" spans="1:9" x14ac:dyDescent="0.25">
      <c r="A1590">
        <v>582.29999999999995</v>
      </c>
      <c r="B1590">
        <v>621.9</v>
      </c>
      <c r="C1590" s="1">
        <f t="shared" si="450"/>
        <v>6.8006182380216496E-2</v>
      </c>
      <c r="D1590">
        <v>9.6736842105263001</v>
      </c>
      <c r="E1590">
        <v>0.46402985296126997</v>
      </c>
      <c r="F1590">
        <v>13</v>
      </c>
    </row>
    <row r="1591" spans="1:9" x14ac:dyDescent="0.25">
      <c r="A1591">
        <v>571.20000000000005</v>
      </c>
      <c r="B1591">
        <v>621.6</v>
      </c>
      <c r="C1591" s="1">
        <f t="shared" si="450"/>
        <v>8.8235294117646967E-2</v>
      </c>
      <c r="D1591">
        <v>9.2736842105262998</v>
      </c>
      <c r="E1591">
        <v>0.44946099031042003</v>
      </c>
      <c r="F1591">
        <v>12</v>
      </c>
      <c r="H1591" t="s">
        <v>17</v>
      </c>
      <c r="I1591">
        <f t="shared" ref="I1591" si="463">STDEVP(A1577:A1596)</f>
        <v>7.970094102330294</v>
      </c>
    </row>
    <row r="1592" spans="1:9" x14ac:dyDescent="0.25">
      <c r="A1592">
        <v>574.6</v>
      </c>
      <c r="B1592">
        <v>612.6</v>
      </c>
      <c r="C1592" s="1">
        <f t="shared" si="450"/>
        <v>6.613296206056396E-2</v>
      </c>
      <c r="D1592">
        <v>9.3578947368421002</v>
      </c>
      <c r="E1592">
        <v>0.44918916061089997</v>
      </c>
      <c r="F1592">
        <v>13</v>
      </c>
      <c r="H1592" t="s">
        <v>18</v>
      </c>
      <c r="I1592">
        <f t="shared" ref="I1592" si="464">STDEVP(B1577:B1596)</f>
        <v>5.5092172765284868</v>
      </c>
    </row>
    <row r="1593" spans="1:9" x14ac:dyDescent="0.25">
      <c r="A1593">
        <v>564</v>
      </c>
      <c r="B1593">
        <v>614.1</v>
      </c>
      <c r="C1593" s="1">
        <f t="shared" si="450"/>
        <v>8.8829787234042668E-2</v>
      </c>
      <c r="D1593">
        <v>9.5684210526315994</v>
      </c>
      <c r="E1593">
        <v>0.48022820372815</v>
      </c>
      <c r="F1593">
        <v>12</v>
      </c>
      <c r="H1593" t="s">
        <v>19</v>
      </c>
      <c r="I1593">
        <f t="shared" ref="I1593" si="465">STDEVP(C1577:C1596)</f>
        <v>1.5751065567125747E-2</v>
      </c>
    </row>
    <row r="1594" spans="1:9" x14ac:dyDescent="0.25">
      <c r="A1594">
        <v>587.6</v>
      </c>
      <c r="B1594">
        <v>617.79999999999995</v>
      </c>
      <c r="C1594" s="1">
        <f t="shared" si="450"/>
        <v>5.1395507147719455E-2</v>
      </c>
      <c r="D1594">
        <v>9.4631578947367991</v>
      </c>
      <c r="E1594">
        <v>0.44334427295329998</v>
      </c>
      <c r="F1594">
        <v>13</v>
      </c>
      <c r="H1594" t="s">
        <v>20</v>
      </c>
      <c r="I1594">
        <f t="shared" ref="I1594" si="466">STDEVP(D1577:D1596)</f>
        <v>0.2620397297063955</v>
      </c>
    </row>
    <row r="1595" spans="1:9" x14ac:dyDescent="0.25">
      <c r="A1595">
        <v>580.20000000000005</v>
      </c>
      <c r="B1595">
        <v>625.79999999999995</v>
      </c>
      <c r="C1595" s="1">
        <f t="shared" si="450"/>
        <v>7.8593588417786853E-2</v>
      </c>
      <c r="D1595">
        <v>9.7684210526316004</v>
      </c>
      <c r="E1595">
        <v>0.47216348515284001</v>
      </c>
      <c r="F1595">
        <v>12</v>
      </c>
      <c r="H1595" t="s">
        <v>21</v>
      </c>
      <c r="I1595">
        <f t="shared" ref="I1595" si="467">STDEVP(E1577:E1596)</f>
        <v>1.5058939328827596E-2</v>
      </c>
    </row>
    <row r="1596" spans="1:9" x14ac:dyDescent="0.25">
      <c r="A1596">
        <v>564.79999999999995</v>
      </c>
      <c r="B1596">
        <v>614.1</v>
      </c>
      <c r="C1596" s="1">
        <f t="shared" si="450"/>
        <v>8.7287535410764949E-2</v>
      </c>
      <c r="D1596">
        <v>9.4842105263158007</v>
      </c>
      <c r="E1596">
        <v>0.47024511142280001</v>
      </c>
      <c r="F1596">
        <v>13</v>
      </c>
      <c r="H1596" t="s">
        <v>22</v>
      </c>
      <c r="I1596">
        <f t="shared" ref="I1596" si="468">STDEVP(F1577:F1596)</f>
        <v>0.49749371855330993</v>
      </c>
    </row>
    <row r="1597" spans="1:9" x14ac:dyDescent="0.25">
      <c r="C1597" s="1" t="str">
        <f t="shared" si="450"/>
        <v/>
      </c>
    </row>
    <row r="1598" spans="1:9" x14ac:dyDescent="0.25">
      <c r="A1598">
        <v>1077.8144631118</v>
      </c>
      <c r="B1598">
        <v>1110.7859751644</v>
      </c>
      <c r="C1598" s="1">
        <f t="shared" si="450"/>
        <v>3.0591083327464963E-2</v>
      </c>
      <c r="D1598">
        <v>10.465465465465</v>
      </c>
      <c r="E1598">
        <v>0.23314673372655001</v>
      </c>
      <c r="F1598">
        <v>16</v>
      </c>
    </row>
    <row r="1599" spans="1:9" x14ac:dyDescent="0.25">
      <c r="A1599">
        <v>1079.3046018992</v>
      </c>
      <c r="B1599">
        <v>1107.0182615048</v>
      </c>
      <c r="C1599" s="1">
        <f t="shared" si="450"/>
        <v>2.5677329232946411E-2</v>
      </c>
      <c r="D1599">
        <v>10.486486486485999</v>
      </c>
      <c r="E1599">
        <v>0.23338009650631</v>
      </c>
      <c r="F1599">
        <v>17</v>
      </c>
    </row>
    <row r="1600" spans="1:9" x14ac:dyDescent="0.25">
      <c r="A1600">
        <v>1072.8020452885</v>
      </c>
      <c r="B1600">
        <v>1100.9028487947</v>
      </c>
      <c r="C1600" s="1">
        <f t="shared" si="450"/>
        <v>2.619383849015966E-2</v>
      </c>
      <c r="D1600">
        <v>10.327327327327</v>
      </c>
      <c r="E1600">
        <v>0.23076419904286999</v>
      </c>
      <c r="F1600">
        <v>17</v>
      </c>
    </row>
    <row r="1601" spans="1:9" x14ac:dyDescent="0.25">
      <c r="A1601">
        <v>1077.623082542</v>
      </c>
      <c r="B1601">
        <v>1110.4660336012</v>
      </c>
      <c r="C1601" s="1">
        <f t="shared" si="450"/>
        <v>3.0477215634363564E-2</v>
      </c>
      <c r="D1601">
        <v>10.408408408408</v>
      </c>
      <c r="E1601">
        <v>0.23167542524806001</v>
      </c>
      <c r="F1601">
        <v>16</v>
      </c>
    </row>
    <row r="1602" spans="1:9" x14ac:dyDescent="0.25">
      <c r="A1602">
        <v>1085.4010226442999</v>
      </c>
      <c r="B1602">
        <v>1114.6851716582</v>
      </c>
      <c r="C1602" s="1">
        <f t="shared" ref="C1602:C1665" si="469">IFERROR((B1602/A1602)-1,"")</f>
        <v>2.6980027107913473E-2</v>
      </c>
      <c r="D1602">
        <v>10.219219219218999</v>
      </c>
      <c r="E1602">
        <v>0.22486649943733</v>
      </c>
      <c r="F1602">
        <v>17</v>
      </c>
    </row>
    <row r="1603" spans="1:9" x14ac:dyDescent="0.25">
      <c r="A1603">
        <v>1079.2885317749999</v>
      </c>
      <c r="B1603">
        <v>1119.3338203067999</v>
      </c>
      <c r="C1603" s="1">
        <f t="shared" si="469"/>
        <v>3.7103413362450377E-2</v>
      </c>
      <c r="D1603">
        <v>10.327327327327</v>
      </c>
      <c r="E1603">
        <v>0.22919194284614</v>
      </c>
      <c r="F1603">
        <v>17</v>
      </c>
    </row>
    <row r="1604" spans="1:9" x14ac:dyDescent="0.25">
      <c r="A1604">
        <v>1082.2615047480001</v>
      </c>
      <c r="B1604">
        <v>1109.6186997809</v>
      </c>
      <c r="C1604" s="1">
        <f t="shared" si="469"/>
        <v>2.5277804775353241E-2</v>
      </c>
      <c r="D1604">
        <v>10.216216216216001</v>
      </c>
      <c r="E1604">
        <v>0.22545815701479999</v>
      </c>
      <c r="F1604">
        <v>16</v>
      </c>
    </row>
    <row r="1605" spans="1:9" x14ac:dyDescent="0.25">
      <c r="A1605">
        <v>1078.6150474799001</v>
      </c>
      <c r="B1605">
        <v>1112.5127830532999</v>
      </c>
      <c r="C1605" s="1">
        <f t="shared" si="469"/>
        <v>3.1427093153019836E-2</v>
      </c>
      <c r="D1605">
        <v>10.495495495495</v>
      </c>
      <c r="E1605">
        <v>0.23376468370579001</v>
      </c>
      <c r="F1605">
        <v>17</v>
      </c>
    </row>
    <row r="1606" spans="1:9" x14ac:dyDescent="0.25">
      <c r="A1606">
        <v>1081.4842951058999</v>
      </c>
      <c r="B1606">
        <v>1107.0869247625999</v>
      </c>
      <c r="C1606" s="1">
        <f t="shared" si="469"/>
        <v>2.3673602818423678E-2</v>
      </c>
      <c r="D1606">
        <v>10.276276276276</v>
      </c>
      <c r="E1606">
        <v>0.22720505917575001</v>
      </c>
      <c r="F1606">
        <v>17</v>
      </c>
    </row>
    <row r="1607" spans="1:9" x14ac:dyDescent="0.25">
      <c r="A1607">
        <v>1065.6771365960999</v>
      </c>
      <c r="B1607">
        <v>1113.5105916728</v>
      </c>
      <c r="C1607" s="1">
        <f t="shared" si="469"/>
        <v>4.4885503717838837E-2</v>
      </c>
      <c r="D1607">
        <v>10.075075075075</v>
      </c>
      <c r="E1607">
        <v>0.2256312545254</v>
      </c>
      <c r="F1607">
        <v>16</v>
      </c>
    </row>
    <row r="1608" spans="1:9" x14ac:dyDescent="0.25">
      <c r="A1608">
        <v>1078.6442658875001</v>
      </c>
      <c r="B1608">
        <v>1107.9561723886</v>
      </c>
      <c r="C1608" s="1">
        <f t="shared" si="469"/>
        <v>2.7174766907032355E-2</v>
      </c>
      <c r="D1608">
        <v>10.552552552552999</v>
      </c>
      <c r="E1608">
        <v>0.23540928592801</v>
      </c>
      <c r="F1608">
        <v>17</v>
      </c>
    </row>
    <row r="1609" spans="1:9" x14ac:dyDescent="0.25">
      <c r="A1609">
        <v>1082.084733382</v>
      </c>
      <c r="B1609">
        <v>1117.8714390066</v>
      </c>
      <c r="C1609" s="1">
        <f t="shared" si="469"/>
        <v>3.3071999373607719E-2</v>
      </c>
      <c r="D1609">
        <v>10.687687687687999</v>
      </c>
      <c r="E1609">
        <v>0.23819251185435</v>
      </c>
      <c r="F1609">
        <v>16</v>
      </c>
    </row>
    <row r="1610" spans="1:9" x14ac:dyDescent="0.25">
      <c r="A1610">
        <v>1082.7304601899</v>
      </c>
      <c r="B1610">
        <v>1120.3272461651</v>
      </c>
      <c r="C1610" s="1">
        <f t="shared" si="469"/>
        <v>3.4724049389545986E-2</v>
      </c>
      <c r="D1610">
        <v>10.537537537538</v>
      </c>
      <c r="E1610">
        <v>0.23395294885786999</v>
      </c>
      <c r="F1610">
        <v>17</v>
      </c>
    </row>
    <row r="1611" spans="1:9" x14ac:dyDescent="0.25">
      <c r="A1611">
        <v>1076.6676406136</v>
      </c>
      <c r="B1611">
        <v>1119.403944485</v>
      </c>
      <c r="C1611" s="1">
        <f t="shared" si="469"/>
        <v>3.9693125584274291E-2</v>
      </c>
      <c r="D1611">
        <v>10.420420420419999</v>
      </c>
      <c r="E1611">
        <v>0.23243114784071001</v>
      </c>
      <c r="F1611">
        <v>17</v>
      </c>
    </row>
    <row r="1612" spans="1:9" x14ac:dyDescent="0.25">
      <c r="A1612">
        <v>1083.7574872169</v>
      </c>
      <c r="B1612">
        <v>1114.2746530314</v>
      </c>
      <c r="C1612" s="1">
        <f t="shared" si="469"/>
        <v>2.8158666652323028E-2</v>
      </c>
      <c r="D1612">
        <v>10.648648648649001</v>
      </c>
      <c r="E1612">
        <v>0.23665673719843999</v>
      </c>
      <c r="F1612">
        <v>16</v>
      </c>
      <c r="H1612" t="s">
        <v>17</v>
      </c>
      <c r="I1612">
        <f t="shared" ref="I1612" si="470">STDEVP(A1598:A1617)</f>
        <v>6.1096374524117687</v>
      </c>
    </row>
    <row r="1613" spans="1:9" x14ac:dyDescent="0.25">
      <c r="A1613">
        <v>1077.7487216947</v>
      </c>
      <c r="B1613">
        <v>1110.7874360846999</v>
      </c>
      <c r="C1613" s="1">
        <f t="shared" si="469"/>
        <v>3.0655303713140514E-2</v>
      </c>
      <c r="D1613">
        <v>10.420420420419999</v>
      </c>
      <c r="E1613">
        <v>0.23202442115478</v>
      </c>
      <c r="F1613">
        <v>17</v>
      </c>
      <c r="H1613" t="s">
        <v>18</v>
      </c>
      <c r="I1613">
        <f t="shared" ref="I1613" si="471">STDEVP(B1598:B1617)</f>
        <v>5.1574356620646995</v>
      </c>
    </row>
    <row r="1614" spans="1:9" x14ac:dyDescent="0.25">
      <c r="A1614">
        <v>1077.0372534697001</v>
      </c>
      <c r="B1614">
        <v>1114.9992695398</v>
      </c>
      <c r="C1614" s="1">
        <f t="shared" si="469"/>
        <v>3.5246706599799005E-2</v>
      </c>
      <c r="D1614">
        <v>10.303303303303</v>
      </c>
      <c r="E1614">
        <v>0.22899858451624</v>
      </c>
      <c r="F1614">
        <v>17</v>
      </c>
      <c r="H1614" t="s">
        <v>19</v>
      </c>
      <c r="I1614">
        <f t="shared" ref="I1614" si="472">STDEVP(C1598:C1617)</f>
        <v>5.6842368501303798E-3</v>
      </c>
    </row>
    <row r="1615" spans="1:9" x14ac:dyDescent="0.25">
      <c r="A1615">
        <v>1094.6880934988999</v>
      </c>
      <c r="B1615">
        <v>1118.1241782323</v>
      </c>
      <c r="C1615" s="1">
        <f t="shared" si="469"/>
        <v>2.1408915354594216E-2</v>
      </c>
      <c r="D1615">
        <v>10.582582582583001</v>
      </c>
      <c r="E1615">
        <v>0.23204006151198001</v>
      </c>
      <c r="F1615">
        <v>16</v>
      </c>
      <c r="H1615" t="s">
        <v>20</v>
      </c>
      <c r="I1615">
        <f t="shared" ref="I1615" si="473">STDEVP(D1598:D1617)</f>
        <v>0.15258764759134566</v>
      </c>
    </row>
    <row r="1616" spans="1:9" x14ac:dyDescent="0.25">
      <c r="A1616">
        <v>1074.1081081080999</v>
      </c>
      <c r="B1616">
        <v>1112.3024105186</v>
      </c>
      <c r="C1616" s="1">
        <f t="shared" si="469"/>
        <v>3.5559085833337889E-2</v>
      </c>
      <c r="D1616">
        <v>10.555555555555999</v>
      </c>
      <c r="E1616">
        <v>0.23685355609496</v>
      </c>
      <c r="F1616">
        <v>17</v>
      </c>
      <c r="H1616" t="s">
        <v>21</v>
      </c>
      <c r="I1616">
        <f t="shared" ref="I1616" si="474">STDEVP(E1598:E1617)</f>
        <v>3.7646001995633471E-3</v>
      </c>
    </row>
    <row r="1617" spans="1:9" x14ac:dyDescent="0.25">
      <c r="A1617">
        <v>1091.6888239591001</v>
      </c>
      <c r="B1617">
        <v>1121.2505478451001</v>
      </c>
      <c r="C1617" s="1">
        <f t="shared" si="469"/>
        <v>2.7078892113955977E-2</v>
      </c>
      <c r="D1617">
        <v>10.453453453452999</v>
      </c>
      <c r="E1617">
        <v>0.2295475077387</v>
      </c>
      <c r="F1617">
        <v>17</v>
      </c>
      <c r="H1617" t="s">
        <v>22</v>
      </c>
      <c r="I1617">
        <f t="shared" ref="I1617" si="475">STDEVP(F1598:F1617)</f>
        <v>0.47696960070847289</v>
      </c>
    </row>
    <row r="1618" spans="1:9" x14ac:dyDescent="0.25">
      <c r="C1618" s="1" t="str">
        <f t="shared" si="469"/>
        <v/>
      </c>
    </row>
    <row r="1619" spans="1:9" x14ac:dyDescent="0.25">
      <c r="A1619">
        <v>803.52784076594003</v>
      </c>
      <c r="B1619">
        <v>832.69438145629999</v>
      </c>
      <c r="C1619" s="1">
        <f t="shared" si="469"/>
        <v>3.6298108429644094E-2</v>
      </c>
      <c r="D1619">
        <v>11.522785458269</v>
      </c>
      <c r="E1619">
        <v>0.39443301043439</v>
      </c>
      <c r="F1619">
        <v>19</v>
      </c>
    </row>
    <row r="1620" spans="1:9" x14ac:dyDescent="0.25">
      <c r="A1620">
        <v>809.10859158478002</v>
      </c>
      <c r="B1620">
        <v>837.80650037793998</v>
      </c>
      <c r="C1620" s="1">
        <f t="shared" si="469"/>
        <v>3.546855031776408E-2</v>
      </c>
      <c r="D1620">
        <v>11.604710701485001</v>
      </c>
      <c r="E1620">
        <v>0.39505921998109</v>
      </c>
      <c r="F1620">
        <v>19</v>
      </c>
    </row>
    <row r="1621" spans="1:9" x14ac:dyDescent="0.25">
      <c r="A1621">
        <v>799.26984126983996</v>
      </c>
      <c r="B1621">
        <v>824.42277651802999</v>
      </c>
      <c r="C1621" s="1">
        <f t="shared" si="469"/>
        <v>3.1469891580330644E-2</v>
      </c>
      <c r="D1621">
        <v>11.354838709677001</v>
      </c>
      <c r="E1621">
        <v>0.38911576745446003</v>
      </c>
      <c r="F1621">
        <v>19</v>
      </c>
    </row>
    <row r="1622" spans="1:9" x14ac:dyDescent="0.25">
      <c r="A1622">
        <v>804.52456538170998</v>
      </c>
      <c r="B1622">
        <v>835.39229024944996</v>
      </c>
      <c r="C1622" s="1">
        <f t="shared" si="469"/>
        <v>3.8367659852741376E-2</v>
      </c>
      <c r="D1622">
        <v>11.499231950844999</v>
      </c>
      <c r="E1622">
        <v>0.39287338239121</v>
      </c>
      <c r="F1622">
        <v>19</v>
      </c>
    </row>
    <row r="1623" spans="1:9" x14ac:dyDescent="0.25">
      <c r="A1623">
        <v>790.81330309902</v>
      </c>
      <c r="B1623">
        <v>822.47064751827997</v>
      </c>
      <c r="C1623" s="1">
        <f t="shared" si="469"/>
        <v>4.0031375667558766E-2</v>
      </c>
      <c r="D1623">
        <v>11.302611367127</v>
      </c>
      <c r="E1623">
        <v>0.39263492776216002</v>
      </c>
      <c r="F1623">
        <v>19</v>
      </c>
    </row>
    <row r="1624" spans="1:9" x14ac:dyDescent="0.25">
      <c r="A1624">
        <v>796.27865961198995</v>
      </c>
      <c r="B1624">
        <v>828.03275384229005</v>
      </c>
      <c r="C1624" s="1">
        <f t="shared" si="469"/>
        <v>3.9878117851071426E-2</v>
      </c>
      <c r="D1624">
        <v>11.448028673834999</v>
      </c>
      <c r="E1624">
        <v>0.39590539196461</v>
      </c>
      <c r="F1624">
        <v>19</v>
      </c>
    </row>
    <row r="1625" spans="1:9" x14ac:dyDescent="0.25">
      <c r="A1625">
        <v>796.96497858402995</v>
      </c>
      <c r="B1625">
        <v>832.28621819099999</v>
      </c>
      <c r="C1625" s="1">
        <f t="shared" si="469"/>
        <v>4.431968851344692E-2</v>
      </c>
      <c r="D1625">
        <v>11.460317460317</v>
      </c>
      <c r="E1625">
        <v>0.39592334635579002</v>
      </c>
      <c r="F1625">
        <v>19</v>
      </c>
    </row>
    <row r="1626" spans="1:9" x14ac:dyDescent="0.25">
      <c r="A1626">
        <v>799.94708994709003</v>
      </c>
      <c r="B1626">
        <v>832.33308138072005</v>
      </c>
      <c r="C1626" s="1">
        <f t="shared" si="469"/>
        <v>4.0485166882439749E-2</v>
      </c>
      <c r="D1626">
        <v>11.376344086022</v>
      </c>
      <c r="E1626">
        <v>0.38997999405169997</v>
      </c>
      <c r="F1626">
        <v>19</v>
      </c>
    </row>
    <row r="1627" spans="1:9" x14ac:dyDescent="0.25">
      <c r="A1627">
        <v>792.46460065507995</v>
      </c>
      <c r="B1627">
        <v>822.74225245654998</v>
      </c>
      <c r="C1627" s="1">
        <f t="shared" si="469"/>
        <v>3.8206945491876088E-2</v>
      </c>
      <c r="D1627">
        <v>11.291346646185</v>
      </c>
      <c r="E1627">
        <v>0.39089296514457</v>
      </c>
      <c r="F1627">
        <v>19</v>
      </c>
    </row>
    <row r="1628" spans="1:9" x14ac:dyDescent="0.25">
      <c r="A1628">
        <v>793.86948853616002</v>
      </c>
      <c r="B1628">
        <v>830.14411690604004</v>
      </c>
      <c r="C1628" s="1">
        <f t="shared" si="469"/>
        <v>4.5693440664620999E-2</v>
      </c>
      <c r="D1628">
        <v>11.304659498208</v>
      </c>
      <c r="E1628">
        <v>0.39052154555133001</v>
      </c>
      <c r="F1628">
        <v>20</v>
      </c>
    </row>
    <row r="1629" spans="1:9" x14ac:dyDescent="0.25">
      <c r="A1629">
        <v>793.71176618796005</v>
      </c>
      <c r="B1629">
        <v>824.02821869490003</v>
      </c>
      <c r="C1629" s="1">
        <f t="shared" si="469"/>
        <v>3.819579575157861E-2</v>
      </c>
      <c r="D1629">
        <v>11.153097798258999</v>
      </c>
      <c r="E1629">
        <v>0.38327546691948</v>
      </c>
      <c r="F1629">
        <v>19</v>
      </c>
    </row>
    <row r="1630" spans="1:9" x14ac:dyDescent="0.25">
      <c r="A1630">
        <v>801.73091458806005</v>
      </c>
      <c r="B1630">
        <v>825.33484504914998</v>
      </c>
      <c r="C1630" s="1">
        <f t="shared" si="469"/>
        <v>2.9441212795465077E-2</v>
      </c>
      <c r="D1630">
        <v>11.499231950844999</v>
      </c>
      <c r="E1630">
        <v>0.39423851140601002</v>
      </c>
      <c r="F1630">
        <v>19</v>
      </c>
    </row>
    <row r="1631" spans="1:9" x14ac:dyDescent="0.25">
      <c r="A1631">
        <v>791.55202821869</v>
      </c>
      <c r="B1631">
        <v>828.40866717058998</v>
      </c>
      <c r="C1631" s="1">
        <f t="shared" si="469"/>
        <v>4.6562497015947502E-2</v>
      </c>
      <c r="D1631">
        <v>11.304659498208</v>
      </c>
      <c r="E1631">
        <v>0.39212714089439998</v>
      </c>
      <c r="F1631">
        <v>19</v>
      </c>
    </row>
    <row r="1632" spans="1:9" x14ac:dyDescent="0.25">
      <c r="A1632">
        <v>798.10380448475996</v>
      </c>
      <c r="B1632">
        <v>836.62383471909004</v>
      </c>
      <c r="C1632" s="1">
        <f t="shared" si="469"/>
        <v>4.8264436302490665E-2</v>
      </c>
      <c r="D1632">
        <v>11.356886840757999</v>
      </c>
      <c r="E1632">
        <v>0.39036535197122002</v>
      </c>
      <c r="F1632">
        <v>19</v>
      </c>
    </row>
    <row r="1633" spans="1:9" x14ac:dyDescent="0.25">
      <c r="A1633">
        <v>801.02998236331996</v>
      </c>
      <c r="B1633">
        <v>826.11136306376</v>
      </c>
      <c r="C1633" s="1">
        <f t="shared" si="469"/>
        <v>3.1311413121442921E-2</v>
      </c>
      <c r="D1633">
        <v>11.555555555555999</v>
      </c>
      <c r="E1633">
        <v>0.39734963154718</v>
      </c>
      <c r="F1633">
        <v>19</v>
      </c>
      <c r="H1633" t="s">
        <v>17</v>
      </c>
      <c r="I1633">
        <f t="shared" ref="I1633" si="476">STDEVP(A1619:A1638)</f>
        <v>5.6550969121504986</v>
      </c>
    </row>
    <row r="1634" spans="1:9" x14ac:dyDescent="0.25">
      <c r="A1634">
        <v>798.20559334844995</v>
      </c>
      <c r="B1634">
        <v>830.64399092971996</v>
      </c>
      <c r="C1634" s="1">
        <f t="shared" si="469"/>
        <v>4.0639150930015244E-2</v>
      </c>
      <c r="D1634">
        <v>11.403993855607</v>
      </c>
      <c r="E1634">
        <v>0.39217227686860001</v>
      </c>
      <c r="F1634">
        <v>19</v>
      </c>
      <c r="H1634" t="s">
        <v>18</v>
      </c>
      <c r="I1634">
        <f t="shared" ref="I1634" si="477">STDEVP(B1619:B1638)</f>
        <v>4.6604780431649226</v>
      </c>
    </row>
    <row r="1635" spans="1:9" x14ac:dyDescent="0.25">
      <c r="A1635">
        <v>807.54598135550998</v>
      </c>
      <c r="B1635">
        <v>831.46989166037997</v>
      </c>
      <c r="C1635" s="1">
        <f t="shared" si="469"/>
        <v>2.9625446546972301E-2</v>
      </c>
      <c r="D1635">
        <v>11.568868407578</v>
      </c>
      <c r="E1635">
        <v>0.39383640560290001</v>
      </c>
      <c r="F1635">
        <v>19</v>
      </c>
      <c r="H1635" t="s">
        <v>19</v>
      </c>
      <c r="I1635">
        <f t="shared" ref="I1635" si="478">STDEVP(C1619:C1638)</f>
        <v>5.550725935599134E-3</v>
      </c>
    </row>
    <row r="1636" spans="1:9" x14ac:dyDescent="0.25">
      <c r="A1636">
        <v>800.99319727890997</v>
      </c>
      <c r="B1636">
        <v>828.04182413707997</v>
      </c>
      <c r="C1636" s="1">
        <f t="shared" si="469"/>
        <v>3.3768859648319216E-2</v>
      </c>
      <c r="D1636">
        <v>11.281105990783001</v>
      </c>
      <c r="E1636">
        <v>0.38439499484496997</v>
      </c>
      <c r="F1636">
        <v>20</v>
      </c>
      <c r="H1636" t="s">
        <v>20</v>
      </c>
      <c r="I1636">
        <f t="shared" ref="I1636" si="479">STDEVP(D1619:D1638)</f>
        <v>0.13001636278250353</v>
      </c>
    </row>
    <row r="1637" spans="1:9" x14ac:dyDescent="0.25">
      <c r="A1637">
        <v>785.86243386242995</v>
      </c>
      <c r="B1637">
        <v>822.03426555809006</v>
      </c>
      <c r="C1637" s="1">
        <f t="shared" si="469"/>
        <v>4.6028197986102137E-2</v>
      </c>
      <c r="D1637">
        <v>11.139784946237</v>
      </c>
      <c r="E1637">
        <v>0.38768553839671999</v>
      </c>
      <c r="F1637">
        <v>19</v>
      </c>
      <c r="H1637" t="s">
        <v>21</v>
      </c>
      <c r="I1637">
        <f t="shared" ref="I1637" si="480">STDEVP(E1619:E1638)</f>
        <v>3.7418271378113687E-3</v>
      </c>
    </row>
    <row r="1638" spans="1:9" x14ac:dyDescent="0.25">
      <c r="A1638">
        <v>800.33862433861998</v>
      </c>
      <c r="B1638">
        <v>832.58906525575003</v>
      </c>
      <c r="C1638" s="1">
        <f t="shared" si="469"/>
        <v>4.0295994640744848E-2</v>
      </c>
      <c r="D1638">
        <v>11.52688172043</v>
      </c>
      <c r="E1638">
        <v>0.39698402623349999</v>
      </c>
      <c r="F1638">
        <v>19</v>
      </c>
      <c r="H1638" t="s">
        <v>22</v>
      </c>
      <c r="I1638">
        <f t="shared" ref="I1638" si="481">STDEVP(F1619:F1638)</f>
        <v>0.29999999999999993</v>
      </c>
    </row>
    <row r="1639" spans="1:9" x14ac:dyDescent="0.25">
      <c r="C1639" s="1" t="str">
        <f t="shared" si="469"/>
        <v/>
      </c>
    </row>
    <row r="1640" spans="1:9" x14ac:dyDescent="0.25">
      <c r="A1640">
        <v>2175.3950617283999</v>
      </c>
      <c r="B1640">
        <v>2278.2345679013001</v>
      </c>
      <c r="C1640" s="1">
        <f t="shared" si="469"/>
        <v>4.727394484898384E-2</v>
      </c>
      <c r="D1640">
        <v>15.738562091503001</v>
      </c>
      <c r="E1640">
        <v>0.15841294957804999</v>
      </c>
      <c r="F1640">
        <v>298</v>
      </c>
    </row>
    <row r="1641" spans="1:9" x14ac:dyDescent="0.25">
      <c r="A1641">
        <v>2143.0370370370001</v>
      </c>
      <c r="B1641">
        <v>2224.7777777778001</v>
      </c>
      <c r="C1641" s="1">
        <f t="shared" si="469"/>
        <v>3.8142476927891078E-2</v>
      </c>
      <c r="D1641">
        <v>15.019607843137001</v>
      </c>
      <c r="E1641">
        <v>0.15281816538682999</v>
      </c>
      <c r="F1641">
        <v>246</v>
      </c>
    </row>
    <row r="1642" spans="1:9" x14ac:dyDescent="0.25">
      <c r="A1642">
        <v>2157.7407407406999</v>
      </c>
      <c r="B1642">
        <v>2239.9012345678998</v>
      </c>
      <c r="C1642" s="1">
        <f t="shared" si="469"/>
        <v>3.807709252363467E-2</v>
      </c>
      <c r="D1642">
        <v>14.509803921569</v>
      </c>
      <c r="E1642">
        <v>0.14551874286176</v>
      </c>
      <c r="F1642">
        <v>253</v>
      </c>
    </row>
    <row r="1643" spans="1:9" x14ac:dyDescent="0.25">
      <c r="A1643">
        <v>2164.8395061728002</v>
      </c>
      <c r="B1643">
        <v>2242.0370370371002</v>
      </c>
      <c r="C1643" s="1">
        <f t="shared" si="469"/>
        <v>3.5659701628771856E-2</v>
      </c>
      <c r="D1643">
        <v>14.915032679738999</v>
      </c>
      <c r="E1643">
        <v>0.1498093197675</v>
      </c>
      <c r="F1643">
        <v>270</v>
      </c>
    </row>
    <row r="1644" spans="1:9" x14ac:dyDescent="0.25">
      <c r="A1644">
        <v>2166.3827160494002</v>
      </c>
      <c r="B1644">
        <v>2228.7160493827</v>
      </c>
      <c r="C1644" s="1">
        <f t="shared" si="469"/>
        <v>2.8773001589936342E-2</v>
      </c>
      <c r="D1644">
        <v>14.379084967320001</v>
      </c>
      <c r="E1644">
        <v>0.14344219117286</v>
      </c>
      <c r="F1644">
        <v>311</v>
      </c>
    </row>
    <row r="1645" spans="1:9" x14ac:dyDescent="0.25">
      <c r="A1645">
        <v>2162.2839506173</v>
      </c>
      <c r="B1645">
        <v>2240.6172839505998</v>
      </c>
      <c r="C1645" s="1">
        <f t="shared" si="469"/>
        <v>3.6227126095505158E-2</v>
      </c>
      <c r="D1645">
        <v>14.562091503268</v>
      </c>
      <c r="E1645">
        <v>0.14589892817833</v>
      </c>
      <c r="F1645">
        <v>271</v>
      </c>
    </row>
    <row r="1646" spans="1:9" x14ac:dyDescent="0.25">
      <c r="A1646">
        <v>2152.3333333332998</v>
      </c>
      <c r="B1646">
        <v>2240.8518518518999</v>
      </c>
      <c r="C1646" s="1">
        <f t="shared" si="469"/>
        <v>4.112677025798428E-2</v>
      </c>
      <c r="D1646">
        <v>14.352941176471001</v>
      </c>
      <c r="E1646">
        <v>0.14415188099677001</v>
      </c>
      <c r="F1646">
        <v>229</v>
      </c>
    </row>
    <row r="1647" spans="1:9" x14ac:dyDescent="0.25">
      <c r="A1647">
        <v>2157.1604938271998</v>
      </c>
      <c r="B1647">
        <v>2239.8271604939</v>
      </c>
      <c r="C1647" s="1">
        <f t="shared" si="469"/>
        <v>3.8321982487280914E-2</v>
      </c>
      <c r="D1647">
        <v>14.967320261437999</v>
      </c>
      <c r="E1647">
        <v>0.15083391066310001</v>
      </c>
      <c r="F1647">
        <v>232</v>
      </c>
    </row>
    <row r="1648" spans="1:9" x14ac:dyDescent="0.25">
      <c r="A1648">
        <v>2145.8518518518999</v>
      </c>
      <c r="B1648">
        <v>2229.5925925925999</v>
      </c>
      <c r="C1648" s="1">
        <f t="shared" si="469"/>
        <v>3.9024474438172696E-2</v>
      </c>
      <c r="D1648">
        <v>14.745098039216</v>
      </c>
      <c r="E1648">
        <v>0.14931127089977</v>
      </c>
      <c r="F1648">
        <v>245</v>
      </c>
    </row>
    <row r="1649" spans="1:9" x14ac:dyDescent="0.25">
      <c r="A1649">
        <v>2159.7037037036998</v>
      </c>
      <c r="B1649">
        <v>2235.6666666667002</v>
      </c>
      <c r="C1649" s="1">
        <f t="shared" si="469"/>
        <v>3.5172863218565942E-2</v>
      </c>
      <c r="D1649">
        <v>15.019607843137001</v>
      </c>
      <c r="E1649">
        <v>0.15131977751935</v>
      </c>
      <c r="F1649">
        <v>229</v>
      </c>
    </row>
    <row r="1650" spans="1:9" x14ac:dyDescent="0.25">
      <c r="A1650">
        <v>2158.1358024690999</v>
      </c>
      <c r="B1650">
        <v>2231.3086419752999</v>
      </c>
      <c r="C1650" s="1">
        <f t="shared" si="469"/>
        <v>3.3905576943991989E-2</v>
      </c>
      <c r="D1650">
        <v>15.071895424837001</v>
      </c>
      <c r="E1650">
        <v>0.15223132904836001</v>
      </c>
      <c r="F1650">
        <v>200</v>
      </c>
    </row>
    <row r="1651" spans="1:9" x14ac:dyDescent="0.25">
      <c r="A1651">
        <v>2154.1975308642</v>
      </c>
      <c r="B1651">
        <v>2236.6172839505998</v>
      </c>
      <c r="C1651" s="1">
        <f t="shared" si="469"/>
        <v>3.8260072210432483E-2</v>
      </c>
      <c r="D1651">
        <v>15.045751633987001</v>
      </c>
      <c r="E1651">
        <v>0.15225785430191</v>
      </c>
      <c r="F1651">
        <v>272</v>
      </c>
    </row>
    <row r="1652" spans="1:9" x14ac:dyDescent="0.25">
      <c r="A1652">
        <v>2173.6666666667002</v>
      </c>
      <c r="B1652">
        <v>2238.7901234567998</v>
      </c>
      <c r="C1652" s="1">
        <f t="shared" si="469"/>
        <v>2.9960185611147994E-2</v>
      </c>
      <c r="D1652">
        <v>15.411764705882</v>
      </c>
      <c r="E1652">
        <v>0.15497084277751999</v>
      </c>
      <c r="F1652">
        <v>402</v>
      </c>
    </row>
    <row r="1653" spans="1:9" x14ac:dyDescent="0.25">
      <c r="A1653">
        <v>2158.1111111110999</v>
      </c>
      <c r="B1653">
        <v>2244.0246913581</v>
      </c>
      <c r="C1653" s="1">
        <f t="shared" si="469"/>
        <v>3.9809618607990815E-2</v>
      </c>
      <c r="D1653">
        <v>14.470588235294001</v>
      </c>
      <c r="E1653">
        <v>0.14510149350484</v>
      </c>
      <c r="F1653">
        <v>246</v>
      </c>
    </row>
    <row r="1654" spans="1:9" x14ac:dyDescent="0.25">
      <c r="A1654">
        <v>2124.4814814814999</v>
      </c>
      <c r="B1654">
        <v>2253.5185185186001</v>
      </c>
      <c r="C1654" s="1">
        <f t="shared" si="469"/>
        <v>6.073813218043056E-2</v>
      </c>
      <c r="D1654">
        <v>14.549019607843</v>
      </c>
      <c r="E1654">
        <v>0.14871691460792999</v>
      </c>
      <c r="F1654">
        <v>175</v>
      </c>
      <c r="H1654" t="s">
        <v>17</v>
      </c>
      <c r="I1654">
        <f t="shared" ref="I1654" si="482">STDEVP(A1640:A1659)</f>
        <v>11.769500417180815</v>
      </c>
    </row>
    <row r="1655" spans="1:9" x14ac:dyDescent="0.25">
      <c r="A1655">
        <v>2153.0987654321002</v>
      </c>
      <c r="B1655">
        <v>2234.1604938271998</v>
      </c>
      <c r="C1655" s="1">
        <f t="shared" si="469"/>
        <v>3.7648866692295613E-2</v>
      </c>
      <c r="D1655">
        <v>14.522875816993</v>
      </c>
      <c r="E1655">
        <v>0.14611917580339001</v>
      </c>
      <c r="F1655">
        <v>197</v>
      </c>
      <c r="H1655" t="s">
        <v>18</v>
      </c>
      <c r="I1655">
        <f t="shared" ref="I1655" si="483">STDEVP(B1640:B1659)</f>
        <v>11.858922707509258</v>
      </c>
    </row>
    <row r="1656" spans="1:9" x14ac:dyDescent="0.25">
      <c r="A1656">
        <v>2157.7037037036998</v>
      </c>
      <c r="B1656">
        <v>2222.5802469136001</v>
      </c>
      <c r="C1656" s="1">
        <f t="shared" si="469"/>
        <v>3.0067401329728405E-2</v>
      </c>
      <c r="D1656">
        <v>14.549019607843</v>
      </c>
      <c r="E1656">
        <v>0.14590971880619</v>
      </c>
      <c r="F1656">
        <v>242</v>
      </c>
      <c r="H1656" t="s">
        <v>19</v>
      </c>
      <c r="I1656">
        <f t="shared" ref="I1656" si="484">STDEVP(C1640:C1659)</f>
        <v>7.1777803354836295E-3</v>
      </c>
    </row>
    <row r="1657" spans="1:9" x14ac:dyDescent="0.25">
      <c r="A1657">
        <v>2156.8024691358</v>
      </c>
      <c r="B1657">
        <v>2228.6543209877</v>
      </c>
      <c r="C1657" s="1">
        <f t="shared" si="469"/>
        <v>3.3314062312201465E-2</v>
      </c>
      <c r="D1657">
        <v>14.483660130719</v>
      </c>
      <c r="E1657">
        <v>0.14535508721554</v>
      </c>
      <c r="F1657">
        <v>276</v>
      </c>
      <c r="H1657" t="s">
        <v>20</v>
      </c>
      <c r="I1657">
        <f t="shared" ref="I1657" si="485">STDEVP(D1640:D1659)</f>
        <v>0.37183683791365002</v>
      </c>
    </row>
    <row r="1658" spans="1:9" x14ac:dyDescent="0.25">
      <c r="A1658">
        <v>2159.9135802469</v>
      </c>
      <c r="B1658">
        <v>2225.8395061729002</v>
      </c>
      <c r="C1658" s="1">
        <f t="shared" si="469"/>
        <v>3.0522483181231852E-2</v>
      </c>
      <c r="D1658">
        <v>15.307189542484</v>
      </c>
      <c r="E1658">
        <v>0.15461978238976001</v>
      </c>
      <c r="F1658">
        <v>206</v>
      </c>
      <c r="H1658" t="s">
        <v>21</v>
      </c>
      <c r="I1658">
        <f t="shared" ref="I1658" si="486">STDEVP(E1640:E1659)</f>
        <v>4.136491651178081E-3</v>
      </c>
    </row>
    <row r="1659" spans="1:9" x14ac:dyDescent="0.25">
      <c r="A1659">
        <v>2180.6419753086002</v>
      </c>
      <c r="B1659">
        <v>2240.6419753086998</v>
      </c>
      <c r="C1659" s="1">
        <f t="shared" si="469"/>
        <v>2.7514833099371305E-2</v>
      </c>
      <c r="D1659">
        <v>14.575163398693</v>
      </c>
      <c r="E1659">
        <v>0.14466300617615999</v>
      </c>
      <c r="F1659">
        <v>265</v>
      </c>
      <c r="H1659" t="s">
        <v>22</v>
      </c>
      <c r="I1659">
        <f t="shared" ref="I1659" si="487">STDEVP(F1640:F1659)</f>
        <v>47.618142550922755</v>
      </c>
    </row>
    <row r="1660" spans="1:9" x14ac:dyDescent="0.25">
      <c r="C1660" s="1" t="str">
        <f t="shared" si="469"/>
        <v/>
      </c>
    </row>
    <row r="1661" spans="1:9" x14ac:dyDescent="0.25">
      <c r="A1661">
        <v>819.11385459533994</v>
      </c>
      <c r="B1661">
        <v>843.50480109737998</v>
      </c>
      <c r="C1661" s="1">
        <f t="shared" si="469"/>
        <v>2.977723593027215E-2</v>
      </c>
      <c r="D1661">
        <v>11.007686932215</v>
      </c>
      <c r="E1661">
        <v>0.35976817446227</v>
      </c>
      <c r="F1661">
        <v>16</v>
      </c>
    </row>
    <row r="1662" spans="1:9" x14ac:dyDescent="0.25">
      <c r="A1662">
        <v>820.32784636487997</v>
      </c>
      <c r="B1662">
        <v>846.19890260629995</v>
      </c>
      <c r="C1662" s="1">
        <f t="shared" si="469"/>
        <v>3.1537459512148036E-2</v>
      </c>
      <c r="D1662">
        <v>11.154437456324001</v>
      </c>
      <c r="E1662">
        <v>0.36545208524779998</v>
      </c>
      <c r="F1662">
        <v>16</v>
      </c>
    </row>
    <row r="1663" spans="1:9" x14ac:dyDescent="0.25">
      <c r="A1663">
        <v>819.83950617283995</v>
      </c>
      <c r="B1663">
        <v>839.62825788750001</v>
      </c>
      <c r="C1663" s="1">
        <f t="shared" si="469"/>
        <v>2.4137348304959838E-2</v>
      </c>
      <c r="D1663">
        <v>11.14465408805</v>
      </c>
      <c r="E1663">
        <v>0.36540788937744001</v>
      </c>
      <c r="F1663">
        <v>16</v>
      </c>
    </row>
    <row r="1664" spans="1:9" x14ac:dyDescent="0.25">
      <c r="A1664">
        <v>811.26611796982002</v>
      </c>
      <c r="B1664">
        <v>840.64471879284997</v>
      </c>
      <c r="C1664" s="1">
        <f t="shared" si="469"/>
        <v>3.6213272281787612E-2</v>
      </c>
      <c r="D1664">
        <v>10.953179594689001</v>
      </c>
      <c r="E1664">
        <v>0.36183670820493002</v>
      </c>
      <c r="F1664">
        <v>16</v>
      </c>
    </row>
    <row r="1665" spans="1:9" x14ac:dyDescent="0.25">
      <c r="A1665">
        <v>822.64334705074998</v>
      </c>
      <c r="B1665">
        <v>851.01783264744995</v>
      </c>
      <c r="C1665" s="1">
        <f t="shared" si="469"/>
        <v>3.4491843516908149E-2</v>
      </c>
      <c r="D1665">
        <v>11.264849755416</v>
      </c>
      <c r="E1665">
        <v>0.36861513366109999</v>
      </c>
      <c r="F1665">
        <v>16</v>
      </c>
    </row>
    <row r="1666" spans="1:9" x14ac:dyDescent="0.25">
      <c r="A1666">
        <v>822.18930041151998</v>
      </c>
      <c r="B1666">
        <v>850.06035665293996</v>
      </c>
      <c r="C1666" s="1">
        <f t="shared" ref="C1666:C1729" si="488">IFERROR((B1666/A1666)-1,"")</f>
        <v>3.3898587864704677E-2</v>
      </c>
      <c r="D1666">
        <v>11.153039832285</v>
      </c>
      <c r="E1666">
        <v>0.36382944735065997</v>
      </c>
      <c r="F1666">
        <v>16</v>
      </c>
    </row>
    <row r="1667" spans="1:9" x14ac:dyDescent="0.25">
      <c r="A1667">
        <v>819.70096021947995</v>
      </c>
      <c r="B1667">
        <v>843.40054869683001</v>
      </c>
      <c r="C1667" s="1">
        <f t="shared" si="488"/>
        <v>2.891248104797195E-2</v>
      </c>
      <c r="D1667">
        <v>10.879105520614999</v>
      </c>
      <c r="E1667">
        <v>0.35384328463127002</v>
      </c>
      <c r="F1667">
        <v>16</v>
      </c>
    </row>
    <row r="1668" spans="1:9" x14ac:dyDescent="0.25">
      <c r="A1668">
        <v>820.05349794238998</v>
      </c>
      <c r="B1668">
        <v>843.56104252398995</v>
      </c>
      <c r="C1668" s="1">
        <f t="shared" si="488"/>
        <v>2.8665867093528918E-2</v>
      </c>
      <c r="D1668">
        <v>11.253668763103001</v>
      </c>
      <c r="E1668">
        <v>0.36973447082214</v>
      </c>
      <c r="F1668">
        <v>17</v>
      </c>
    </row>
    <row r="1669" spans="1:9" x14ac:dyDescent="0.25">
      <c r="A1669">
        <v>818.18518518518999</v>
      </c>
      <c r="B1669">
        <v>842.71330589848003</v>
      </c>
      <c r="C1669" s="1">
        <f t="shared" si="488"/>
        <v>2.9978690836033994E-2</v>
      </c>
      <c r="D1669">
        <v>11.132075471698</v>
      </c>
      <c r="E1669">
        <v>0.36571420431370999</v>
      </c>
      <c r="F1669">
        <v>16</v>
      </c>
    </row>
    <row r="1670" spans="1:9" x14ac:dyDescent="0.25">
      <c r="A1670">
        <v>820.82304526748999</v>
      </c>
      <c r="B1670">
        <v>843.43758573387004</v>
      </c>
      <c r="C1670" s="1">
        <f t="shared" si="488"/>
        <v>2.7551054513839102E-2</v>
      </c>
      <c r="D1670">
        <v>11.287211740042</v>
      </c>
      <c r="E1670">
        <v>0.37106774100924</v>
      </c>
      <c r="F1670">
        <v>16</v>
      </c>
    </row>
    <row r="1671" spans="1:9" x14ac:dyDescent="0.25">
      <c r="A1671">
        <v>819.67764060357001</v>
      </c>
      <c r="B1671">
        <v>840.20850480108004</v>
      </c>
      <c r="C1671" s="1">
        <f t="shared" si="488"/>
        <v>2.5047485963374694E-2</v>
      </c>
      <c r="D1671">
        <v>11.162823200559</v>
      </c>
      <c r="E1671">
        <v>0.36627380204651999</v>
      </c>
      <c r="F1671">
        <v>16</v>
      </c>
    </row>
    <row r="1672" spans="1:9" x14ac:dyDescent="0.25">
      <c r="A1672">
        <v>820.33196159121997</v>
      </c>
      <c r="B1672">
        <v>847.99176954731001</v>
      </c>
      <c r="C1672" s="1">
        <f t="shared" si="488"/>
        <v>3.3717823090103183E-2</v>
      </c>
      <c r="D1672">
        <v>11.137665967855</v>
      </c>
      <c r="E1672">
        <v>0.36461292632586001</v>
      </c>
      <c r="F1672">
        <v>16</v>
      </c>
    </row>
    <row r="1673" spans="1:9" x14ac:dyDescent="0.25">
      <c r="A1673">
        <v>819.66117969822005</v>
      </c>
      <c r="B1673">
        <v>840.95884773660998</v>
      </c>
      <c r="C1673" s="1">
        <f t="shared" si="488"/>
        <v>2.5983502166384342E-2</v>
      </c>
      <c r="D1673">
        <v>10.928022361985001</v>
      </c>
      <c r="E1673">
        <v>0.35550801409209998</v>
      </c>
      <c r="F1673">
        <v>16</v>
      </c>
    </row>
    <row r="1674" spans="1:9" x14ac:dyDescent="0.25">
      <c r="A1674">
        <v>811.37037037036998</v>
      </c>
      <c r="B1674">
        <v>844.10013717419997</v>
      </c>
      <c r="C1674" s="1">
        <f t="shared" si="488"/>
        <v>4.0338873588506408E-2</v>
      </c>
      <c r="D1674">
        <v>11.245283018867999</v>
      </c>
      <c r="E1674">
        <v>0.37511986904583999</v>
      </c>
      <c r="F1674">
        <v>16</v>
      </c>
    </row>
    <row r="1675" spans="1:9" x14ac:dyDescent="0.25">
      <c r="A1675">
        <v>818.94101508916003</v>
      </c>
      <c r="B1675">
        <v>846.85459533606002</v>
      </c>
      <c r="C1675" s="1">
        <f t="shared" si="488"/>
        <v>3.4084970385640068E-2</v>
      </c>
      <c r="D1675">
        <v>11.146051712088999</v>
      </c>
      <c r="E1675">
        <v>0.36558812629816001</v>
      </c>
      <c r="F1675">
        <v>17</v>
      </c>
      <c r="H1675" t="s">
        <v>17</v>
      </c>
      <c r="I1675">
        <f t="shared" ref="I1675" si="489">STDEVP(A1661:A1680)</f>
        <v>3.3265133876944866</v>
      </c>
    </row>
    <row r="1676" spans="1:9" x14ac:dyDescent="0.25">
      <c r="A1676">
        <v>815.29080932784996</v>
      </c>
      <c r="B1676">
        <v>843.58573388202001</v>
      </c>
      <c r="C1676" s="1">
        <f t="shared" si="488"/>
        <v>3.4705315245117552E-2</v>
      </c>
      <c r="D1676">
        <v>10.890286512928</v>
      </c>
      <c r="E1676">
        <v>0.35658439201688003</v>
      </c>
      <c r="F1676">
        <v>16</v>
      </c>
      <c r="H1676" t="s">
        <v>18</v>
      </c>
      <c r="I1676">
        <f t="shared" ref="I1676" si="490">STDEVP(B1661:B1680)</f>
        <v>3.1541420685156289</v>
      </c>
    </row>
    <row r="1677" spans="1:9" x14ac:dyDescent="0.25">
      <c r="A1677">
        <v>815.74211248284996</v>
      </c>
      <c r="B1677">
        <v>841.21947873798001</v>
      </c>
      <c r="C1677" s="1">
        <f t="shared" si="488"/>
        <v>3.1232133127938377E-2</v>
      </c>
      <c r="D1677">
        <v>11.352900069881001</v>
      </c>
      <c r="E1677">
        <v>0.37704751551825</v>
      </c>
      <c r="F1677">
        <v>16</v>
      </c>
      <c r="H1677" t="s">
        <v>19</v>
      </c>
      <c r="I1677">
        <f t="shared" ref="I1677" si="491">STDEVP(C1661:C1680)</f>
        <v>4.143970434836758E-3</v>
      </c>
    </row>
    <row r="1678" spans="1:9" x14ac:dyDescent="0.25">
      <c r="A1678">
        <v>819.48422496571004</v>
      </c>
      <c r="B1678">
        <v>845.97530864196005</v>
      </c>
      <c r="C1678" s="1">
        <f t="shared" si="488"/>
        <v>3.2326532798552021E-2</v>
      </c>
      <c r="D1678">
        <v>11.234102026555</v>
      </c>
      <c r="E1678">
        <v>0.36962898841657998</v>
      </c>
      <c r="F1678">
        <v>16</v>
      </c>
      <c r="H1678" t="s">
        <v>20</v>
      </c>
      <c r="I1678">
        <f t="shared" ref="I1678" si="492">STDEVP(D1661:D1680)</f>
        <v>0.14636407137145316</v>
      </c>
    </row>
    <row r="1679" spans="1:9" x14ac:dyDescent="0.25">
      <c r="A1679">
        <v>812.59259259258999</v>
      </c>
      <c r="B1679">
        <v>840.26474622769001</v>
      </c>
      <c r="C1679" s="1">
        <f t="shared" si="488"/>
        <v>3.4054154427880734E-2</v>
      </c>
      <c r="D1679">
        <v>10.830188679245</v>
      </c>
      <c r="E1679">
        <v>0.35579492819008002</v>
      </c>
      <c r="F1679">
        <v>16</v>
      </c>
      <c r="H1679" t="s">
        <v>21</v>
      </c>
      <c r="I1679">
        <f t="shared" ref="I1679" si="493">STDEVP(E1661:E1680)</f>
        <v>6.1912421333594446E-3</v>
      </c>
    </row>
    <row r="1680" spans="1:9" x14ac:dyDescent="0.25">
      <c r="A1680">
        <v>822.03292181070003</v>
      </c>
      <c r="B1680">
        <v>842.67901234567</v>
      </c>
      <c r="C1680" s="1">
        <f t="shared" si="488"/>
        <v>2.5115892547822316E-2</v>
      </c>
      <c r="D1680">
        <v>11.073375262055</v>
      </c>
      <c r="E1680">
        <v>0.36095346083211</v>
      </c>
      <c r="F1680">
        <v>16</v>
      </c>
      <c r="H1680" t="s">
        <v>22</v>
      </c>
      <c r="I1680">
        <f t="shared" ref="I1680" si="494">STDEVP(F1661:F1680)</f>
        <v>0.29999999999999993</v>
      </c>
    </row>
    <row r="1681" spans="1:9" x14ac:dyDescent="0.25">
      <c r="C1681" s="1" t="str">
        <f t="shared" si="488"/>
        <v/>
      </c>
    </row>
    <row r="1682" spans="1:9" x14ac:dyDescent="0.25">
      <c r="A1682">
        <v>2370.203125</v>
      </c>
      <c r="B1682">
        <v>2435.8828125</v>
      </c>
      <c r="C1682" s="1">
        <f t="shared" si="488"/>
        <v>2.7710573329026378E-2</v>
      </c>
      <c r="D1682">
        <v>16.262096774193999</v>
      </c>
      <c r="E1682">
        <v>0.15339333720300999</v>
      </c>
      <c r="F1682">
        <v>25</v>
      </c>
    </row>
    <row r="1683" spans="1:9" x14ac:dyDescent="0.25">
      <c r="A1683">
        <v>2360.3125</v>
      </c>
      <c r="B1683">
        <v>2442.0703125</v>
      </c>
      <c r="C1683" s="1">
        <f t="shared" si="488"/>
        <v>3.4638554216867457E-2</v>
      </c>
      <c r="D1683">
        <v>15.967741935484</v>
      </c>
      <c r="E1683">
        <v>0.15092066205940999</v>
      </c>
      <c r="F1683">
        <v>25</v>
      </c>
    </row>
    <row r="1684" spans="1:9" x14ac:dyDescent="0.25">
      <c r="A1684">
        <v>2383.21875</v>
      </c>
      <c r="B1684">
        <v>2435.046875</v>
      </c>
      <c r="C1684" s="1">
        <f t="shared" si="488"/>
        <v>2.1747111967795663E-2</v>
      </c>
      <c r="D1684">
        <v>16.556451612903</v>
      </c>
      <c r="E1684">
        <v>0.15560026862632001</v>
      </c>
      <c r="F1684">
        <v>26</v>
      </c>
    </row>
    <row r="1685" spans="1:9" x14ac:dyDescent="0.25">
      <c r="A1685">
        <v>2377.875</v>
      </c>
      <c r="B1685">
        <v>2432.15625</v>
      </c>
      <c r="C1685" s="1">
        <f t="shared" si="488"/>
        <v>2.2827629711402064E-2</v>
      </c>
      <c r="D1685">
        <v>16.258064516129</v>
      </c>
      <c r="E1685">
        <v>0.15280475220101999</v>
      </c>
      <c r="F1685">
        <v>25</v>
      </c>
    </row>
    <row r="1686" spans="1:9" x14ac:dyDescent="0.25">
      <c r="A1686">
        <v>2391.375</v>
      </c>
      <c r="B1686">
        <v>2455.84375</v>
      </c>
      <c r="C1686" s="1">
        <f t="shared" si="488"/>
        <v>2.6958862579060217E-2</v>
      </c>
      <c r="D1686">
        <v>16.209677419355</v>
      </c>
      <c r="E1686">
        <v>0.15138699051064999</v>
      </c>
      <c r="F1686">
        <v>25</v>
      </c>
    </row>
    <row r="1687" spans="1:9" x14ac:dyDescent="0.25">
      <c r="A1687">
        <v>2388.984375</v>
      </c>
      <c r="B1687">
        <v>2439.2421875</v>
      </c>
      <c r="C1687" s="1">
        <f t="shared" si="488"/>
        <v>2.1037313188789764E-2</v>
      </c>
      <c r="D1687">
        <v>16.544354838709999</v>
      </c>
      <c r="E1687">
        <v>0.15511072503979001</v>
      </c>
      <c r="F1687">
        <v>26</v>
      </c>
    </row>
    <row r="1688" spans="1:9" x14ac:dyDescent="0.25">
      <c r="A1688">
        <v>2378.375</v>
      </c>
      <c r="B1688">
        <v>2442.0703125</v>
      </c>
      <c r="C1688" s="1">
        <f t="shared" si="488"/>
        <v>2.6781021705996721E-2</v>
      </c>
      <c r="D1688">
        <v>16.483870967742</v>
      </c>
      <c r="E1688">
        <v>0.15526490215461</v>
      </c>
      <c r="F1688">
        <v>25</v>
      </c>
    </row>
    <row r="1689" spans="1:9" x14ac:dyDescent="0.25">
      <c r="A1689">
        <v>2366.203125</v>
      </c>
      <c r="B1689">
        <v>2416.125</v>
      </c>
      <c r="C1689" s="1">
        <f t="shared" si="488"/>
        <v>2.1097882287683944E-2</v>
      </c>
      <c r="D1689">
        <v>16.471774193548001</v>
      </c>
      <c r="E1689">
        <v>0.15601522478752999</v>
      </c>
      <c r="F1689">
        <v>26</v>
      </c>
    </row>
    <row r="1690" spans="1:9" x14ac:dyDescent="0.25">
      <c r="A1690">
        <v>2399.9375</v>
      </c>
      <c r="B1690">
        <v>2454.609375</v>
      </c>
      <c r="C1690" s="1">
        <f t="shared" si="488"/>
        <v>2.2780541159926004E-2</v>
      </c>
      <c r="D1690">
        <v>16.483870967742</v>
      </c>
      <c r="E1690">
        <v>0.15369977363581</v>
      </c>
      <c r="F1690">
        <v>25</v>
      </c>
    </row>
    <row r="1691" spans="1:9" x14ac:dyDescent="0.25">
      <c r="A1691">
        <v>2392.578125</v>
      </c>
      <c r="B1691">
        <v>2467.2109375</v>
      </c>
      <c r="C1691" s="1">
        <f t="shared" si="488"/>
        <v>3.1193469387755135E-2</v>
      </c>
      <c r="D1691">
        <v>16.536290322580999</v>
      </c>
      <c r="E1691">
        <v>0.15476163780971</v>
      </c>
      <c r="F1691">
        <v>26</v>
      </c>
    </row>
    <row r="1692" spans="1:9" x14ac:dyDescent="0.25">
      <c r="A1692">
        <v>2401.234375</v>
      </c>
      <c r="B1692">
        <v>2452.5859375</v>
      </c>
      <c r="C1692" s="1">
        <f t="shared" si="488"/>
        <v>2.1385485329810772E-2</v>
      </c>
      <c r="D1692">
        <v>16.366935483871</v>
      </c>
      <c r="E1692">
        <v>0.15229708891804</v>
      </c>
      <c r="F1692">
        <v>25</v>
      </c>
    </row>
    <row r="1693" spans="1:9" x14ac:dyDescent="0.25">
      <c r="A1693">
        <v>2352.484375</v>
      </c>
      <c r="B1693">
        <v>2441.2421875</v>
      </c>
      <c r="C1693" s="1">
        <f t="shared" si="488"/>
        <v>3.7729395120849718E-2</v>
      </c>
      <c r="D1693">
        <v>16.657258064516</v>
      </c>
      <c r="E1693">
        <v>0.15911448119942001</v>
      </c>
      <c r="F1693">
        <v>26</v>
      </c>
    </row>
    <row r="1694" spans="1:9" x14ac:dyDescent="0.25">
      <c r="A1694">
        <v>2383.765625</v>
      </c>
      <c r="B1694">
        <v>2427.4296875</v>
      </c>
      <c r="C1694" s="1">
        <f t="shared" si="488"/>
        <v>1.8317263258631034E-2</v>
      </c>
      <c r="D1694">
        <v>16.504032258064999</v>
      </c>
      <c r="E1694">
        <v>0.15500563201442</v>
      </c>
      <c r="F1694">
        <v>25</v>
      </c>
    </row>
    <row r="1695" spans="1:9" x14ac:dyDescent="0.25">
      <c r="A1695">
        <v>2387.828125</v>
      </c>
      <c r="B1695">
        <v>2444.0546875</v>
      </c>
      <c r="C1695" s="1">
        <f t="shared" si="488"/>
        <v>2.3547156477185638E-2</v>
      </c>
      <c r="D1695">
        <v>16.391129032258</v>
      </c>
      <c r="E1695">
        <v>0.15351846723561999</v>
      </c>
      <c r="F1695">
        <v>26</v>
      </c>
    </row>
    <row r="1696" spans="1:9" x14ac:dyDescent="0.25">
      <c r="A1696">
        <v>2378.03125</v>
      </c>
      <c r="B1696">
        <v>2446.8515625</v>
      </c>
      <c r="C1696" s="1">
        <f t="shared" si="488"/>
        <v>2.8940037057965551E-2</v>
      </c>
      <c r="D1696">
        <v>16.346774193548001</v>
      </c>
      <c r="E1696">
        <v>0.15371511829623999</v>
      </c>
      <c r="F1696">
        <v>25</v>
      </c>
      <c r="H1696" t="s">
        <v>17</v>
      </c>
      <c r="I1696">
        <f t="shared" ref="I1696" si="495">STDEVP(A1682:A1701)</f>
        <v>11.967920046085379</v>
      </c>
    </row>
    <row r="1697" spans="1:9" x14ac:dyDescent="0.25">
      <c r="A1697">
        <v>2379.609375</v>
      </c>
      <c r="B1697">
        <v>2429.4296875</v>
      </c>
      <c r="C1697" s="1">
        <f t="shared" si="488"/>
        <v>2.0936340654650554E-2</v>
      </c>
      <c r="D1697">
        <v>16.431451612903</v>
      </c>
      <c r="E1697">
        <v>0.15451212430871999</v>
      </c>
      <c r="F1697">
        <v>26</v>
      </c>
      <c r="H1697" t="s">
        <v>18</v>
      </c>
      <c r="I1697">
        <f t="shared" ref="I1697" si="496">STDEVP(B1682:B1701)</f>
        <v>11.580957185653416</v>
      </c>
    </row>
    <row r="1698" spans="1:9" x14ac:dyDescent="0.25">
      <c r="A1698">
        <v>2379.15625</v>
      </c>
      <c r="B1698">
        <v>2435.703125</v>
      </c>
      <c r="C1698" s="1">
        <f t="shared" si="488"/>
        <v>2.3767617196222446E-2</v>
      </c>
      <c r="D1698">
        <v>16.185483870968</v>
      </c>
      <c r="E1698">
        <v>0.15192228081802001</v>
      </c>
      <c r="F1698">
        <v>25</v>
      </c>
      <c r="H1698" t="s">
        <v>19</v>
      </c>
      <c r="I1698">
        <f t="shared" ref="I1698" si="497">STDEVP(C1682:C1701)</f>
        <v>4.8940633620916186E-3</v>
      </c>
    </row>
    <row r="1699" spans="1:9" x14ac:dyDescent="0.25">
      <c r="A1699">
        <v>2380.84375</v>
      </c>
      <c r="B1699">
        <v>2445.2109375</v>
      </c>
      <c r="C1699" s="1">
        <f t="shared" si="488"/>
        <v>2.7035452242508473E-2</v>
      </c>
      <c r="D1699">
        <v>16.395161290322999</v>
      </c>
      <c r="E1699">
        <v>0.15405373949119999</v>
      </c>
      <c r="F1699">
        <v>25</v>
      </c>
      <c r="H1699" t="s">
        <v>20</v>
      </c>
      <c r="I1699">
        <f t="shared" ref="I1699" si="498">STDEVP(D1682:D1701)</f>
        <v>0.16492514679468129</v>
      </c>
    </row>
    <row r="1700" spans="1:9" x14ac:dyDescent="0.25">
      <c r="A1700">
        <v>2373.46875</v>
      </c>
      <c r="B1700">
        <v>2443.78125</v>
      </c>
      <c r="C1700" s="1">
        <f t="shared" si="488"/>
        <v>2.9624363076193871E-2</v>
      </c>
      <c r="D1700">
        <v>16.153225806451999</v>
      </c>
      <c r="E1700">
        <v>0.15196519529922001</v>
      </c>
      <c r="F1700">
        <v>26</v>
      </c>
      <c r="H1700" t="s">
        <v>21</v>
      </c>
      <c r="I1700">
        <f t="shared" ref="I1700" si="499">STDEVP(E1682:E1701)</f>
        <v>1.8921467219383001E-3</v>
      </c>
    </row>
    <row r="1701" spans="1:9" x14ac:dyDescent="0.25">
      <c r="A1701">
        <v>2389.3125</v>
      </c>
      <c r="B1701">
        <v>2458.546875</v>
      </c>
      <c r="C1701" s="1">
        <f t="shared" si="488"/>
        <v>2.8976693086400385E-2</v>
      </c>
      <c r="D1701">
        <v>16.241935483871</v>
      </c>
      <c r="E1701">
        <v>0.15181985335319001</v>
      </c>
      <c r="F1701">
        <v>26</v>
      </c>
      <c r="H1701" t="s">
        <v>22</v>
      </c>
      <c r="I1701">
        <f t="shared" ref="I1701" si="500">STDEVP(F1682:F1701)</f>
        <v>0.49749371855330993</v>
      </c>
    </row>
    <row r="1702" spans="1:9" x14ac:dyDescent="0.25">
      <c r="C1702" s="1" t="str">
        <f t="shared" si="488"/>
        <v/>
      </c>
    </row>
    <row r="1703" spans="1:9" x14ac:dyDescent="0.25">
      <c r="A1703">
        <v>1315.9008264463</v>
      </c>
      <c r="B1703">
        <v>1352.7702479338</v>
      </c>
      <c r="C1703" s="1">
        <f t="shared" si="488"/>
        <v>2.8018389187480786E-2</v>
      </c>
      <c r="D1703">
        <v>11.761616161616001</v>
      </c>
      <c r="E1703">
        <v>0.21306946629654</v>
      </c>
      <c r="F1703">
        <v>14</v>
      </c>
    </row>
    <row r="1704" spans="1:9" x14ac:dyDescent="0.25">
      <c r="A1704">
        <v>1324.7768595041</v>
      </c>
      <c r="B1704">
        <v>1364.1024793388001</v>
      </c>
      <c r="C1704" s="1">
        <f t="shared" si="488"/>
        <v>2.9684712223476462E-2</v>
      </c>
      <c r="D1704">
        <v>11.741414141413999</v>
      </c>
      <c r="E1704">
        <v>0.21101588311307001</v>
      </c>
      <c r="F1704">
        <v>14</v>
      </c>
    </row>
    <row r="1705" spans="1:9" x14ac:dyDescent="0.25">
      <c r="A1705">
        <v>1324.7570247934</v>
      </c>
      <c r="B1705">
        <v>1361.0512396694</v>
      </c>
      <c r="C1705" s="1">
        <f t="shared" si="488"/>
        <v>2.739688425631126E-2</v>
      </c>
      <c r="D1705">
        <v>11.773737373736999</v>
      </c>
      <c r="E1705">
        <v>0.21176527894694999</v>
      </c>
      <c r="F1705">
        <v>15</v>
      </c>
    </row>
    <row r="1706" spans="1:9" x14ac:dyDescent="0.25">
      <c r="A1706">
        <v>1320.9024793388</v>
      </c>
      <c r="B1706">
        <v>1360.2214876032999</v>
      </c>
      <c r="C1706" s="1">
        <f t="shared" si="488"/>
        <v>2.9766776033444797E-2</v>
      </c>
      <c r="D1706">
        <v>11.744107744108</v>
      </c>
      <c r="E1706">
        <v>0.21188867914306</v>
      </c>
      <c r="F1706">
        <v>14</v>
      </c>
    </row>
    <row r="1707" spans="1:9" x14ac:dyDescent="0.25">
      <c r="A1707">
        <v>1325.2991735537</v>
      </c>
      <c r="B1707">
        <v>1359.8512396694</v>
      </c>
      <c r="C1707" s="1">
        <f t="shared" si="488"/>
        <v>2.6071144391534684E-2</v>
      </c>
      <c r="D1707">
        <v>11.73468013468</v>
      </c>
      <c r="E1707">
        <v>0.21076463458648001</v>
      </c>
      <c r="F1707">
        <v>14</v>
      </c>
    </row>
    <row r="1708" spans="1:9" x14ac:dyDescent="0.25">
      <c r="A1708">
        <v>1318.5785123967</v>
      </c>
      <c r="B1708">
        <v>1358.0363636362999</v>
      </c>
      <c r="C1708" s="1">
        <f t="shared" si="488"/>
        <v>2.9924536816453795E-2</v>
      </c>
      <c r="D1708">
        <v>11.694276094276001</v>
      </c>
      <c r="E1708">
        <v>0.21127638555924999</v>
      </c>
      <c r="F1708">
        <v>15</v>
      </c>
    </row>
    <row r="1709" spans="1:9" x14ac:dyDescent="0.25">
      <c r="A1709">
        <v>1326.0661157024999</v>
      </c>
      <c r="B1709">
        <v>1363.5504132230999</v>
      </c>
      <c r="C1709" s="1">
        <f t="shared" si="488"/>
        <v>2.8267291560151397E-2</v>
      </c>
      <c r="D1709">
        <v>11.670033670034</v>
      </c>
      <c r="E1709">
        <v>0.20940644332833</v>
      </c>
      <c r="F1709">
        <v>14</v>
      </c>
    </row>
    <row r="1710" spans="1:9" x14ac:dyDescent="0.25">
      <c r="A1710">
        <v>1322.3768595040999</v>
      </c>
      <c r="B1710">
        <v>1360.2942148760001</v>
      </c>
      <c r="C1710" s="1">
        <f t="shared" si="488"/>
        <v>2.8673638002195023E-2</v>
      </c>
      <c r="D1710">
        <v>11.66734006734</v>
      </c>
      <c r="E1710">
        <v>0.20987325107704</v>
      </c>
      <c r="F1710">
        <v>15</v>
      </c>
    </row>
    <row r="1711" spans="1:9" x14ac:dyDescent="0.25">
      <c r="A1711">
        <v>1332.8958677686001</v>
      </c>
      <c r="B1711">
        <v>1366.1652892561999</v>
      </c>
      <c r="C1711" s="1">
        <f t="shared" si="488"/>
        <v>2.4960255554919097E-2</v>
      </c>
      <c r="D1711">
        <v>11.725252525253</v>
      </c>
      <c r="E1711">
        <v>0.2093319529323</v>
      </c>
      <c r="F1711">
        <v>14</v>
      </c>
    </row>
    <row r="1712" spans="1:9" x14ac:dyDescent="0.25">
      <c r="A1712">
        <v>1308.8958677686001</v>
      </c>
      <c r="B1712">
        <v>1353.5206611569999</v>
      </c>
      <c r="C1712" s="1">
        <f t="shared" si="488"/>
        <v>3.4093463420032055E-2</v>
      </c>
      <c r="D1712">
        <v>11.577104377104</v>
      </c>
      <c r="E1712">
        <v>0.21046831638206001</v>
      </c>
      <c r="F1712">
        <v>14</v>
      </c>
    </row>
    <row r="1713" spans="1:9" x14ac:dyDescent="0.25">
      <c r="A1713">
        <v>1327.1537190083</v>
      </c>
      <c r="B1713">
        <v>1358.5685950412999</v>
      </c>
      <c r="C1713" s="1">
        <f t="shared" si="488"/>
        <v>2.3670864635390032E-2</v>
      </c>
      <c r="D1713">
        <v>11.675420875421</v>
      </c>
      <c r="E1713">
        <v>0.20915456297939999</v>
      </c>
      <c r="F1713">
        <v>15</v>
      </c>
    </row>
    <row r="1714" spans="1:9" x14ac:dyDescent="0.25">
      <c r="A1714">
        <v>1339.9107438016999</v>
      </c>
      <c r="B1714">
        <v>1374.5950413222999</v>
      </c>
      <c r="C1714" s="1">
        <f t="shared" si="488"/>
        <v>2.5885528331679009E-2</v>
      </c>
      <c r="D1714">
        <v>11.671380471379999</v>
      </c>
      <c r="E1714">
        <v>0.20655687253985</v>
      </c>
      <c r="F1714">
        <v>14</v>
      </c>
    </row>
    <row r="1715" spans="1:9" x14ac:dyDescent="0.25">
      <c r="A1715">
        <v>1326.6082644628</v>
      </c>
      <c r="B1715">
        <v>1368.347107438</v>
      </c>
      <c r="C1715" s="1">
        <f t="shared" si="488"/>
        <v>3.1462824477504592E-2</v>
      </c>
      <c r="D1715">
        <v>11.749494949495</v>
      </c>
      <c r="E1715">
        <v>0.21082108353758999</v>
      </c>
      <c r="F1715">
        <v>14</v>
      </c>
    </row>
    <row r="1716" spans="1:9" x14ac:dyDescent="0.25">
      <c r="A1716">
        <v>1331.5041322314</v>
      </c>
      <c r="B1716">
        <v>1364.3570247933999</v>
      </c>
      <c r="C1716" s="1">
        <f t="shared" si="488"/>
        <v>2.4673519042665903E-2</v>
      </c>
      <c r="D1716">
        <v>11.726599326599001</v>
      </c>
      <c r="E1716">
        <v>0.20953777197984999</v>
      </c>
      <c r="F1716">
        <v>15</v>
      </c>
    </row>
    <row r="1717" spans="1:9" x14ac:dyDescent="0.25">
      <c r="A1717">
        <v>1321.9801652893</v>
      </c>
      <c r="B1717">
        <v>1356.8132231405</v>
      </c>
      <c r="C1717" s="1">
        <f t="shared" si="488"/>
        <v>2.6349153161142391E-2</v>
      </c>
      <c r="D1717">
        <v>11.736026936027001</v>
      </c>
      <c r="E1717">
        <v>0.21140979779494001</v>
      </c>
      <c r="F1717">
        <v>14</v>
      </c>
      <c r="H1717" t="s">
        <v>17</v>
      </c>
      <c r="I1717">
        <f t="shared" ref="I1717" si="501">STDEVP(A1703:A1722)</f>
        <v>6.4731460032274519</v>
      </c>
    </row>
    <row r="1718" spans="1:9" x14ac:dyDescent="0.25">
      <c r="A1718">
        <v>1319.1338842974999</v>
      </c>
      <c r="B1718">
        <v>1357.7421487603001</v>
      </c>
      <c r="C1718" s="1">
        <f t="shared" si="488"/>
        <v>2.926788927369639E-2</v>
      </c>
      <c r="D1718">
        <v>11.692929292929</v>
      </c>
      <c r="E1718">
        <v>0.21108083258349999</v>
      </c>
      <c r="F1718">
        <v>15</v>
      </c>
      <c r="H1718" t="s">
        <v>18</v>
      </c>
      <c r="I1718">
        <f t="shared" ref="I1718" si="502">STDEVP(B1703:B1722)</f>
        <v>5.4495235685250778</v>
      </c>
    </row>
    <row r="1719" spans="1:9" x14ac:dyDescent="0.25">
      <c r="A1719">
        <v>1327.4446280991999</v>
      </c>
      <c r="B1719">
        <v>1366.2611570248</v>
      </c>
      <c r="C1719" s="1">
        <f t="shared" si="488"/>
        <v>2.9241542813866594E-2</v>
      </c>
      <c r="D1719">
        <v>11.749494949495</v>
      </c>
      <c r="E1719">
        <v>0.21082523939677</v>
      </c>
      <c r="F1719">
        <v>14</v>
      </c>
      <c r="H1719" t="s">
        <v>19</v>
      </c>
      <c r="I1719">
        <f t="shared" ref="I1719" si="503">STDEVP(C1703:C1722)</f>
        <v>2.4614541517580979E-3</v>
      </c>
    </row>
    <row r="1720" spans="1:9" x14ac:dyDescent="0.25">
      <c r="A1720">
        <v>1331.3520661156999</v>
      </c>
      <c r="B1720">
        <v>1371.6892561983</v>
      </c>
      <c r="C1720" s="1">
        <f t="shared" si="488"/>
        <v>3.0297913759420592E-2</v>
      </c>
      <c r="D1720">
        <v>11.767003367002999</v>
      </c>
      <c r="E1720">
        <v>0.21045496505635</v>
      </c>
      <c r="F1720">
        <v>14</v>
      </c>
      <c r="H1720" t="s">
        <v>20</v>
      </c>
      <c r="I1720">
        <f t="shared" ref="I1720" si="504">STDEVP(D1703:D1722)</f>
        <v>4.5297146110687442E-2</v>
      </c>
    </row>
    <row r="1721" spans="1:9" x14ac:dyDescent="0.25">
      <c r="A1721">
        <v>1322.1785123966999</v>
      </c>
      <c r="B1721">
        <v>1360.4231404958</v>
      </c>
      <c r="C1721" s="1">
        <f t="shared" si="488"/>
        <v>2.8925464860092509E-2</v>
      </c>
      <c r="D1721">
        <v>11.709090909091</v>
      </c>
      <c r="E1721">
        <v>0.21088053804636001</v>
      </c>
      <c r="F1721">
        <v>15</v>
      </c>
      <c r="H1721" t="s">
        <v>21</v>
      </c>
      <c r="I1721">
        <f t="shared" ref="I1721" si="505">STDEVP(E1703:E1722)</f>
        <v>1.3008107819242657E-3</v>
      </c>
    </row>
    <row r="1722" spans="1:9" x14ac:dyDescent="0.25">
      <c r="A1722">
        <v>1323.9471074380001</v>
      </c>
      <c r="B1722">
        <v>1358.8429752065999</v>
      </c>
      <c r="C1722" s="1">
        <f t="shared" si="488"/>
        <v>2.6357448551043383E-2</v>
      </c>
      <c r="D1722">
        <v>11.715824915824999</v>
      </c>
      <c r="E1722">
        <v>0.21062084766486</v>
      </c>
      <c r="F1722">
        <v>14</v>
      </c>
      <c r="H1722" t="s">
        <v>22</v>
      </c>
      <c r="I1722">
        <f t="shared" ref="I1722" si="506">STDEVP(F1703:F1722)</f>
        <v>0.47696960070847277</v>
      </c>
    </row>
    <row r="1723" spans="1:9" x14ac:dyDescent="0.25">
      <c r="C1723" s="1" t="str">
        <f t="shared" si="488"/>
        <v/>
      </c>
    </row>
    <row r="1724" spans="1:9" x14ac:dyDescent="0.25">
      <c r="A1724">
        <v>1233.9422962522001</v>
      </c>
      <c r="B1724">
        <v>1266.6894705532</v>
      </c>
      <c r="C1724" s="1">
        <f t="shared" si="488"/>
        <v>2.653865938501454E-2</v>
      </c>
      <c r="D1724">
        <v>13.030412526347</v>
      </c>
      <c r="E1724">
        <v>0.26411265759362001</v>
      </c>
      <c r="F1724">
        <v>30</v>
      </c>
    </row>
    <row r="1725" spans="1:9" x14ac:dyDescent="0.25">
      <c r="A1725">
        <v>1231.6061867936</v>
      </c>
      <c r="B1725">
        <v>1264.1969066032</v>
      </c>
      <c r="C1725" s="1">
        <f t="shared" si="488"/>
        <v>2.6461965000717846E-2</v>
      </c>
      <c r="D1725">
        <v>12.673893405601</v>
      </c>
      <c r="E1725">
        <v>0.25580192549315001</v>
      </c>
      <c r="F1725">
        <v>31</v>
      </c>
    </row>
    <row r="1726" spans="1:9" x14ac:dyDescent="0.25">
      <c r="A1726">
        <v>1232.5508625817999</v>
      </c>
      <c r="B1726">
        <v>1274.6805472932999</v>
      </c>
      <c r="C1726" s="1">
        <f t="shared" si="488"/>
        <v>3.4180889398147674E-2</v>
      </c>
      <c r="D1726">
        <v>12.810599217103</v>
      </c>
      <c r="E1726">
        <v>0.25910792646618003</v>
      </c>
      <c r="F1726">
        <v>31</v>
      </c>
    </row>
    <row r="1727" spans="1:9" x14ac:dyDescent="0.25">
      <c r="A1727">
        <v>1236.1403926234</v>
      </c>
      <c r="B1727">
        <v>1268.6008328375999</v>
      </c>
      <c r="C1727" s="1">
        <f t="shared" si="488"/>
        <v>2.6259509363099731E-2</v>
      </c>
      <c r="D1727">
        <v>13.098464317976999</v>
      </c>
      <c r="E1727">
        <v>0.26566114119014</v>
      </c>
      <c r="F1727">
        <v>30</v>
      </c>
    </row>
    <row r="1728" spans="1:9" x14ac:dyDescent="0.25">
      <c r="A1728">
        <v>1228.0392623437999</v>
      </c>
      <c r="B1728">
        <v>1267.7578822129999</v>
      </c>
      <c r="C1728" s="1">
        <f t="shared" si="488"/>
        <v>3.2343118894581746E-2</v>
      </c>
      <c r="D1728">
        <v>12.685937970491</v>
      </c>
      <c r="E1728">
        <v>0.25727039393452</v>
      </c>
      <c r="F1728">
        <v>32</v>
      </c>
    </row>
    <row r="1729" spans="1:9" x14ac:dyDescent="0.25">
      <c r="A1729">
        <v>1235.2201070791</v>
      </c>
      <c r="B1729">
        <v>1265.8631766806</v>
      </c>
      <c r="C1729" s="1">
        <f t="shared" si="488"/>
        <v>2.4807780755740083E-2</v>
      </c>
      <c r="D1729">
        <v>12.8876844324</v>
      </c>
      <c r="E1729">
        <v>0.26037547292176</v>
      </c>
      <c r="F1729">
        <v>30</v>
      </c>
    </row>
    <row r="1730" spans="1:9" x14ac:dyDescent="0.25">
      <c r="A1730">
        <v>1237.6026174896001</v>
      </c>
      <c r="B1730">
        <v>1268.8911362284</v>
      </c>
      <c r="C1730" s="1">
        <f t="shared" ref="C1730:C1793" si="507">IFERROR((B1730/A1730)-1,"")</f>
        <v>2.5281555078048079E-2</v>
      </c>
      <c r="D1730">
        <v>12.779885576633999</v>
      </c>
      <c r="E1730">
        <v>0.25673584645550002</v>
      </c>
      <c r="F1730">
        <v>31</v>
      </c>
    </row>
    <row r="1731" spans="1:9" x14ac:dyDescent="0.25">
      <c r="A1731">
        <v>1230.2510410469999</v>
      </c>
      <c r="B1731">
        <v>1272.1856038072999</v>
      </c>
      <c r="C1731" s="1">
        <f t="shared" si="507"/>
        <v>3.4086183519594249E-2</v>
      </c>
      <c r="D1731">
        <v>12.874435411021</v>
      </c>
      <c r="E1731">
        <v>0.26126515117927002</v>
      </c>
      <c r="F1731">
        <v>31</v>
      </c>
    </row>
    <row r="1732" spans="1:9" x14ac:dyDescent="0.25">
      <c r="A1732">
        <v>1233.3771564545</v>
      </c>
      <c r="B1732">
        <v>1264.4366448543001</v>
      </c>
      <c r="C1732" s="1">
        <f t="shared" si="507"/>
        <v>2.5182474182580572E-2</v>
      </c>
      <c r="D1732">
        <v>12.964769647696</v>
      </c>
      <c r="E1732">
        <v>0.26288443832480002</v>
      </c>
      <c r="F1732">
        <v>31</v>
      </c>
    </row>
    <row r="1733" spans="1:9" x14ac:dyDescent="0.25">
      <c r="A1733">
        <v>1230.1713265912999</v>
      </c>
      <c r="B1733">
        <v>1263.5104104699999</v>
      </c>
      <c r="C1733" s="1">
        <f t="shared" si="507"/>
        <v>2.710117132308687E-2</v>
      </c>
      <c r="D1733">
        <v>13.035832580548</v>
      </c>
      <c r="E1733">
        <v>0.26550771910344001</v>
      </c>
      <c r="F1733">
        <v>31</v>
      </c>
    </row>
    <row r="1734" spans="1:9" x14ac:dyDescent="0.25">
      <c r="A1734">
        <v>1220.6365258774999</v>
      </c>
      <c r="B1734">
        <v>1259.3872694825</v>
      </c>
      <c r="C1734" s="1">
        <f t="shared" si="507"/>
        <v>3.1746341178134685E-2</v>
      </c>
      <c r="D1734">
        <v>12.587774766637001</v>
      </c>
      <c r="E1734">
        <v>0.25660280307518002</v>
      </c>
      <c r="F1734">
        <v>32</v>
      </c>
    </row>
    <row r="1735" spans="1:9" x14ac:dyDescent="0.25">
      <c r="A1735">
        <v>1231.4705532421001</v>
      </c>
      <c r="B1735">
        <v>1261.4657941701</v>
      </c>
      <c r="C1735" s="1">
        <f t="shared" si="507"/>
        <v>2.4357253893754427E-2</v>
      </c>
      <c r="D1735">
        <v>12.948509485095</v>
      </c>
      <c r="E1735">
        <v>0.26278193561078</v>
      </c>
      <c r="F1735">
        <v>31</v>
      </c>
    </row>
    <row r="1736" spans="1:9" x14ac:dyDescent="0.25">
      <c r="A1736">
        <v>1236.3961927424</v>
      </c>
      <c r="B1736">
        <v>1267.5294467578999</v>
      </c>
      <c r="C1736" s="1">
        <f t="shared" si="507"/>
        <v>2.5180645328941376E-2</v>
      </c>
      <c r="D1736">
        <v>12.7780788919</v>
      </c>
      <c r="E1736">
        <v>0.25736429327343002</v>
      </c>
      <c r="F1736">
        <v>30</v>
      </c>
    </row>
    <row r="1737" spans="1:9" x14ac:dyDescent="0.25">
      <c r="A1737">
        <v>1231.6270077335</v>
      </c>
      <c r="B1737">
        <v>1260.8947055323999</v>
      </c>
      <c r="C1737" s="1">
        <f t="shared" si="507"/>
        <v>2.3763442677958047E-2</v>
      </c>
      <c r="D1737">
        <v>12.853959650707999</v>
      </c>
      <c r="E1737">
        <v>0.26029538077228997</v>
      </c>
      <c r="F1737">
        <v>30</v>
      </c>
    </row>
    <row r="1738" spans="1:9" x14ac:dyDescent="0.25">
      <c r="A1738">
        <v>1227.9137418202999</v>
      </c>
      <c r="B1738">
        <v>1267.004164188</v>
      </c>
      <c r="C1738" s="1">
        <f t="shared" si="507"/>
        <v>3.1834827672627242E-2</v>
      </c>
      <c r="D1738">
        <v>12.619090635351</v>
      </c>
      <c r="E1738">
        <v>0.2554185234711</v>
      </c>
      <c r="F1738">
        <v>31</v>
      </c>
      <c r="H1738" t="s">
        <v>17</v>
      </c>
      <c r="I1738">
        <f t="shared" ref="I1738" si="508">STDEVP(A1724:A1743)</f>
        <v>4.9334387941831572</v>
      </c>
    </row>
    <row r="1739" spans="1:9" x14ac:dyDescent="0.25">
      <c r="A1739">
        <v>1242.5466983937999</v>
      </c>
      <c r="B1739">
        <v>1269.9101725164001</v>
      </c>
      <c r="C1739" s="1">
        <f t="shared" si="507"/>
        <v>2.2022089115823151E-2</v>
      </c>
      <c r="D1739">
        <v>12.819030412526001</v>
      </c>
      <c r="E1739">
        <v>0.25698047665047002</v>
      </c>
      <c r="F1739">
        <v>30</v>
      </c>
      <c r="H1739" t="s">
        <v>18</v>
      </c>
      <c r="I1739">
        <f t="shared" ref="I1739" si="509">STDEVP(B1724:B1743)</f>
        <v>4.4158174986795098</v>
      </c>
    </row>
    <row r="1740" spans="1:9" x14ac:dyDescent="0.25">
      <c r="A1740">
        <v>1237.2135633551</v>
      </c>
      <c r="B1740">
        <v>1270.9821534800999</v>
      </c>
      <c r="C1740" s="1">
        <f t="shared" si="507"/>
        <v>2.7294067188712079E-2</v>
      </c>
      <c r="D1740">
        <v>12.925624811803999</v>
      </c>
      <c r="E1740">
        <v>0.26096713546464001</v>
      </c>
      <c r="F1740">
        <v>31</v>
      </c>
      <c r="H1740" t="s">
        <v>19</v>
      </c>
      <c r="I1740">
        <f t="shared" ref="I1740" si="510">STDEVP(C1724:C1743)</f>
        <v>3.3850337719779793E-3</v>
      </c>
    </row>
    <row r="1741" spans="1:9" x14ac:dyDescent="0.25">
      <c r="A1741">
        <v>1237.8149910766999</v>
      </c>
      <c r="B1741">
        <v>1272.5942891136001</v>
      </c>
      <c r="C1741" s="1">
        <f t="shared" si="507"/>
        <v>2.8097331416747418E-2</v>
      </c>
      <c r="D1741">
        <v>12.8931044866</v>
      </c>
      <c r="E1741">
        <v>0.26005984640404001</v>
      </c>
      <c r="F1741">
        <v>31</v>
      </c>
      <c r="H1741" t="s">
        <v>20</v>
      </c>
      <c r="I1741">
        <f t="shared" ref="I1741" si="511">STDEVP(D1724:D1743)</f>
        <v>0.1337822495278552</v>
      </c>
    </row>
    <row r="1742" spans="1:9" x14ac:dyDescent="0.25">
      <c r="A1742">
        <v>1224.2159428911</v>
      </c>
      <c r="B1742">
        <v>1258.0160618678999</v>
      </c>
      <c r="C1742" s="1">
        <f t="shared" si="507"/>
        <v>2.7609605293146045E-2</v>
      </c>
      <c r="D1742">
        <v>12.822041553748999</v>
      </c>
      <c r="E1742">
        <v>0.26170586190015999</v>
      </c>
      <c r="F1742">
        <v>31</v>
      </c>
      <c r="H1742" t="s">
        <v>21</v>
      </c>
      <c r="I1742">
        <f t="shared" ref="I1742" si="512">STDEVP(E1724:E1743)</f>
        <v>3.0884641000788471E-3</v>
      </c>
    </row>
    <row r="1743" spans="1:9" x14ac:dyDescent="0.25">
      <c r="A1743">
        <v>1235.3432480665999</v>
      </c>
      <c r="B1743">
        <v>1269.9054134444</v>
      </c>
      <c r="C1743" s="1">
        <f t="shared" si="507"/>
        <v>2.797778304280385E-2</v>
      </c>
      <c r="D1743">
        <v>12.786510087323</v>
      </c>
      <c r="E1743">
        <v>0.25783253019399999</v>
      </c>
      <c r="F1743">
        <v>30</v>
      </c>
      <c r="H1743" t="s">
        <v>22</v>
      </c>
      <c r="I1743">
        <f t="shared" ref="I1743" si="513">STDEVP(F1724:F1743)</f>
        <v>0.62249497989943658</v>
      </c>
    </row>
    <row r="1744" spans="1:9" x14ac:dyDescent="0.25">
      <c r="C1744" s="1" t="str">
        <f t="shared" si="507"/>
        <v/>
      </c>
    </row>
    <row r="1745" spans="1:9" x14ac:dyDescent="0.25">
      <c r="A1745">
        <v>1621.839302112</v>
      </c>
      <c r="B1745">
        <v>1660.3480257116</v>
      </c>
      <c r="C1745" s="1">
        <f t="shared" si="507"/>
        <v>2.3743858931925654E-2</v>
      </c>
      <c r="D1745">
        <v>15.491841491841001</v>
      </c>
      <c r="E1745">
        <v>0.23202814980270001</v>
      </c>
      <c r="F1745">
        <v>197</v>
      </c>
    </row>
    <row r="1746" spans="1:9" x14ac:dyDescent="0.25">
      <c r="A1746">
        <v>1624.2552800735</v>
      </c>
      <c r="B1746">
        <v>1662.4701561065001</v>
      </c>
      <c r="C1746" s="1">
        <f t="shared" si="507"/>
        <v>2.3527629247584114E-2</v>
      </c>
      <c r="D1746">
        <v>15.634498834499</v>
      </c>
      <c r="E1746">
        <v>0.23414470545582999</v>
      </c>
      <c r="F1746">
        <v>218</v>
      </c>
    </row>
    <row r="1747" spans="1:9" x14ac:dyDescent="0.25">
      <c r="A1747">
        <v>1616.18640955</v>
      </c>
      <c r="B1747">
        <v>1656.4031221304001</v>
      </c>
      <c r="C1747" s="1">
        <f t="shared" si="507"/>
        <v>2.4883709170403057E-2</v>
      </c>
      <c r="D1747">
        <v>15.254079254079</v>
      </c>
      <c r="E1747">
        <v>0.2286331506333</v>
      </c>
      <c r="F1747">
        <v>180</v>
      </c>
    </row>
    <row r="1748" spans="1:9" x14ac:dyDescent="0.25">
      <c r="A1748">
        <v>1623.2543617998001</v>
      </c>
      <c r="B1748">
        <v>1660.8861340679</v>
      </c>
      <c r="C1748" s="1">
        <f t="shared" si="507"/>
        <v>2.3182917695274474E-2</v>
      </c>
      <c r="D1748">
        <v>15.445221445221</v>
      </c>
      <c r="E1748">
        <v>0.23093219360707001</v>
      </c>
      <c r="F1748">
        <v>176</v>
      </c>
    </row>
    <row r="1749" spans="1:9" x14ac:dyDescent="0.25">
      <c r="A1749">
        <v>1619.0661157024999</v>
      </c>
      <c r="B1749">
        <v>1656.6850321396</v>
      </c>
      <c r="C1749" s="1">
        <f t="shared" si="507"/>
        <v>2.3234947648062887E-2</v>
      </c>
      <c r="D1749">
        <v>15.412587412586999</v>
      </c>
      <c r="E1749">
        <v>0.23123755287056999</v>
      </c>
      <c r="F1749">
        <v>199</v>
      </c>
    </row>
    <row r="1750" spans="1:9" x14ac:dyDescent="0.25">
      <c r="A1750">
        <v>1617.6611570248001</v>
      </c>
      <c r="B1750">
        <v>1658.3388429751999</v>
      </c>
      <c r="C1750" s="1">
        <f t="shared" si="507"/>
        <v>2.5145986706643919E-2</v>
      </c>
      <c r="D1750">
        <v>15.633566433565999</v>
      </c>
      <c r="E1750">
        <v>0.23536215788091999</v>
      </c>
      <c r="F1750">
        <v>174</v>
      </c>
    </row>
    <row r="1751" spans="1:9" x14ac:dyDescent="0.25">
      <c r="A1751">
        <v>1616.8089990817</v>
      </c>
      <c r="B1751">
        <v>1659.3241505968999</v>
      </c>
      <c r="C1751" s="1">
        <f t="shared" si="507"/>
        <v>2.6295716772573252E-2</v>
      </c>
      <c r="D1751">
        <v>15.584149184149</v>
      </c>
      <c r="E1751">
        <v>0.23474407975049999</v>
      </c>
      <c r="F1751">
        <v>201</v>
      </c>
    </row>
    <row r="1752" spans="1:9" x14ac:dyDescent="0.25">
      <c r="A1752">
        <v>1618.6097337005999</v>
      </c>
      <c r="B1752">
        <v>1659.4536271809</v>
      </c>
      <c r="C1752" s="1">
        <f t="shared" si="507"/>
        <v>2.5233935413769837E-2</v>
      </c>
      <c r="D1752">
        <v>15.52634032634</v>
      </c>
      <c r="E1752">
        <v>0.2332304140973</v>
      </c>
      <c r="F1752">
        <v>201</v>
      </c>
    </row>
    <row r="1753" spans="1:9" x14ac:dyDescent="0.25">
      <c r="A1753">
        <v>1627.8365472911</v>
      </c>
      <c r="B1753">
        <v>1662.2993572083999</v>
      </c>
      <c r="C1753" s="1">
        <f t="shared" si="507"/>
        <v>2.1170927741271051E-2</v>
      </c>
      <c r="D1753">
        <v>15.785547785547999</v>
      </c>
      <c r="E1753">
        <v>0.23643539105535</v>
      </c>
      <c r="F1753">
        <v>194</v>
      </c>
    </row>
    <row r="1754" spans="1:9" x14ac:dyDescent="0.25">
      <c r="A1754">
        <v>1616.1928374656</v>
      </c>
      <c r="B1754">
        <v>1661.8797061524001</v>
      </c>
      <c r="C1754" s="1">
        <f t="shared" si="507"/>
        <v>2.8268203909654233E-2</v>
      </c>
      <c r="D1754">
        <v>15.625174825175</v>
      </c>
      <c r="E1754">
        <v>0.23545548303149</v>
      </c>
      <c r="F1754">
        <v>175</v>
      </c>
    </row>
    <row r="1755" spans="1:9" x14ac:dyDescent="0.25">
      <c r="A1755">
        <v>1620.3562901744999</v>
      </c>
      <c r="B1755">
        <v>1656.7897153351</v>
      </c>
      <c r="C1755" s="1">
        <f t="shared" si="507"/>
        <v>2.2484823480813931E-2</v>
      </c>
      <c r="D1755">
        <v>15.378088578089001</v>
      </c>
      <c r="E1755">
        <v>0.23027498311437999</v>
      </c>
      <c r="F1755">
        <v>206</v>
      </c>
    </row>
    <row r="1756" spans="1:9" x14ac:dyDescent="0.25">
      <c r="A1756">
        <v>1614.7988980716</v>
      </c>
      <c r="B1756">
        <v>1651.6235078053001</v>
      </c>
      <c r="C1756" s="1">
        <f t="shared" si="507"/>
        <v>2.2804455575041738E-2</v>
      </c>
      <c r="D1756">
        <v>15.502097902098001</v>
      </c>
      <c r="E1756">
        <v>0.23354885359578001</v>
      </c>
      <c r="F1756">
        <v>174</v>
      </c>
    </row>
    <row r="1757" spans="1:9" x14ac:dyDescent="0.25">
      <c r="A1757">
        <v>1611.6244260789999</v>
      </c>
      <c r="B1757">
        <v>1651.8769513315001</v>
      </c>
      <c r="C1757" s="1">
        <f t="shared" si="507"/>
        <v>2.4976368315807074E-2</v>
      </c>
      <c r="D1757">
        <v>15.385547785548001</v>
      </c>
      <c r="E1757">
        <v>0.23173326667720001</v>
      </c>
      <c r="F1757">
        <v>190</v>
      </c>
    </row>
    <row r="1758" spans="1:9" x14ac:dyDescent="0.25">
      <c r="A1758">
        <v>1610.9577594123</v>
      </c>
      <c r="B1758">
        <v>1646.8255280072999</v>
      </c>
      <c r="C1758" s="1">
        <f t="shared" si="507"/>
        <v>2.2264872176465333E-2</v>
      </c>
      <c r="D1758">
        <v>15.477855477855</v>
      </c>
      <c r="E1758">
        <v>0.23372369138883001</v>
      </c>
      <c r="F1758">
        <v>179</v>
      </c>
    </row>
    <row r="1759" spans="1:9" x14ac:dyDescent="0.25">
      <c r="A1759">
        <v>1608.290174472</v>
      </c>
      <c r="B1759">
        <v>1647.9871441688999</v>
      </c>
      <c r="C1759" s="1">
        <f t="shared" si="507"/>
        <v>2.4682716046519726E-2</v>
      </c>
      <c r="D1759">
        <v>15.22703962704</v>
      </c>
      <c r="E1759">
        <v>0.22939905307273001</v>
      </c>
      <c r="F1759">
        <v>180</v>
      </c>
      <c r="H1759" t="s">
        <v>17</v>
      </c>
      <c r="I1759">
        <f t="shared" ref="I1759" si="514">STDEVP(A1745:A1764)</f>
        <v>6.9524376936333292</v>
      </c>
    </row>
    <row r="1760" spans="1:9" x14ac:dyDescent="0.25">
      <c r="A1760">
        <v>1601.7603305785001</v>
      </c>
      <c r="B1760">
        <v>1650.0826446281001</v>
      </c>
      <c r="C1760" s="1">
        <f t="shared" si="507"/>
        <v>3.016825496742559E-2</v>
      </c>
      <c r="D1760">
        <v>14.998601398601</v>
      </c>
      <c r="E1760">
        <v>0.22653243165806999</v>
      </c>
      <c r="F1760">
        <v>185</v>
      </c>
      <c r="H1760" t="s">
        <v>18</v>
      </c>
      <c r="I1760">
        <f t="shared" ref="I1760" si="515">STDEVP(B1745:B1764)</f>
        <v>5.9306951784853226</v>
      </c>
    </row>
    <row r="1761" spans="1:9" x14ac:dyDescent="0.25">
      <c r="A1761">
        <v>1628.4756657483999</v>
      </c>
      <c r="B1761">
        <v>1660.0257116621001</v>
      </c>
      <c r="C1761" s="1">
        <f t="shared" si="507"/>
        <v>1.9373974433447128E-2</v>
      </c>
      <c r="D1761">
        <v>15.737995337995001</v>
      </c>
      <c r="E1761">
        <v>0.23545471262250001</v>
      </c>
      <c r="F1761">
        <v>173</v>
      </c>
      <c r="H1761" t="s">
        <v>19</v>
      </c>
      <c r="I1761">
        <f t="shared" ref="I1761" si="516">STDEVP(C1745:C1764)</f>
        <v>2.8656123341242374E-3</v>
      </c>
    </row>
    <row r="1762" spans="1:9" x14ac:dyDescent="0.25">
      <c r="A1762">
        <v>1618.0156106520001</v>
      </c>
      <c r="B1762">
        <v>1650.419651056</v>
      </c>
      <c r="C1762" s="1">
        <f t="shared" si="507"/>
        <v>2.0027025815246846E-2</v>
      </c>
      <c r="D1762">
        <v>15.402331002331</v>
      </c>
      <c r="E1762">
        <v>0.23108671332027</v>
      </c>
      <c r="F1762">
        <v>150</v>
      </c>
      <c r="H1762" t="s">
        <v>20</v>
      </c>
      <c r="I1762">
        <f t="shared" ref="I1762" si="517">STDEVP(D1745:D1764)</f>
        <v>0.180758582388899</v>
      </c>
    </row>
    <row r="1763" spans="1:9" x14ac:dyDescent="0.25">
      <c r="A1763">
        <v>1625.7851239669001</v>
      </c>
      <c r="B1763">
        <v>1671.9990817262999</v>
      </c>
      <c r="C1763" s="1">
        <f t="shared" si="507"/>
        <v>2.8425624689342843E-2</v>
      </c>
      <c r="D1763">
        <v>15.586013986014001</v>
      </c>
      <c r="E1763">
        <v>0.23317995005605999</v>
      </c>
      <c r="F1763">
        <v>184</v>
      </c>
      <c r="H1763" t="s">
        <v>21</v>
      </c>
      <c r="I1763">
        <f t="shared" ref="I1763" si="518">STDEVP(E1745:E1764)</f>
        <v>2.499772994689189E-3</v>
      </c>
    </row>
    <row r="1764" spans="1:9" x14ac:dyDescent="0.25">
      <c r="A1764">
        <v>1630.3213957759001</v>
      </c>
      <c r="B1764">
        <v>1661.3516988061999</v>
      </c>
      <c r="C1764" s="1">
        <f t="shared" si="507"/>
        <v>1.9033242838312869E-2</v>
      </c>
      <c r="D1764">
        <v>15.631701631702001</v>
      </c>
      <c r="E1764">
        <v>0.23321704085954001</v>
      </c>
      <c r="F1764">
        <v>174</v>
      </c>
      <c r="H1764" t="s">
        <v>22</v>
      </c>
      <c r="I1764">
        <f t="shared" ref="I1764" si="519">STDEVP(F1745:F1764)</f>
        <v>14.971639856742481</v>
      </c>
    </row>
    <row r="1765" spans="1:9" x14ac:dyDescent="0.25">
      <c r="C1765" s="1" t="str">
        <f t="shared" si="507"/>
        <v/>
      </c>
    </row>
    <row r="1766" spans="1:9" x14ac:dyDescent="0.25">
      <c r="A1766">
        <v>274.01168736303998</v>
      </c>
      <c r="B1766">
        <v>284.74287801315</v>
      </c>
      <c r="C1766" s="1">
        <f t="shared" si="507"/>
        <v>3.9163258886443675E-2</v>
      </c>
      <c r="D1766">
        <v>5.9074416882636003</v>
      </c>
      <c r="E1766">
        <v>0.74619846799539002</v>
      </c>
      <c r="F1766">
        <v>8</v>
      </c>
    </row>
    <row r="1767" spans="1:9" x14ac:dyDescent="0.25">
      <c r="A1767">
        <v>278.46676406135998</v>
      </c>
      <c r="B1767">
        <v>288.66325785243998</v>
      </c>
      <c r="C1767" s="1">
        <f t="shared" si="507"/>
        <v>3.6616555751095792E-2</v>
      </c>
      <c r="D1767">
        <v>6.0140688633839003</v>
      </c>
      <c r="E1767">
        <v>0.74835118965628999</v>
      </c>
      <c r="F1767">
        <v>8</v>
      </c>
    </row>
    <row r="1768" spans="1:9" x14ac:dyDescent="0.25">
      <c r="A1768">
        <v>275.41417092768</v>
      </c>
      <c r="B1768">
        <v>288.62892622352001</v>
      </c>
      <c r="C1768" s="1">
        <f t="shared" si="507"/>
        <v>4.7981391993478839E-2</v>
      </c>
      <c r="D1768">
        <v>5.9511292114031997</v>
      </c>
      <c r="E1768">
        <v>0.75028442733832001</v>
      </c>
      <c r="F1768">
        <v>8</v>
      </c>
    </row>
    <row r="1769" spans="1:9" x14ac:dyDescent="0.25">
      <c r="A1769">
        <v>276.32870708546</v>
      </c>
      <c r="B1769">
        <v>289.71073776479</v>
      </c>
      <c r="C1769" s="1">
        <f t="shared" si="507"/>
        <v>4.8427942288281178E-2</v>
      </c>
      <c r="D1769">
        <v>6.0303591262495004</v>
      </c>
      <c r="E1769">
        <v>0.76443448128715996</v>
      </c>
      <c r="F1769">
        <v>8</v>
      </c>
    </row>
    <row r="1770" spans="1:9" x14ac:dyDescent="0.25">
      <c r="A1770">
        <v>276.45580715851003</v>
      </c>
      <c r="B1770">
        <v>287.83564645727</v>
      </c>
      <c r="C1770" s="1">
        <f t="shared" si="507"/>
        <v>4.1163321601832559E-2</v>
      </c>
      <c r="D1770">
        <v>5.9518696778970996</v>
      </c>
      <c r="E1770">
        <v>0.74395531336420995</v>
      </c>
      <c r="F1770">
        <v>9</v>
      </c>
    </row>
    <row r="1771" spans="1:9" x14ac:dyDescent="0.25">
      <c r="A1771">
        <v>275.78378378378</v>
      </c>
      <c r="B1771">
        <v>287.36961285609999</v>
      </c>
      <c r="C1771" s="1">
        <f t="shared" si="507"/>
        <v>4.2010552300651316E-2</v>
      </c>
      <c r="D1771">
        <v>6.0273972602740002</v>
      </c>
      <c r="E1771">
        <v>0.76300176505342998</v>
      </c>
      <c r="F1771">
        <v>8</v>
      </c>
    </row>
    <row r="1772" spans="1:9" x14ac:dyDescent="0.25">
      <c r="A1772">
        <v>275.80058436815</v>
      </c>
      <c r="B1772">
        <v>289.06355003651998</v>
      </c>
      <c r="C1772" s="1">
        <f t="shared" si="507"/>
        <v>4.8088968697274526E-2</v>
      </c>
      <c r="D1772">
        <v>5.9474268789337001</v>
      </c>
      <c r="E1772">
        <v>0.74667157585181998</v>
      </c>
      <c r="F1772">
        <v>8</v>
      </c>
    </row>
    <row r="1773" spans="1:9" x14ac:dyDescent="0.25">
      <c r="A1773">
        <v>278.44119795470999</v>
      </c>
      <c r="B1773">
        <v>288.18626734843002</v>
      </c>
      <c r="C1773" s="1">
        <f t="shared" si="507"/>
        <v>3.4998662070492514E-2</v>
      </c>
      <c r="D1773">
        <v>6.1155127730469996</v>
      </c>
      <c r="E1773">
        <v>0.77256371496557996</v>
      </c>
      <c r="F1773">
        <v>8</v>
      </c>
    </row>
    <row r="1774" spans="1:9" x14ac:dyDescent="0.25">
      <c r="A1774">
        <v>275.15047479911999</v>
      </c>
      <c r="B1774">
        <v>286.71804236668999</v>
      </c>
      <c r="C1774" s="1">
        <f t="shared" si="507"/>
        <v>4.2040878090489064E-2</v>
      </c>
      <c r="D1774">
        <v>5.9829692706405</v>
      </c>
      <c r="E1774">
        <v>0.75760950405313998</v>
      </c>
      <c r="F1774">
        <v>8</v>
      </c>
    </row>
    <row r="1775" spans="1:9" x14ac:dyDescent="0.25">
      <c r="A1775">
        <v>269.86559532504998</v>
      </c>
      <c r="B1775">
        <v>287.70416362307998</v>
      </c>
      <c r="C1775" s="1">
        <f t="shared" si="507"/>
        <v>6.6101676564378931E-2</v>
      </c>
      <c r="D1775">
        <v>5.7904479822288</v>
      </c>
      <c r="E1775">
        <v>0.73976887121874002</v>
      </c>
      <c r="F1775">
        <v>9</v>
      </c>
    </row>
    <row r="1776" spans="1:9" x14ac:dyDescent="0.25">
      <c r="A1776">
        <v>276.42293644995999</v>
      </c>
      <c r="B1776">
        <v>288.11760409057001</v>
      </c>
      <c r="C1776" s="1">
        <f t="shared" si="507"/>
        <v>4.2307153634941086E-2</v>
      </c>
      <c r="D1776">
        <v>6.0118474639023001</v>
      </c>
      <c r="E1776">
        <v>0.75669786620646995</v>
      </c>
      <c r="F1776">
        <v>8</v>
      </c>
    </row>
    <row r="1777" spans="1:9" x14ac:dyDescent="0.25">
      <c r="A1777">
        <v>273.05478451424</v>
      </c>
      <c r="B1777">
        <v>286.71585098612002</v>
      </c>
      <c r="C1777" s="1">
        <f t="shared" si="507"/>
        <v>5.0030496613281628E-2</v>
      </c>
      <c r="D1777">
        <v>5.8452425027767996</v>
      </c>
      <c r="E1777">
        <v>0.73513213622117002</v>
      </c>
      <c r="F1777">
        <v>8</v>
      </c>
    </row>
    <row r="1778" spans="1:9" x14ac:dyDescent="0.25">
      <c r="A1778">
        <v>277.50255661066001</v>
      </c>
      <c r="B1778">
        <v>292.15850986121001</v>
      </c>
      <c r="C1778" s="1">
        <f t="shared" si="507"/>
        <v>5.2813759374161329E-2</v>
      </c>
      <c r="D1778">
        <v>5.9925953350611003</v>
      </c>
      <c r="E1778">
        <v>0.74826210488205003</v>
      </c>
      <c r="F1778">
        <v>9</v>
      </c>
    </row>
    <row r="1779" spans="1:9" x14ac:dyDescent="0.25">
      <c r="A1779">
        <v>274.57706355004001</v>
      </c>
      <c r="B1779">
        <v>288.16070124177998</v>
      </c>
      <c r="C1779" s="1">
        <f t="shared" si="507"/>
        <v>4.947113031261785E-2</v>
      </c>
      <c r="D1779">
        <v>5.9059607552757996</v>
      </c>
      <c r="E1779">
        <v>0.74133065486095995</v>
      </c>
      <c r="F1779">
        <v>8</v>
      </c>
    </row>
    <row r="1780" spans="1:9" x14ac:dyDescent="0.25">
      <c r="A1780">
        <v>277.88750913075</v>
      </c>
      <c r="B1780">
        <v>287.44923301680001</v>
      </c>
      <c r="C1780" s="1">
        <f t="shared" si="507"/>
        <v>3.4408613456429427E-2</v>
      </c>
      <c r="D1780">
        <v>6.0244353942983997</v>
      </c>
      <c r="E1780">
        <v>0.75158567169860002</v>
      </c>
      <c r="F1780">
        <v>8</v>
      </c>
      <c r="H1780" t="s">
        <v>17</v>
      </c>
      <c r="I1780">
        <f t="shared" ref="I1780" si="520">STDEVP(A1766:A1785)</f>
        <v>1.9177482475375127</v>
      </c>
    </row>
    <row r="1781" spans="1:9" x14ac:dyDescent="0.25">
      <c r="A1781">
        <v>274.93133674214999</v>
      </c>
      <c r="B1781">
        <v>285.96274653031003</v>
      </c>
      <c r="C1781" s="1">
        <f t="shared" si="507"/>
        <v>4.0124235814217313E-2</v>
      </c>
      <c r="D1781">
        <v>5.8622732321362001</v>
      </c>
      <c r="E1781">
        <v>0.73220094276916003</v>
      </c>
      <c r="F1781">
        <v>8</v>
      </c>
      <c r="H1781" t="s">
        <v>18</v>
      </c>
      <c r="I1781">
        <f t="shared" ref="I1781" si="521">STDEVP(B1766:B1785)</f>
        <v>1.5917225255034133</v>
      </c>
    </row>
    <row r="1782" spans="1:9" x14ac:dyDescent="0.25">
      <c r="A1782">
        <v>277.05843681519002</v>
      </c>
      <c r="B1782">
        <v>290.33601168735998</v>
      </c>
      <c r="C1782" s="1">
        <f t="shared" si="507"/>
        <v>4.7923373223341725E-2</v>
      </c>
      <c r="D1782">
        <v>6.0029618659755997</v>
      </c>
      <c r="E1782">
        <v>0.75461955639348999</v>
      </c>
      <c r="F1782">
        <v>8</v>
      </c>
      <c r="H1782" t="s">
        <v>19</v>
      </c>
      <c r="I1782">
        <f t="shared" ref="I1782" si="522">STDEVP(C1766:C1785)</f>
        <v>7.041398734643706E-3</v>
      </c>
    </row>
    <row r="1783" spans="1:9" x14ac:dyDescent="0.25">
      <c r="A1783">
        <v>275.77574872168998</v>
      </c>
      <c r="B1783">
        <v>288.94521548575</v>
      </c>
      <c r="C1783" s="1">
        <f t="shared" si="507"/>
        <v>4.7754259847375247E-2</v>
      </c>
      <c r="D1783">
        <v>6.0037023324694996</v>
      </c>
      <c r="E1783">
        <v>0.75979386986278996</v>
      </c>
      <c r="F1783">
        <v>9</v>
      </c>
      <c r="H1783" t="s">
        <v>20</v>
      </c>
      <c r="I1783">
        <f t="shared" ref="I1783" si="523">STDEVP(D1766:D1785)</f>
        <v>7.3093645123884235E-2</v>
      </c>
    </row>
    <row r="1784" spans="1:9" x14ac:dyDescent="0.25">
      <c r="A1784">
        <v>274.81738495252</v>
      </c>
      <c r="B1784">
        <v>286.20672023374999</v>
      </c>
      <c r="C1784" s="1">
        <f t="shared" si="507"/>
        <v>4.1443285268134344E-2</v>
      </c>
      <c r="D1784">
        <v>5.9770455386894001</v>
      </c>
      <c r="E1784">
        <v>0.75787206517348005</v>
      </c>
      <c r="F1784">
        <v>8</v>
      </c>
      <c r="H1784" t="s">
        <v>21</v>
      </c>
      <c r="I1784">
        <f t="shared" ref="I1784" si="524">STDEVP(E1766:E1785)</f>
        <v>9.8682818549334864E-3</v>
      </c>
    </row>
    <row r="1785" spans="1:9" x14ac:dyDescent="0.25">
      <c r="A1785">
        <v>276.00803506209002</v>
      </c>
      <c r="B1785">
        <v>288.07742878012999</v>
      </c>
      <c r="C1785" s="1">
        <f t="shared" si="507"/>
        <v>4.3728414338824795E-2</v>
      </c>
      <c r="D1785">
        <v>5.9962976675305004</v>
      </c>
      <c r="E1785">
        <v>0.75474217461078996</v>
      </c>
      <c r="F1785">
        <v>8</v>
      </c>
      <c r="H1785" t="s">
        <v>22</v>
      </c>
      <c r="I1785">
        <f t="shared" ref="I1785" si="525">STDEVP(F1766:F1785)</f>
        <v>0.39999999999999997</v>
      </c>
    </row>
    <row r="1786" spans="1:9" x14ac:dyDescent="0.25">
      <c r="C1786" s="1" t="str">
        <f t="shared" si="507"/>
        <v/>
      </c>
    </row>
    <row r="1787" spans="1:9" x14ac:dyDescent="0.25">
      <c r="A1787">
        <v>714.36363636364001</v>
      </c>
      <c r="B1787">
        <v>782.44628099173997</v>
      </c>
      <c r="C1787" s="1">
        <f t="shared" si="507"/>
        <v>9.5305305536917295E-2</v>
      </c>
      <c r="D1787">
        <v>6.4</v>
      </c>
      <c r="E1787">
        <v>0.19476453733578</v>
      </c>
      <c r="F1787">
        <v>10</v>
      </c>
    </row>
    <row r="1788" spans="1:9" x14ac:dyDescent="0.25">
      <c r="A1788">
        <v>746.31404958678002</v>
      </c>
      <c r="B1788">
        <v>796.03305785123996</v>
      </c>
      <c r="C1788" s="1">
        <f t="shared" si="507"/>
        <v>6.6619418851874057E-2</v>
      </c>
      <c r="D1788">
        <v>7.9272727272727002</v>
      </c>
      <c r="E1788">
        <v>0.23998741105686999</v>
      </c>
      <c r="F1788">
        <v>10</v>
      </c>
    </row>
    <row r="1789" spans="1:9" x14ac:dyDescent="0.25">
      <c r="A1789">
        <v>750.49586776858996</v>
      </c>
      <c r="B1789">
        <v>795.40495867769005</v>
      </c>
      <c r="C1789" s="1">
        <f t="shared" si="507"/>
        <v>5.9839224754995479E-2</v>
      </c>
      <c r="D1789">
        <v>7.5272727272726998</v>
      </c>
      <c r="E1789">
        <v>0.22386279310005999</v>
      </c>
      <c r="F1789">
        <v>11</v>
      </c>
    </row>
    <row r="1790" spans="1:9" x14ac:dyDescent="0.25">
      <c r="A1790">
        <v>752.38016528926005</v>
      </c>
      <c r="B1790">
        <v>798.71074380165999</v>
      </c>
      <c r="C1790" s="1">
        <f t="shared" si="507"/>
        <v>6.1578681429736548E-2</v>
      </c>
      <c r="D1790">
        <v>7.8909090909091004</v>
      </c>
      <c r="E1790">
        <v>0.23668538201195</v>
      </c>
      <c r="F1790">
        <v>10</v>
      </c>
    </row>
    <row r="1791" spans="1:9" x14ac:dyDescent="0.25">
      <c r="A1791">
        <v>752.64462809916995</v>
      </c>
      <c r="B1791">
        <v>782.06611570248003</v>
      </c>
      <c r="C1791" s="1">
        <f t="shared" si="507"/>
        <v>3.9090809267602333E-2</v>
      </c>
      <c r="D1791">
        <v>8.1454545454545002</v>
      </c>
      <c r="E1791">
        <v>0.24540512857985999</v>
      </c>
      <c r="F1791">
        <v>10</v>
      </c>
    </row>
    <row r="1792" spans="1:9" x14ac:dyDescent="0.25">
      <c r="A1792">
        <v>755.22314049586998</v>
      </c>
      <c r="B1792">
        <v>794.13223140495995</v>
      </c>
      <c r="C1792" s="1">
        <f t="shared" si="507"/>
        <v>5.1519992996431174E-2</v>
      </c>
      <c r="D1792">
        <v>7.9272727272727002</v>
      </c>
      <c r="E1792">
        <v>0.23698191979335001</v>
      </c>
      <c r="F1792">
        <v>11</v>
      </c>
    </row>
    <row r="1793" spans="1:9" x14ac:dyDescent="0.25">
      <c r="A1793">
        <v>738.24793388429998</v>
      </c>
      <c r="B1793">
        <v>791.85123966943002</v>
      </c>
      <c r="C1793" s="1">
        <f t="shared" si="507"/>
        <v>7.2608812466423922E-2</v>
      </c>
      <c r="D1793">
        <v>7.5636363636363999</v>
      </c>
      <c r="E1793">
        <v>0.22933705059108001</v>
      </c>
      <c r="F1793">
        <v>10</v>
      </c>
    </row>
    <row r="1794" spans="1:9" x14ac:dyDescent="0.25">
      <c r="A1794">
        <v>744.44628099173997</v>
      </c>
      <c r="B1794">
        <v>795.35537190083005</v>
      </c>
      <c r="C1794" s="1">
        <f t="shared" ref="C1794:C1857" si="526">IFERROR((B1794/A1794)-1,"")</f>
        <v>6.8385177290790855E-2</v>
      </c>
      <c r="D1794">
        <v>7.4545454545455003</v>
      </c>
      <c r="E1794">
        <v>0.22247590972344</v>
      </c>
      <c r="F1794">
        <v>11</v>
      </c>
    </row>
    <row r="1795" spans="1:9" x14ac:dyDescent="0.25">
      <c r="A1795">
        <v>751.19008264463002</v>
      </c>
      <c r="B1795">
        <v>798.77685950414002</v>
      </c>
      <c r="C1795" s="1">
        <f t="shared" si="526"/>
        <v>6.334851585363932E-2</v>
      </c>
      <c r="D1795">
        <v>7.7454545454544999</v>
      </c>
      <c r="E1795">
        <v>0.23179064203934999</v>
      </c>
      <c r="F1795">
        <v>10</v>
      </c>
    </row>
    <row r="1796" spans="1:9" x14ac:dyDescent="0.25">
      <c r="A1796">
        <v>752.97520661157</v>
      </c>
      <c r="B1796">
        <v>792.42975206612005</v>
      </c>
      <c r="C1796" s="1">
        <f t="shared" si="526"/>
        <v>5.2398199978054727E-2</v>
      </c>
      <c r="D1796">
        <v>7.9636363636364003</v>
      </c>
      <c r="E1796">
        <v>0.23911764798002999</v>
      </c>
      <c r="F1796">
        <v>10</v>
      </c>
    </row>
    <row r="1797" spans="1:9" x14ac:dyDescent="0.25">
      <c r="A1797">
        <v>752.16528925620003</v>
      </c>
      <c r="B1797">
        <v>791.47107438016997</v>
      </c>
      <c r="C1797" s="1">
        <f t="shared" si="526"/>
        <v>5.2256845251179573E-2</v>
      </c>
      <c r="D1797">
        <v>7.3090909090908998</v>
      </c>
      <c r="E1797">
        <v>0.21489943992263</v>
      </c>
      <c r="F1797">
        <v>11</v>
      </c>
    </row>
    <row r="1798" spans="1:9" x14ac:dyDescent="0.25">
      <c r="A1798">
        <v>740.80991735536998</v>
      </c>
      <c r="B1798">
        <v>797.00826446280996</v>
      </c>
      <c r="C1798" s="1">
        <f t="shared" si="526"/>
        <v>7.5860684084877672E-2</v>
      </c>
      <c r="D1798">
        <v>7.8545454545454998</v>
      </c>
      <c r="E1798">
        <v>0.23947228781706001</v>
      </c>
      <c r="F1798">
        <v>10</v>
      </c>
    </row>
    <row r="1799" spans="1:9" x14ac:dyDescent="0.25">
      <c r="A1799">
        <v>747.22314049586998</v>
      </c>
      <c r="B1799">
        <v>796.64462809917995</v>
      </c>
      <c r="C1799" s="1">
        <f t="shared" si="526"/>
        <v>6.6140199526627308E-2</v>
      </c>
      <c r="D1799">
        <v>7.5272727272726998</v>
      </c>
      <c r="E1799">
        <v>0.22476586811537</v>
      </c>
      <c r="F1799">
        <v>10</v>
      </c>
    </row>
    <row r="1800" spans="1:9" x14ac:dyDescent="0.25">
      <c r="A1800">
        <v>753.15702479338995</v>
      </c>
      <c r="B1800">
        <v>786.49586776859996</v>
      </c>
      <c r="C1800" s="1">
        <f t="shared" si="526"/>
        <v>4.4265461089413094E-2</v>
      </c>
      <c r="D1800">
        <v>7.9636363636364003</v>
      </c>
      <c r="E1800">
        <v>0.23931490045463</v>
      </c>
      <c r="F1800">
        <v>11</v>
      </c>
    </row>
    <row r="1801" spans="1:9" x14ac:dyDescent="0.25">
      <c r="A1801">
        <v>751.78512396693998</v>
      </c>
      <c r="B1801">
        <v>785.45454545455004</v>
      </c>
      <c r="C1801" s="1">
        <f t="shared" si="526"/>
        <v>4.4785963986553545E-2</v>
      </c>
      <c r="D1801">
        <v>7.8181818181817997</v>
      </c>
      <c r="E1801">
        <v>0.23349937885884001</v>
      </c>
      <c r="F1801">
        <v>10</v>
      </c>
      <c r="H1801" t="s">
        <v>17</v>
      </c>
      <c r="I1801">
        <f t="shared" ref="I1801" si="527">STDEVP(A1787:A1806)</f>
        <v>9.3885130874536067</v>
      </c>
    </row>
    <row r="1802" spans="1:9" x14ac:dyDescent="0.25">
      <c r="A1802">
        <v>757.81818181818005</v>
      </c>
      <c r="B1802">
        <v>784.97520661157</v>
      </c>
      <c r="C1802" s="1">
        <f t="shared" si="526"/>
        <v>3.5835805269588628E-2</v>
      </c>
      <c r="D1802">
        <v>8</v>
      </c>
      <c r="E1802">
        <v>0.23859424696105</v>
      </c>
      <c r="F1802">
        <v>10</v>
      </c>
      <c r="H1802" t="s">
        <v>18</v>
      </c>
      <c r="I1802">
        <f t="shared" ref="I1802" si="528">STDEVP(B1787:B1806)</f>
        <v>5.4378820727438413</v>
      </c>
    </row>
    <row r="1803" spans="1:9" x14ac:dyDescent="0.25">
      <c r="A1803">
        <v>747.75206611570002</v>
      </c>
      <c r="B1803">
        <v>792.67768595042003</v>
      </c>
      <c r="C1803" s="1">
        <f t="shared" si="526"/>
        <v>6.008090364509755E-2</v>
      </c>
      <c r="D1803">
        <v>7.6363636363636003</v>
      </c>
      <c r="E1803">
        <v>0.22864892282216001</v>
      </c>
      <c r="F1803">
        <v>11</v>
      </c>
      <c r="H1803" t="s">
        <v>19</v>
      </c>
      <c r="I1803">
        <f t="shared" ref="I1803" si="529">STDEVP(C1787:C1806)</f>
        <v>1.4989751322642736E-2</v>
      </c>
    </row>
    <row r="1804" spans="1:9" x14ac:dyDescent="0.25">
      <c r="A1804">
        <v>740.33057851240005</v>
      </c>
      <c r="B1804">
        <v>797.80165289257002</v>
      </c>
      <c r="C1804" s="1">
        <f t="shared" si="526"/>
        <v>7.7628935030146673E-2</v>
      </c>
      <c r="D1804">
        <v>7.4181818181818002</v>
      </c>
      <c r="E1804">
        <v>0.22306857961338</v>
      </c>
      <c r="F1804">
        <v>10</v>
      </c>
      <c r="H1804" t="s">
        <v>20</v>
      </c>
      <c r="I1804">
        <f t="shared" ref="I1804" si="530">STDEVP(D1787:D1806)</f>
        <v>0.36931475522885759</v>
      </c>
    </row>
    <row r="1805" spans="1:9" x14ac:dyDescent="0.25">
      <c r="A1805">
        <v>752.76033057850998</v>
      </c>
      <c r="B1805">
        <v>793.42148760330997</v>
      </c>
      <c r="C1805" s="1">
        <f t="shared" si="526"/>
        <v>5.4016073075411786E-2</v>
      </c>
      <c r="D1805">
        <v>7.7818181818182</v>
      </c>
      <c r="E1805">
        <v>0.23175308292342001</v>
      </c>
      <c r="F1805">
        <v>11</v>
      </c>
      <c r="H1805" t="s">
        <v>21</v>
      </c>
      <c r="I1805">
        <f t="shared" ref="I1805" si="531">STDEVP(E1787:E1806)</f>
        <v>1.1393574009217594E-2</v>
      </c>
    </row>
    <row r="1806" spans="1:9" x14ac:dyDescent="0.25">
      <c r="A1806">
        <v>737.04132231405003</v>
      </c>
      <c r="B1806">
        <v>800.38016528926005</v>
      </c>
      <c r="C1806" s="1">
        <f t="shared" si="526"/>
        <v>8.5936623982422633E-2</v>
      </c>
      <c r="D1806">
        <v>7.9272727272727002</v>
      </c>
      <c r="E1806">
        <v>0.24373674600138001</v>
      </c>
      <c r="F1806">
        <v>11</v>
      </c>
      <c r="H1806" t="s">
        <v>22</v>
      </c>
      <c r="I1806">
        <f t="shared" ref="I1806" si="532">STDEVP(F1787:F1806)</f>
        <v>0.48989794855663554</v>
      </c>
    </row>
    <row r="1807" spans="1:9" x14ac:dyDescent="0.25">
      <c r="C1807" s="1" t="str">
        <f t="shared" si="526"/>
        <v/>
      </c>
    </row>
    <row r="1808" spans="1:9" x14ac:dyDescent="0.25">
      <c r="A1808">
        <v>860.97959183674004</v>
      </c>
      <c r="B1808">
        <v>892.15102040818999</v>
      </c>
      <c r="C1808" s="1">
        <f t="shared" si="526"/>
        <v>3.6204607945411915E-2</v>
      </c>
      <c r="D1808">
        <v>13.185921325052</v>
      </c>
      <c r="E1808">
        <v>0.43434113964623</v>
      </c>
      <c r="F1808">
        <v>28</v>
      </c>
    </row>
    <row r="1809" spans="1:9" x14ac:dyDescent="0.25">
      <c r="A1809">
        <v>862.63673469388004</v>
      </c>
      <c r="B1809">
        <v>886.03673469390003</v>
      </c>
      <c r="C1809" s="1">
        <f t="shared" si="526"/>
        <v>2.7126134395753398E-2</v>
      </c>
      <c r="D1809">
        <v>13.267080745342</v>
      </c>
      <c r="E1809">
        <v>0.43680078231762998</v>
      </c>
      <c r="F1809">
        <v>28</v>
      </c>
    </row>
    <row r="1810" spans="1:9" x14ac:dyDescent="0.25">
      <c r="A1810">
        <v>862.86938775509998</v>
      </c>
      <c r="B1810">
        <v>886.37142857145</v>
      </c>
      <c r="C1810" s="1">
        <f t="shared" si="526"/>
        <v>2.7237077997974257E-2</v>
      </c>
      <c r="D1810">
        <v>13.123809523809999</v>
      </c>
      <c r="E1810">
        <v>0.42981465258015</v>
      </c>
      <c r="F1810">
        <v>30</v>
      </c>
    </row>
    <row r="1811" spans="1:9" x14ac:dyDescent="0.25">
      <c r="A1811">
        <v>862.33061224489995</v>
      </c>
      <c r="B1811">
        <v>889.89795918368998</v>
      </c>
      <c r="C1811" s="1">
        <f t="shared" si="526"/>
        <v>3.1968419707406825E-2</v>
      </c>
      <c r="D1811">
        <v>13.11966873706</v>
      </c>
      <c r="E1811">
        <v>0.42985566072929998</v>
      </c>
      <c r="F1811">
        <v>29</v>
      </c>
    </row>
    <row r="1812" spans="1:9" x14ac:dyDescent="0.25">
      <c r="A1812">
        <v>865.88979591837006</v>
      </c>
      <c r="B1812">
        <v>898.27346938777998</v>
      </c>
      <c r="C1812" s="1">
        <f t="shared" si="526"/>
        <v>3.7399301414637431E-2</v>
      </c>
      <c r="D1812">
        <v>13.230641821946</v>
      </c>
      <c r="E1812">
        <v>0.43312861260147001</v>
      </c>
      <c r="F1812">
        <v>27</v>
      </c>
    </row>
    <row r="1813" spans="1:9" x14ac:dyDescent="0.25">
      <c r="A1813">
        <v>867.65714285714</v>
      </c>
      <c r="B1813">
        <v>890.22857142859004</v>
      </c>
      <c r="C1813" s="1">
        <f t="shared" si="526"/>
        <v>2.6014225500551769E-2</v>
      </c>
      <c r="D1813">
        <v>13.263768115942</v>
      </c>
      <c r="E1813">
        <v>0.43273701386133001</v>
      </c>
      <c r="F1813">
        <v>28</v>
      </c>
    </row>
    <row r="1814" spans="1:9" x14ac:dyDescent="0.25">
      <c r="A1814">
        <v>865.13877551020005</v>
      </c>
      <c r="B1814">
        <v>884.24897959186001</v>
      </c>
      <c r="C1814" s="1">
        <f t="shared" si="526"/>
        <v>2.2089177624006195E-2</v>
      </c>
      <c r="D1814">
        <v>13.04182194617</v>
      </c>
      <c r="E1814">
        <v>0.42456213209421001</v>
      </c>
      <c r="F1814">
        <v>28</v>
      </c>
    </row>
    <row r="1815" spans="1:9" x14ac:dyDescent="0.25">
      <c r="A1815">
        <v>860.26938775509996</v>
      </c>
      <c r="B1815">
        <v>884.97959183676005</v>
      </c>
      <c r="C1815" s="1">
        <f t="shared" si="526"/>
        <v>2.8723797956059061E-2</v>
      </c>
      <c r="D1815">
        <v>13.280331262940001</v>
      </c>
      <c r="E1815">
        <v>0.43864159861562002</v>
      </c>
      <c r="F1815">
        <v>27</v>
      </c>
    </row>
    <row r="1816" spans="1:9" x14ac:dyDescent="0.25">
      <c r="A1816">
        <v>861.19183673469001</v>
      </c>
      <c r="B1816">
        <v>888.24081632654998</v>
      </c>
      <c r="C1816" s="1">
        <f t="shared" si="526"/>
        <v>3.1408773792398481E-2</v>
      </c>
      <c r="D1816">
        <v>13.086542443063999</v>
      </c>
      <c r="E1816">
        <v>0.42915374765800002</v>
      </c>
      <c r="F1816">
        <v>28</v>
      </c>
    </row>
    <row r="1817" spans="1:9" x14ac:dyDescent="0.25">
      <c r="A1817">
        <v>857.27346938775997</v>
      </c>
      <c r="B1817">
        <v>881.08163265307996</v>
      </c>
      <c r="C1817" s="1">
        <f t="shared" si="526"/>
        <v>2.7771958558711729E-2</v>
      </c>
      <c r="D1817">
        <v>13.345755693581999</v>
      </c>
      <c r="E1817">
        <v>0.44433760913593001</v>
      </c>
      <c r="F1817">
        <v>28</v>
      </c>
    </row>
    <row r="1818" spans="1:9" x14ac:dyDescent="0.25">
      <c r="A1818">
        <v>861.94285714286002</v>
      </c>
      <c r="B1818">
        <v>891.03673469390003</v>
      </c>
      <c r="C1818" s="1">
        <f t="shared" si="526"/>
        <v>3.3753835663166143E-2</v>
      </c>
      <c r="D1818">
        <v>13.339130434783</v>
      </c>
      <c r="E1818">
        <v>0.44078067000395998</v>
      </c>
      <c r="F1818">
        <v>28</v>
      </c>
    </row>
    <row r="1819" spans="1:9" x14ac:dyDescent="0.25">
      <c r="A1819">
        <v>856.34693877551001</v>
      </c>
      <c r="B1819">
        <v>885.64081632654995</v>
      </c>
      <c r="C1819" s="1">
        <f t="shared" si="526"/>
        <v>3.4207955005861601E-2</v>
      </c>
      <c r="D1819">
        <v>13.108902691511</v>
      </c>
      <c r="E1819">
        <v>0.43317225727397002</v>
      </c>
      <c r="F1819">
        <v>28</v>
      </c>
    </row>
    <row r="1820" spans="1:9" x14ac:dyDescent="0.25">
      <c r="A1820">
        <v>860.64897959183998</v>
      </c>
      <c r="B1820">
        <v>878.91428571431004</v>
      </c>
      <c r="C1820" s="1">
        <f t="shared" si="526"/>
        <v>2.1222712808109501E-2</v>
      </c>
      <c r="D1820">
        <v>13.219875776398</v>
      </c>
      <c r="E1820">
        <v>0.43540659959709999</v>
      </c>
      <c r="F1820">
        <v>28</v>
      </c>
    </row>
    <row r="1821" spans="1:9" x14ac:dyDescent="0.25">
      <c r="A1821">
        <v>859.49387755101998</v>
      </c>
      <c r="B1821">
        <v>892.57142857145004</v>
      </c>
      <c r="C1821" s="1">
        <f t="shared" si="526"/>
        <v>3.8484917559481469E-2</v>
      </c>
      <c r="D1821">
        <v>13.278674948240001</v>
      </c>
      <c r="E1821">
        <v>0.43987357032084001</v>
      </c>
      <c r="F1821">
        <v>28</v>
      </c>
    </row>
    <row r="1822" spans="1:9" x14ac:dyDescent="0.25">
      <c r="A1822">
        <v>854.67755102040996</v>
      </c>
      <c r="B1822">
        <v>889.13061224492003</v>
      </c>
      <c r="C1822" s="1">
        <f t="shared" si="526"/>
        <v>4.0311180729359464E-2</v>
      </c>
      <c r="D1822">
        <v>13.04016563147</v>
      </c>
      <c r="E1822">
        <v>0.43134545618638997</v>
      </c>
      <c r="F1822">
        <v>27</v>
      </c>
      <c r="H1822" t="s">
        <v>17</v>
      </c>
      <c r="I1822">
        <f t="shared" ref="I1822" si="533">STDEVP(A1808:A1827)</f>
        <v>3.1238731912667461</v>
      </c>
    </row>
    <row r="1823" spans="1:9" x14ac:dyDescent="0.25">
      <c r="A1823">
        <v>861.97551020408002</v>
      </c>
      <c r="B1823">
        <v>897.71020408165998</v>
      </c>
      <c r="C1823" s="1">
        <f t="shared" si="526"/>
        <v>4.1456739146938704E-2</v>
      </c>
      <c r="D1823">
        <v>13.392960662526001</v>
      </c>
      <c r="E1823">
        <v>0.44302903167217</v>
      </c>
      <c r="F1823">
        <v>27</v>
      </c>
      <c r="H1823" t="s">
        <v>18</v>
      </c>
      <c r="I1823">
        <f t="shared" ref="I1823" si="534">STDEVP(B1808:B1827)</f>
        <v>4.7712615454093497</v>
      </c>
    </row>
    <row r="1824" spans="1:9" x14ac:dyDescent="0.25">
      <c r="A1824">
        <v>864.95510204081995</v>
      </c>
      <c r="B1824">
        <v>890.56326530614001</v>
      </c>
      <c r="C1824" s="1">
        <f t="shared" si="526"/>
        <v>2.960634974566756E-2</v>
      </c>
      <c r="D1824">
        <v>13.129606625258999</v>
      </c>
      <c r="E1824">
        <v>0.4289286165899</v>
      </c>
      <c r="F1824">
        <v>28</v>
      </c>
      <c r="H1824" t="s">
        <v>19</v>
      </c>
      <c r="I1824">
        <f t="shared" ref="I1824" si="535">STDEVP(C1808:C1827)</f>
        <v>5.430617748889712E-3</v>
      </c>
    </row>
    <row r="1825" spans="1:9" x14ac:dyDescent="0.25">
      <c r="A1825">
        <v>860.51020408163004</v>
      </c>
      <c r="B1825">
        <v>887.63265306125004</v>
      </c>
      <c r="C1825" s="1">
        <f t="shared" si="526"/>
        <v>3.1519032372853806E-2</v>
      </c>
      <c r="D1825">
        <v>13.250517598344</v>
      </c>
      <c r="E1825">
        <v>0.43735034973378001</v>
      </c>
      <c r="F1825">
        <v>27</v>
      </c>
      <c r="H1825" t="s">
        <v>20</v>
      </c>
      <c r="I1825">
        <f t="shared" ref="I1825" si="536">STDEVP(D1808:D1827)</f>
        <v>0.12182711852476409</v>
      </c>
    </row>
    <row r="1826" spans="1:9" x14ac:dyDescent="0.25">
      <c r="A1826">
        <v>863.4693877551</v>
      </c>
      <c r="B1826">
        <v>892.01632653062995</v>
      </c>
      <c r="C1826" s="1">
        <f t="shared" si="526"/>
        <v>3.3060742141360677E-2</v>
      </c>
      <c r="D1826">
        <v>12.984679089027001</v>
      </c>
      <c r="E1826">
        <v>0.42318018929787998</v>
      </c>
      <c r="F1826">
        <v>28</v>
      </c>
      <c r="H1826" t="s">
        <v>21</v>
      </c>
      <c r="I1826">
        <f t="shared" ref="I1826" si="537">STDEVP(E1808:E1827)</f>
        <v>5.9684161963523275E-3</v>
      </c>
    </row>
    <row r="1827" spans="1:9" x14ac:dyDescent="0.25">
      <c r="A1827">
        <v>859.02857142856999</v>
      </c>
      <c r="B1827">
        <v>884.06122448981</v>
      </c>
      <c r="C1827" s="1">
        <f t="shared" si="526"/>
        <v>2.9140652469347605E-2</v>
      </c>
      <c r="D1827">
        <v>12.944927536232001</v>
      </c>
      <c r="E1827">
        <v>0.42372495959493001</v>
      </c>
      <c r="F1827">
        <v>27</v>
      </c>
      <c r="H1827" t="s">
        <v>22</v>
      </c>
      <c r="I1827">
        <f t="shared" ref="I1827" si="538">STDEVP(F1808:F1827)</f>
        <v>0.72629195231669752</v>
      </c>
    </row>
    <row r="1828" spans="1:9" x14ac:dyDescent="0.25">
      <c r="C1828" s="1" t="str">
        <f t="shared" si="526"/>
        <v/>
      </c>
    </row>
    <row r="1829" spans="1:9" x14ac:dyDescent="0.25">
      <c r="A1829">
        <v>430.75</v>
      </c>
      <c r="B1829">
        <v>463.40277777777999</v>
      </c>
      <c r="C1829" s="1">
        <f t="shared" si="526"/>
        <v>7.5804475398212334E-2</v>
      </c>
      <c r="D1829">
        <v>7.9565217391304</v>
      </c>
      <c r="E1829">
        <v>0.55271160258084995</v>
      </c>
      <c r="F1829">
        <v>10</v>
      </c>
    </row>
    <row r="1830" spans="1:9" x14ac:dyDescent="0.25">
      <c r="A1830">
        <v>439.72222222222001</v>
      </c>
      <c r="B1830">
        <v>471.625</v>
      </c>
      <c r="C1830" s="1">
        <f t="shared" si="526"/>
        <v>7.255211623500224E-2</v>
      </c>
      <c r="D1830">
        <v>8.3115942028986005</v>
      </c>
      <c r="E1830">
        <v>0.57272503157729004</v>
      </c>
      <c r="F1830">
        <v>10</v>
      </c>
    </row>
    <row r="1831" spans="1:9" x14ac:dyDescent="0.25">
      <c r="A1831">
        <v>424.52777777777999</v>
      </c>
      <c r="B1831">
        <v>468.54166666665998</v>
      </c>
      <c r="C1831" s="1">
        <f t="shared" si="526"/>
        <v>0.10367728849045821</v>
      </c>
      <c r="D1831">
        <v>7.7971014492753996</v>
      </c>
      <c r="E1831">
        <v>0.54747802074601004</v>
      </c>
      <c r="F1831">
        <v>10</v>
      </c>
    </row>
    <row r="1832" spans="1:9" x14ac:dyDescent="0.25">
      <c r="A1832">
        <v>442.52777777777999</v>
      </c>
      <c r="B1832">
        <v>472.80555555554997</v>
      </c>
      <c r="C1832" s="1">
        <f t="shared" si="526"/>
        <v>6.8420061515266806E-2</v>
      </c>
      <c r="D1832">
        <v>8.2753623188405996</v>
      </c>
      <c r="E1832">
        <v>0.56396479253161003</v>
      </c>
      <c r="F1832">
        <v>10</v>
      </c>
    </row>
    <row r="1833" spans="1:9" x14ac:dyDescent="0.25">
      <c r="A1833">
        <v>439.47222222222001</v>
      </c>
      <c r="B1833">
        <v>474.15277777777999</v>
      </c>
      <c r="C1833" s="1">
        <f t="shared" si="526"/>
        <v>7.8914101510660917E-2</v>
      </c>
      <c r="D1833">
        <v>8.1376811594202998</v>
      </c>
      <c r="E1833">
        <v>0.55453176799317005</v>
      </c>
      <c r="F1833">
        <v>11</v>
      </c>
    </row>
    <row r="1834" spans="1:9" x14ac:dyDescent="0.25">
      <c r="A1834">
        <v>452</v>
      </c>
      <c r="B1834">
        <v>474.04166666665998</v>
      </c>
      <c r="C1834" s="1">
        <f t="shared" si="526"/>
        <v>4.8764749262522056E-2</v>
      </c>
      <c r="D1834">
        <v>8.3043478260869996</v>
      </c>
      <c r="E1834">
        <v>0.54681564622959999</v>
      </c>
      <c r="F1834">
        <v>10</v>
      </c>
    </row>
    <row r="1835" spans="1:9" x14ac:dyDescent="0.25">
      <c r="A1835">
        <v>452.47222222222001</v>
      </c>
      <c r="B1835">
        <v>473.41666666665998</v>
      </c>
      <c r="C1835" s="1">
        <f t="shared" si="526"/>
        <v>4.6288906624092574E-2</v>
      </c>
      <c r="D1835">
        <v>8.3550724637680993</v>
      </c>
      <c r="E1835">
        <v>0.55050074309899999</v>
      </c>
      <c r="F1835">
        <v>10</v>
      </c>
    </row>
    <row r="1836" spans="1:9" x14ac:dyDescent="0.25">
      <c r="A1836">
        <v>436.80555555555998</v>
      </c>
      <c r="B1836">
        <v>475.61111111111001</v>
      </c>
      <c r="C1836" s="1">
        <f t="shared" si="526"/>
        <v>8.8839427662943615E-2</v>
      </c>
      <c r="D1836">
        <v>7.963768115942</v>
      </c>
      <c r="E1836">
        <v>0.54125722573421997</v>
      </c>
      <c r="F1836">
        <v>10</v>
      </c>
    </row>
    <row r="1837" spans="1:9" x14ac:dyDescent="0.25">
      <c r="A1837">
        <v>435.02777777777999</v>
      </c>
      <c r="B1837">
        <v>469.25</v>
      </c>
      <c r="C1837" s="1">
        <f t="shared" si="526"/>
        <v>7.8666751803838419E-2</v>
      </c>
      <c r="D1837">
        <v>7.8623188405797002</v>
      </c>
      <c r="E1837">
        <v>0.53420700579947999</v>
      </c>
      <c r="F1837">
        <v>10</v>
      </c>
    </row>
    <row r="1838" spans="1:9" x14ac:dyDescent="0.25">
      <c r="A1838">
        <v>433.5</v>
      </c>
      <c r="B1838">
        <v>462.52777777777999</v>
      </c>
      <c r="C1838" s="1">
        <f t="shared" si="526"/>
        <v>6.6961425092918025E-2</v>
      </c>
      <c r="D1838">
        <v>7.8695652173913002</v>
      </c>
      <c r="E1838">
        <v>0.53716775362736002</v>
      </c>
      <c r="F1838">
        <v>11</v>
      </c>
    </row>
    <row r="1839" spans="1:9" x14ac:dyDescent="0.25">
      <c r="A1839">
        <v>418.27777777777999</v>
      </c>
      <c r="B1839">
        <v>465.20833333333002</v>
      </c>
      <c r="C1839" s="1">
        <f t="shared" si="526"/>
        <v>0.1121994952848846</v>
      </c>
      <c r="D1839">
        <v>7.6884057971014004</v>
      </c>
      <c r="E1839">
        <v>0.54841119604134003</v>
      </c>
      <c r="F1839">
        <v>10</v>
      </c>
    </row>
    <row r="1840" spans="1:9" x14ac:dyDescent="0.25">
      <c r="A1840">
        <v>444.52777777777999</v>
      </c>
      <c r="B1840">
        <v>469.125</v>
      </c>
      <c r="C1840" s="1">
        <f t="shared" si="526"/>
        <v>5.5333374992183826E-2</v>
      </c>
      <c r="D1840">
        <v>8.1666666666666998</v>
      </c>
      <c r="E1840">
        <v>0.54861746124198996</v>
      </c>
      <c r="F1840">
        <v>10</v>
      </c>
    </row>
    <row r="1841" spans="1:9" x14ac:dyDescent="0.25">
      <c r="A1841">
        <v>437.38888888888999</v>
      </c>
      <c r="B1841">
        <v>468.20833333333002</v>
      </c>
      <c r="C1841" s="1">
        <f t="shared" si="526"/>
        <v>7.0462339641803595E-2</v>
      </c>
      <c r="D1841">
        <v>8.3333333333333002</v>
      </c>
      <c r="E1841">
        <v>0.57917573913630005</v>
      </c>
      <c r="F1841">
        <v>10</v>
      </c>
    </row>
    <row r="1842" spans="1:9" x14ac:dyDescent="0.25">
      <c r="A1842">
        <v>424.08333333333002</v>
      </c>
      <c r="B1842">
        <v>463.76388888888999</v>
      </c>
      <c r="C1842" s="1">
        <f t="shared" si="526"/>
        <v>9.356782603001057E-2</v>
      </c>
      <c r="D1842">
        <v>7.5869565217390997</v>
      </c>
      <c r="E1842">
        <v>0.52593199304070004</v>
      </c>
      <c r="F1842">
        <v>10</v>
      </c>
    </row>
    <row r="1843" spans="1:9" x14ac:dyDescent="0.25">
      <c r="A1843">
        <v>428</v>
      </c>
      <c r="B1843">
        <v>460.55555555554997</v>
      </c>
      <c r="C1843" s="1">
        <f t="shared" si="526"/>
        <v>7.6064382139135356E-2</v>
      </c>
      <c r="D1843">
        <v>7.8478260869565002</v>
      </c>
      <c r="E1843">
        <v>0.54681276930642997</v>
      </c>
      <c r="F1843">
        <v>11</v>
      </c>
      <c r="H1843" t="s">
        <v>17</v>
      </c>
      <c r="I1843">
        <f t="shared" ref="I1843" si="539">STDEVP(A1829:A1848)</f>
        <v>8.6038428106928517</v>
      </c>
    </row>
    <row r="1844" spans="1:9" x14ac:dyDescent="0.25">
      <c r="A1844">
        <v>429.97222222222001</v>
      </c>
      <c r="B1844">
        <v>473.48611111111001</v>
      </c>
      <c r="C1844" s="1">
        <f t="shared" si="526"/>
        <v>0.1012016280121486</v>
      </c>
      <c r="D1844">
        <v>8.1594202898551007</v>
      </c>
      <c r="E1844">
        <v>0.57605677854490001</v>
      </c>
      <c r="F1844">
        <v>10</v>
      </c>
      <c r="H1844" t="s">
        <v>18</v>
      </c>
      <c r="I1844">
        <f t="shared" ref="I1844" si="540">STDEVP(B1829:B1848)</f>
        <v>4.6291729172864828</v>
      </c>
    </row>
    <row r="1845" spans="1:9" x14ac:dyDescent="0.25">
      <c r="A1845">
        <v>440.38888888888999</v>
      </c>
      <c r="B1845">
        <v>468.51388888888999</v>
      </c>
      <c r="C1845" s="1">
        <f t="shared" si="526"/>
        <v>6.3864009082881035E-2</v>
      </c>
      <c r="D1845">
        <v>8.2246376811594004</v>
      </c>
      <c r="E1845">
        <v>0.56151264929721001</v>
      </c>
      <c r="F1845">
        <v>10</v>
      </c>
      <c r="H1845" t="s">
        <v>19</v>
      </c>
      <c r="I1845">
        <f t="shared" ref="I1845" si="541">STDEVP(C1829:C1848)</f>
        <v>1.6975181253945041E-2</v>
      </c>
    </row>
    <row r="1846" spans="1:9" x14ac:dyDescent="0.25">
      <c r="A1846">
        <v>433.72222222222001</v>
      </c>
      <c r="B1846">
        <v>464.875</v>
      </c>
      <c r="C1846" s="1">
        <f t="shared" si="526"/>
        <v>7.1826565902400663E-2</v>
      </c>
      <c r="D1846">
        <v>8.1594202898551007</v>
      </c>
      <c r="E1846">
        <v>0.56776281485318003</v>
      </c>
      <c r="F1846">
        <v>10</v>
      </c>
      <c r="H1846" t="s">
        <v>20</v>
      </c>
      <c r="I1846">
        <f t="shared" ref="I1846" si="542">STDEVP(D1829:D1848)</f>
        <v>0.23218843248310034</v>
      </c>
    </row>
    <row r="1847" spans="1:9" x14ac:dyDescent="0.25">
      <c r="A1847">
        <v>442.52777777777999</v>
      </c>
      <c r="B1847">
        <v>471.30555555554997</v>
      </c>
      <c r="C1847" s="1">
        <f t="shared" si="526"/>
        <v>6.503044378882139E-2</v>
      </c>
      <c r="D1847">
        <v>8.3188405797101002</v>
      </c>
      <c r="E1847">
        <v>0.56923215010631001</v>
      </c>
      <c r="F1847">
        <v>10</v>
      </c>
      <c r="H1847" t="s">
        <v>21</v>
      </c>
      <c r="I1847">
        <f t="shared" ref="I1847" si="543">STDEVP(E1829:E1848)</f>
        <v>1.4335548303590972E-2</v>
      </c>
    </row>
    <row r="1848" spans="1:9" x14ac:dyDescent="0.25">
      <c r="A1848">
        <v>440.63888888888999</v>
      </c>
      <c r="B1848">
        <v>477.05555555554997</v>
      </c>
      <c r="C1848" s="1">
        <f t="shared" si="526"/>
        <v>8.2645149089059844E-2</v>
      </c>
      <c r="D1848">
        <v>8.2898550724637996</v>
      </c>
      <c r="E1848">
        <v>0.5690413805608</v>
      </c>
      <c r="F1848">
        <v>11</v>
      </c>
      <c r="H1848" t="s">
        <v>22</v>
      </c>
      <c r="I1848">
        <f t="shared" ref="I1848" si="544">STDEVP(F1829:F1848)</f>
        <v>0.39999999999999997</v>
      </c>
    </row>
    <row r="1849" spans="1:9" x14ac:dyDescent="0.25">
      <c r="C1849" s="1" t="str">
        <f t="shared" si="526"/>
        <v/>
      </c>
    </row>
    <row r="1850" spans="1:9" x14ac:dyDescent="0.25">
      <c r="A1850">
        <v>306.84444444444</v>
      </c>
      <c r="B1850">
        <v>328.62222222221999</v>
      </c>
      <c r="C1850" s="1">
        <f t="shared" si="526"/>
        <v>7.0973348783322177E-2</v>
      </c>
      <c r="D1850">
        <v>4.0952380952381002</v>
      </c>
      <c r="E1850">
        <v>0.33356951700753001</v>
      </c>
      <c r="F1850">
        <v>6</v>
      </c>
    </row>
    <row r="1851" spans="1:9" x14ac:dyDescent="0.25">
      <c r="A1851">
        <v>306.22222222222001</v>
      </c>
      <c r="B1851">
        <v>329.06666666667002</v>
      </c>
      <c r="C1851" s="1">
        <f t="shared" si="526"/>
        <v>7.4600870827304711E-2</v>
      </c>
      <c r="D1851">
        <v>4.1333333333333</v>
      </c>
      <c r="E1851">
        <v>0.33712315602933002</v>
      </c>
      <c r="F1851">
        <v>6</v>
      </c>
    </row>
    <row r="1852" spans="1:9" x14ac:dyDescent="0.25">
      <c r="A1852">
        <v>312.48888888889002</v>
      </c>
      <c r="B1852">
        <v>328.97777777777998</v>
      </c>
      <c r="C1852" s="1">
        <f t="shared" si="526"/>
        <v>5.2766320580290627E-2</v>
      </c>
      <c r="D1852">
        <v>4.3047619047619001</v>
      </c>
      <c r="E1852">
        <v>0.34858252257943001</v>
      </c>
      <c r="F1852">
        <v>7</v>
      </c>
    </row>
    <row r="1853" spans="1:9" x14ac:dyDescent="0.25">
      <c r="A1853">
        <v>309.95555555556001</v>
      </c>
      <c r="B1853">
        <v>325.02222222222002</v>
      </c>
      <c r="C1853" s="1">
        <f t="shared" si="526"/>
        <v>4.8609119587015304E-2</v>
      </c>
      <c r="D1853">
        <v>3.9619047619047998</v>
      </c>
      <c r="E1853">
        <v>0.31583356049743999</v>
      </c>
      <c r="F1853">
        <v>6</v>
      </c>
    </row>
    <row r="1854" spans="1:9" x14ac:dyDescent="0.25">
      <c r="A1854">
        <v>301.06666666667002</v>
      </c>
      <c r="B1854">
        <v>329.11111111111001</v>
      </c>
      <c r="C1854" s="1">
        <f t="shared" si="526"/>
        <v>9.3150280484188386E-2</v>
      </c>
      <c r="D1854">
        <v>3.8285714285713999</v>
      </c>
      <c r="E1854">
        <v>0.31293074545559002</v>
      </c>
      <c r="F1854">
        <v>6</v>
      </c>
    </row>
    <row r="1855" spans="1:9" x14ac:dyDescent="0.25">
      <c r="A1855">
        <v>306</v>
      </c>
      <c r="B1855">
        <v>329.91111111111002</v>
      </c>
      <c r="C1855" s="1">
        <f t="shared" si="526"/>
        <v>7.8140885984019581E-2</v>
      </c>
      <c r="D1855">
        <v>3.8857142857142999</v>
      </c>
      <c r="E1855">
        <v>0.31295835581557002</v>
      </c>
      <c r="F1855">
        <v>7</v>
      </c>
    </row>
    <row r="1856" spans="1:9" x14ac:dyDescent="0.25">
      <c r="A1856">
        <v>311.06666666667002</v>
      </c>
      <c r="B1856">
        <v>321.60000000000002</v>
      </c>
      <c r="C1856" s="1">
        <f t="shared" si="526"/>
        <v>3.3861980282886561E-2</v>
      </c>
      <c r="D1856">
        <v>4.0571428571428996</v>
      </c>
      <c r="E1856">
        <v>0.32599368250659999</v>
      </c>
      <c r="F1856">
        <v>6</v>
      </c>
    </row>
    <row r="1857" spans="1:9" x14ac:dyDescent="0.25">
      <c r="A1857">
        <v>305.06666666667002</v>
      </c>
      <c r="B1857">
        <v>326.62222222221999</v>
      </c>
      <c r="C1857" s="1">
        <f t="shared" si="526"/>
        <v>7.0658508158489175E-2</v>
      </c>
      <c r="D1857">
        <v>4.0571428571428996</v>
      </c>
      <c r="E1857">
        <v>0.33145612295644</v>
      </c>
      <c r="F1857">
        <v>6</v>
      </c>
    </row>
    <row r="1858" spans="1:9" x14ac:dyDescent="0.25">
      <c r="A1858">
        <v>316.53333333333001</v>
      </c>
      <c r="B1858">
        <v>328.08888888888998</v>
      </c>
      <c r="C1858" s="1">
        <f t="shared" ref="C1858:C1921" si="545">IFERROR((B1858/A1858)-1,"")</f>
        <v>3.6506599269882312E-2</v>
      </c>
      <c r="D1858">
        <v>4.4571428571428999</v>
      </c>
      <c r="E1858">
        <v>0.35795727398678001</v>
      </c>
      <c r="F1858">
        <v>7</v>
      </c>
    </row>
    <row r="1859" spans="1:9" x14ac:dyDescent="0.25">
      <c r="A1859">
        <v>310.57777777778</v>
      </c>
      <c r="B1859">
        <v>331.55555555554997</v>
      </c>
      <c r="C1859" s="1">
        <f t="shared" si="545"/>
        <v>6.7544361762996719E-2</v>
      </c>
      <c r="D1859">
        <v>4.2666666666667004</v>
      </c>
      <c r="E1859">
        <v>0.34690706607712002</v>
      </c>
      <c r="F1859">
        <v>6</v>
      </c>
    </row>
    <row r="1860" spans="1:9" x14ac:dyDescent="0.25">
      <c r="A1860">
        <v>313.42222222222</v>
      </c>
      <c r="B1860">
        <v>330.04444444443999</v>
      </c>
      <c r="C1860" s="1">
        <f t="shared" si="545"/>
        <v>5.3034600113436303E-2</v>
      </c>
      <c r="D1860">
        <v>4.1904761904761996</v>
      </c>
      <c r="E1860">
        <v>0.33551545312100001</v>
      </c>
      <c r="F1860">
        <v>6</v>
      </c>
    </row>
    <row r="1861" spans="1:9" x14ac:dyDescent="0.25">
      <c r="A1861">
        <v>297.42222222222</v>
      </c>
      <c r="B1861">
        <v>331.15555555555</v>
      </c>
      <c r="C1861" s="1">
        <f t="shared" si="545"/>
        <v>0.11341900777046177</v>
      </c>
      <c r="D1861">
        <v>3.8476190476190002</v>
      </c>
      <c r="E1861">
        <v>0.31847913368642</v>
      </c>
      <c r="F1861">
        <v>7</v>
      </c>
    </row>
    <row r="1862" spans="1:9" x14ac:dyDescent="0.25">
      <c r="A1862">
        <v>309.46666666666999</v>
      </c>
      <c r="B1862">
        <v>329.55555555554997</v>
      </c>
      <c r="C1862" s="1">
        <f t="shared" si="545"/>
        <v>6.4914548326841182E-2</v>
      </c>
      <c r="D1862">
        <v>4.2285714285714002</v>
      </c>
      <c r="E1862">
        <v>0.34333323801600002</v>
      </c>
      <c r="F1862">
        <v>6</v>
      </c>
    </row>
    <row r="1863" spans="1:9" x14ac:dyDescent="0.25">
      <c r="A1863">
        <v>315.11111111111001</v>
      </c>
      <c r="B1863">
        <v>330.44444444444002</v>
      </c>
      <c r="C1863" s="1">
        <f t="shared" si="545"/>
        <v>4.8660084626223732E-2</v>
      </c>
      <c r="D1863">
        <v>4.2666666666667004</v>
      </c>
      <c r="E1863">
        <v>0.34221540479757001</v>
      </c>
      <c r="F1863">
        <v>7</v>
      </c>
    </row>
    <row r="1864" spans="1:9" x14ac:dyDescent="0.25">
      <c r="A1864">
        <v>307.73333333332999</v>
      </c>
      <c r="B1864">
        <v>329.42222222222</v>
      </c>
      <c r="C1864" s="1">
        <f t="shared" si="545"/>
        <v>7.0479491623343549E-2</v>
      </c>
      <c r="D1864">
        <v>4.3428571428570999</v>
      </c>
      <c r="E1864">
        <v>0.35916411795578002</v>
      </c>
      <c r="F1864">
        <v>6</v>
      </c>
      <c r="H1864" t="s">
        <v>17</v>
      </c>
      <c r="I1864">
        <f t="shared" ref="I1864" si="546">STDEVP(A1850:A1869)</f>
        <v>4.4644217686495891</v>
      </c>
    </row>
    <row r="1865" spans="1:9" x14ac:dyDescent="0.25">
      <c r="A1865">
        <v>310.13333333332997</v>
      </c>
      <c r="B1865">
        <v>326.17777777778002</v>
      </c>
      <c r="C1865" s="1">
        <f t="shared" si="545"/>
        <v>5.1734021209534298E-2</v>
      </c>
      <c r="D1865">
        <v>4.1142857142856997</v>
      </c>
      <c r="E1865">
        <v>0.33144480777390001</v>
      </c>
      <c r="F1865">
        <v>6</v>
      </c>
      <c r="H1865" t="s">
        <v>18</v>
      </c>
      <c r="I1865">
        <f t="shared" ref="I1865" si="547">STDEVP(B1850:B1869)</f>
        <v>2.7395809357815688</v>
      </c>
    </row>
    <row r="1866" spans="1:9" x14ac:dyDescent="0.25">
      <c r="A1866">
        <v>308.13333333332997</v>
      </c>
      <c r="B1866">
        <v>327.77777777777999</v>
      </c>
      <c r="C1866" s="1">
        <f t="shared" si="545"/>
        <v>6.3753065051223246E-2</v>
      </c>
      <c r="D1866">
        <v>4.1714285714286001</v>
      </c>
      <c r="E1866">
        <v>0.33906611369916001</v>
      </c>
      <c r="F1866">
        <v>7</v>
      </c>
      <c r="H1866" t="s">
        <v>19</v>
      </c>
      <c r="I1866">
        <f t="shared" ref="I1866" si="548">STDEVP(C1850:C1869)</f>
        <v>1.9347751399405123E-2</v>
      </c>
    </row>
    <row r="1867" spans="1:9" x14ac:dyDescent="0.25">
      <c r="A1867">
        <v>313.60000000000002</v>
      </c>
      <c r="B1867">
        <v>322.88888888888999</v>
      </c>
      <c r="C1867" s="1">
        <f t="shared" si="545"/>
        <v>2.9620181405899171E-2</v>
      </c>
      <c r="D1867">
        <v>4</v>
      </c>
      <c r="E1867">
        <v>0.31389572503021002</v>
      </c>
      <c r="F1867">
        <v>6</v>
      </c>
      <c r="H1867" t="s">
        <v>20</v>
      </c>
      <c r="I1867">
        <f t="shared" ref="I1867" si="549">STDEVP(D1850:D1869)</f>
        <v>0.16593307942684157</v>
      </c>
    </row>
    <row r="1868" spans="1:9" x14ac:dyDescent="0.25">
      <c r="A1868">
        <v>311.33333333333002</v>
      </c>
      <c r="B1868">
        <v>333.2</v>
      </c>
      <c r="C1868" s="1">
        <f t="shared" si="545"/>
        <v>7.0235546038555308E-2</v>
      </c>
      <c r="D1868">
        <v>4.2285714285714002</v>
      </c>
      <c r="E1868">
        <v>0.34061962074412</v>
      </c>
      <c r="F1868">
        <v>7</v>
      </c>
      <c r="H1868" t="s">
        <v>21</v>
      </c>
      <c r="I1868">
        <f t="shared" ref="I1868" si="550">STDEVP(E1850:E1869)</f>
        <v>1.3969161189139876E-2</v>
      </c>
    </row>
    <row r="1869" spans="1:9" x14ac:dyDescent="0.25">
      <c r="A1869">
        <v>310.04444444443999</v>
      </c>
      <c r="B1869">
        <v>328.57777777778</v>
      </c>
      <c r="C1869" s="1">
        <f t="shared" si="545"/>
        <v>5.9776376146811305E-2</v>
      </c>
      <c r="D1869">
        <v>4.2666666666667004</v>
      </c>
      <c r="E1869">
        <v>0.34624619353379998</v>
      </c>
      <c r="F1869">
        <v>6</v>
      </c>
      <c r="H1869" t="s">
        <v>22</v>
      </c>
      <c r="I1869">
        <f t="shared" ref="I1869" si="551">STDEVP(F1850:F1869)</f>
        <v>0.47696960070847277</v>
      </c>
    </row>
    <row r="1870" spans="1:9" x14ac:dyDescent="0.25">
      <c r="C1870" s="1" t="str">
        <f t="shared" si="545"/>
        <v/>
      </c>
    </row>
    <row r="1871" spans="1:9" x14ac:dyDescent="0.25">
      <c r="A1871">
        <v>2828.4889129259</v>
      </c>
      <c r="B1871">
        <v>2920.3634396971001</v>
      </c>
      <c r="C1871" s="1">
        <f t="shared" si="545"/>
        <v>3.2481840869640122E-2</v>
      </c>
      <c r="D1871">
        <v>19.158361018826</v>
      </c>
      <c r="E1871">
        <v>0.15258643433794</v>
      </c>
      <c r="F1871">
        <v>43</v>
      </c>
    </row>
    <row r="1872" spans="1:9" x14ac:dyDescent="0.25">
      <c r="A1872">
        <v>2825.9188750675999</v>
      </c>
      <c r="B1872">
        <v>2900.3785830177999</v>
      </c>
      <c r="C1872" s="1">
        <f t="shared" si="545"/>
        <v>2.6348848371812839E-2</v>
      </c>
      <c r="D1872">
        <v>18.912513842746002</v>
      </c>
      <c r="E1872">
        <v>0.15048281198776001</v>
      </c>
      <c r="F1872">
        <v>42</v>
      </c>
    </row>
    <row r="1873" spans="1:9" x14ac:dyDescent="0.25">
      <c r="A1873">
        <v>2831.7414818820998</v>
      </c>
      <c r="B1873">
        <v>2883.8788534342002</v>
      </c>
      <c r="C1873" s="1">
        <f t="shared" si="545"/>
        <v>1.841176953676138E-2</v>
      </c>
      <c r="D1873">
        <v>19.160575858249999</v>
      </c>
      <c r="E1873">
        <v>0.15238656926456001</v>
      </c>
      <c r="F1873">
        <v>42</v>
      </c>
    </row>
    <row r="1874" spans="1:9" x14ac:dyDescent="0.25">
      <c r="A1874">
        <v>2816.6133044889002</v>
      </c>
      <c r="B1874">
        <v>2887.8593834505</v>
      </c>
      <c r="C1874" s="1">
        <f t="shared" si="545"/>
        <v>2.529494512010344E-2</v>
      </c>
      <c r="D1874">
        <v>18.819490586932002</v>
      </c>
      <c r="E1874">
        <v>0.15026145739888</v>
      </c>
      <c r="F1874">
        <v>40</v>
      </c>
    </row>
    <row r="1875" spans="1:9" x14ac:dyDescent="0.25">
      <c r="A1875">
        <v>2822.0021633315</v>
      </c>
      <c r="B1875">
        <v>2890.3612763656001</v>
      </c>
      <c r="C1875" s="1">
        <f t="shared" si="545"/>
        <v>2.4223621768382664E-2</v>
      </c>
      <c r="D1875">
        <v>18.919158361019001</v>
      </c>
      <c r="E1875">
        <v>0.15078826416006</v>
      </c>
      <c r="F1875">
        <v>41</v>
      </c>
    </row>
    <row r="1876" spans="1:9" x14ac:dyDescent="0.25">
      <c r="A1876">
        <v>2815.2309356409</v>
      </c>
      <c r="B1876">
        <v>2903.0524607896</v>
      </c>
      <c r="C1876" s="1">
        <f t="shared" si="545"/>
        <v>3.1195140702980018E-2</v>
      </c>
      <c r="D1876">
        <v>19.001107419712</v>
      </c>
      <c r="E1876">
        <v>0.15207191350714</v>
      </c>
      <c r="F1876">
        <v>42</v>
      </c>
    </row>
    <row r="1877" spans="1:9" x14ac:dyDescent="0.25">
      <c r="A1877">
        <v>2836.9702541914999</v>
      </c>
      <c r="B1877">
        <v>2928.3050297457999</v>
      </c>
      <c r="C1877" s="1">
        <f t="shared" si="545"/>
        <v>3.2194477689484691E-2</v>
      </c>
      <c r="D1877">
        <v>18.956810631229001</v>
      </c>
      <c r="E1877">
        <v>0.15030630180880999</v>
      </c>
      <c r="F1877">
        <v>41</v>
      </c>
    </row>
    <row r="1878" spans="1:9" x14ac:dyDescent="0.25">
      <c r="A1878">
        <v>2833.6430502974999</v>
      </c>
      <c r="B1878">
        <v>2895.4894537587002</v>
      </c>
      <c r="C1878" s="1">
        <f t="shared" si="545"/>
        <v>2.1825756583810696E-2</v>
      </c>
      <c r="D1878">
        <v>18.719822812846001</v>
      </c>
      <c r="E1878">
        <v>0.14828502529994</v>
      </c>
      <c r="F1878">
        <v>40</v>
      </c>
    </row>
    <row r="1879" spans="1:9" x14ac:dyDescent="0.25">
      <c r="A1879">
        <v>2822.7701460249</v>
      </c>
      <c r="B1879">
        <v>2887.1162790696999</v>
      </c>
      <c r="C1879" s="1">
        <f t="shared" si="545"/>
        <v>2.2795385283287617E-2</v>
      </c>
      <c r="D1879">
        <v>19.029900332225999</v>
      </c>
      <c r="E1879">
        <v>0.15178504255172001</v>
      </c>
      <c r="F1879">
        <v>41</v>
      </c>
    </row>
    <row r="1880" spans="1:9" x14ac:dyDescent="0.25">
      <c r="A1880">
        <v>2830.0227149810999</v>
      </c>
      <c r="B1880">
        <v>2895.3423472147001</v>
      </c>
      <c r="C1880" s="1">
        <f t="shared" si="545"/>
        <v>2.3080956872827185E-2</v>
      </c>
      <c r="D1880">
        <v>18.651162790697999</v>
      </c>
      <c r="E1880">
        <v>0.14787648054168001</v>
      </c>
      <c r="F1880">
        <v>42</v>
      </c>
    </row>
    <row r="1881" spans="1:9" x14ac:dyDescent="0.25">
      <c r="A1881">
        <v>2822.3677663602002</v>
      </c>
      <c r="B1881">
        <v>2883.0546241211</v>
      </c>
      <c r="C1881" s="1">
        <f t="shared" si="545"/>
        <v>2.15021084368332E-2</v>
      </c>
      <c r="D1881">
        <v>18.828349944629</v>
      </c>
      <c r="E1881">
        <v>0.14999552643912001</v>
      </c>
      <c r="F1881">
        <v>44</v>
      </c>
    </row>
    <row r="1882" spans="1:9" x14ac:dyDescent="0.25">
      <c r="A1882">
        <v>2812.1882098432002</v>
      </c>
      <c r="B1882">
        <v>2885.1346673877001</v>
      </c>
      <c r="C1882" s="1">
        <f t="shared" si="545"/>
        <v>2.5939393846106551E-2</v>
      </c>
      <c r="D1882">
        <v>18.823920265780998</v>
      </c>
      <c r="E1882">
        <v>0.15049883568669001</v>
      </c>
      <c r="F1882">
        <v>41</v>
      </c>
    </row>
    <row r="1883" spans="1:9" x14ac:dyDescent="0.25">
      <c r="A1883">
        <v>2849.9913466738999</v>
      </c>
      <c r="B1883">
        <v>2923.4764737696</v>
      </c>
      <c r="C1883" s="1">
        <f t="shared" si="545"/>
        <v>2.5784333409103688E-2</v>
      </c>
      <c r="D1883">
        <v>19.085271317829001</v>
      </c>
      <c r="E1883">
        <v>0.15065115592476999</v>
      </c>
      <c r="F1883">
        <v>42</v>
      </c>
    </row>
    <row r="1884" spans="1:9" x14ac:dyDescent="0.25">
      <c r="A1884">
        <v>2814.9053542454999</v>
      </c>
      <c r="B1884">
        <v>2882.3363980529998</v>
      </c>
      <c r="C1884" s="1">
        <f t="shared" si="545"/>
        <v>2.3954995043012461E-2</v>
      </c>
      <c r="D1884">
        <v>19.001107419712</v>
      </c>
      <c r="E1884">
        <v>0.15203884851078001</v>
      </c>
      <c r="F1884">
        <v>42</v>
      </c>
    </row>
    <row r="1885" spans="1:9" x14ac:dyDescent="0.25">
      <c r="A1885">
        <v>2842.8263926446998</v>
      </c>
      <c r="B1885">
        <v>2898.0108166576001</v>
      </c>
      <c r="C1885" s="1">
        <f t="shared" si="545"/>
        <v>1.9411816407670868E-2</v>
      </c>
      <c r="D1885">
        <v>18.928017718715001</v>
      </c>
      <c r="E1885">
        <v>0.14962756352015999</v>
      </c>
      <c r="F1885">
        <v>42</v>
      </c>
      <c r="H1885" t="s">
        <v>17</v>
      </c>
      <c r="I1885">
        <f t="shared" ref="I1885" si="552">STDEVP(A1871:A1890)</f>
        <v>10.609887954711343</v>
      </c>
    </row>
    <row r="1886" spans="1:9" x14ac:dyDescent="0.25">
      <c r="A1886">
        <v>2841.9643050297</v>
      </c>
      <c r="B1886">
        <v>2907.9253650620999</v>
      </c>
      <c r="C1886" s="1">
        <f t="shared" si="545"/>
        <v>2.320967223819892E-2</v>
      </c>
      <c r="D1886">
        <v>18.881506090807999</v>
      </c>
      <c r="E1886">
        <v>0.14926285274004999</v>
      </c>
      <c r="F1886">
        <v>43</v>
      </c>
      <c r="H1886" t="s">
        <v>18</v>
      </c>
      <c r="I1886">
        <f t="shared" ref="I1886" si="553">STDEVP(B1871:B1890)</f>
        <v>14.006489938111804</v>
      </c>
    </row>
    <row r="1887" spans="1:9" x14ac:dyDescent="0.25">
      <c r="A1887">
        <v>2826.8166576528001</v>
      </c>
      <c r="B1887">
        <v>2887.5673336937998</v>
      </c>
      <c r="C1887" s="1">
        <f t="shared" si="545"/>
        <v>2.1490844083055238E-2</v>
      </c>
      <c r="D1887">
        <v>19.220376522702001</v>
      </c>
      <c r="E1887">
        <v>0.15323755584125001</v>
      </c>
      <c r="F1887">
        <v>42</v>
      </c>
      <c r="H1887" t="s">
        <v>19</v>
      </c>
      <c r="I1887">
        <f t="shared" ref="I1887" si="554">STDEVP(C1871:C1890)</f>
        <v>3.9432205579463878E-3</v>
      </c>
    </row>
    <row r="1888" spans="1:9" x14ac:dyDescent="0.25">
      <c r="A1888">
        <v>2808.1373715522</v>
      </c>
      <c r="B1888">
        <v>2878.2531097890001</v>
      </c>
      <c r="C1888" s="1">
        <f t="shared" si="545"/>
        <v>2.496877074003101E-2</v>
      </c>
      <c r="D1888">
        <v>18.795127353266999</v>
      </c>
      <c r="E1888">
        <v>0.15049879567544999</v>
      </c>
      <c r="F1888">
        <v>43</v>
      </c>
      <c r="H1888" t="s">
        <v>20</v>
      </c>
      <c r="I1888">
        <f t="shared" ref="I1888" si="555">STDEVP(D1871:D1890)</f>
        <v>0.1470848080480654</v>
      </c>
    </row>
    <row r="1889" spans="1:9" x14ac:dyDescent="0.25">
      <c r="A1889">
        <v>2821.0189291509</v>
      </c>
      <c r="B1889">
        <v>2908.4488912924999</v>
      </c>
      <c r="C1889" s="1">
        <f t="shared" si="545"/>
        <v>3.0992334449849057E-2</v>
      </c>
      <c r="D1889">
        <v>18.828349944629</v>
      </c>
      <c r="E1889">
        <v>0.15001833896336</v>
      </c>
      <c r="F1889">
        <v>42</v>
      </c>
      <c r="H1889" t="s">
        <v>21</v>
      </c>
      <c r="I1889">
        <f t="shared" ref="I1889" si="556">STDEVP(E1871:E1890)</f>
        <v>1.3686459200749324E-3</v>
      </c>
    </row>
    <row r="1890" spans="1:9" x14ac:dyDescent="0.25">
      <c r="A1890">
        <v>2829.1184424012999</v>
      </c>
      <c r="B1890">
        <v>2894.9637641968002</v>
      </c>
      <c r="C1890" s="1">
        <f t="shared" si="545"/>
        <v>2.3274148161719355E-2</v>
      </c>
      <c r="D1890">
        <v>18.823920265780998</v>
      </c>
      <c r="E1890">
        <v>0.14948547021632999</v>
      </c>
      <c r="F1890">
        <v>42</v>
      </c>
      <c r="H1890" t="s">
        <v>22</v>
      </c>
      <c r="I1890">
        <f t="shared" ref="I1890" si="557">STDEVP(F1871:F1890)</f>
        <v>0.96306801421291122</v>
      </c>
    </row>
    <row r="1891" spans="1:9" x14ac:dyDescent="0.25">
      <c r="C1891" s="1" t="str">
        <f t="shared" si="545"/>
        <v/>
      </c>
    </row>
    <row r="1892" spans="1:9" x14ac:dyDescent="0.25">
      <c r="A1892">
        <v>1438.9451795841001</v>
      </c>
      <c r="B1892">
        <v>1494.6994328922999</v>
      </c>
      <c r="C1892" s="1">
        <f t="shared" si="545"/>
        <v>3.8746613908053451E-2</v>
      </c>
      <c r="D1892">
        <v>15.648309178744</v>
      </c>
      <c r="E1892">
        <v>0.27090195588570998</v>
      </c>
      <c r="F1892">
        <v>20</v>
      </c>
    </row>
    <row r="1893" spans="1:9" x14ac:dyDescent="0.25">
      <c r="A1893">
        <v>1437.9829867675001</v>
      </c>
      <c r="B1893">
        <v>1500.6389413989</v>
      </c>
      <c r="C1893" s="1">
        <f t="shared" si="545"/>
        <v>4.3572111219651433E-2</v>
      </c>
      <c r="D1893">
        <v>16.005797101449001</v>
      </c>
      <c r="E1893">
        <v>0.27888222830097997</v>
      </c>
      <c r="F1893">
        <v>21</v>
      </c>
    </row>
    <row r="1894" spans="1:9" x14ac:dyDescent="0.25">
      <c r="A1894">
        <v>1433.4858223061999</v>
      </c>
      <c r="B1894">
        <v>1492.1568998109999</v>
      </c>
      <c r="C1894" s="1">
        <f t="shared" si="545"/>
        <v>4.0928955551447155E-2</v>
      </c>
      <c r="D1894">
        <v>15.493719806763</v>
      </c>
      <c r="E1894">
        <v>0.26874301165001002</v>
      </c>
      <c r="F1894">
        <v>21</v>
      </c>
    </row>
    <row r="1895" spans="1:9" x14ac:dyDescent="0.25">
      <c r="A1895">
        <v>1426.7391304348</v>
      </c>
      <c r="B1895">
        <v>1474.9470699433</v>
      </c>
      <c r="C1895" s="1">
        <f t="shared" si="545"/>
        <v>3.3788895587246293E-2</v>
      </c>
      <c r="D1895">
        <v>15.644444444444</v>
      </c>
      <c r="E1895">
        <v>0.27342415962250999</v>
      </c>
      <c r="F1895">
        <v>20</v>
      </c>
    </row>
    <row r="1896" spans="1:9" x14ac:dyDescent="0.25">
      <c r="A1896">
        <v>1444.7088846880999</v>
      </c>
      <c r="B1896">
        <v>1494.2722117203</v>
      </c>
      <c r="C1896" s="1">
        <f t="shared" si="545"/>
        <v>3.4306791878628395E-2</v>
      </c>
      <c r="D1896">
        <v>15.536231884057999</v>
      </c>
      <c r="E1896">
        <v>0.26686716374280001</v>
      </c>
      <c r="F1896">
        <v>21</v>
      </c>
    </row>
    <row r="1897" spans="1:9" x14ac:dyDescent="0.25">
      <c r="A1897">
        <v>1428.9130434783001</v>
      </c>
      <c r="B1897">
        <v>1470.0756143668</v>
      </c>
      <c r="C1897" s="1">
        <f t="shared" si="545"/>
        <v>2.8806911012793979E-2</v>
      </c>
      <c r="D1897">
        <v>15.644444444444</v>
      </c>
      <c r="E1897">
        <v>0.27310574431904999</v>
      </c>
      <c r="F1897">
        <v>20</v>
      </c>
    </row>
    <row r="1898" spans="1:9" x14ac:dyDescent="0.25">
      <c r="A1898">
        <v>1447.9357277883</v>
      </c>
      <c r="B1898">
        <v>1487.1020793951</v>
      </c>
      <c r="C1898" s="1">
        <f t="shared" si="545"/>
        <v>2.7049786019594846E-2</v>
      </c>
      <c r="D1898">
        <v>15.992270531400999</v>
      </c>
      <c r="E1898">
        <v>0.27609041692988001</v>
      </c>
      <c r="F1898">
        <v>21</v>
      </c>
    </row>
    <row r="1899" spans="1:9" x14ac:dyDescent="0.25">
      <c r="A1899">
        <v>1437.9187145558001</v>
      </c>
      <c r="B1899">
        <v>1486.4499054820999</v>
      </c>
      <c r="C1899" s="1">
        <f t="shared" si="545"/>
        <v>3.3750997490349821E-2</v>
      </c>
      <c r="D1899">
        <v>15.820289855072</v>
      </c>
      <c r="E1899">
        <v>0.27510499898301</v>
      </c>
      <c r="F1899">
        <v>21</v>
      </c>
    </row>
    <row r="1900" spans="1:9" x14ac:dyDescent="0.25">
      <c r="A1900">
        <v>1450.7561436673</v>
      </c>
      <c r="B1900">
        <v>1494.0094517959001</v>
      </c>
      <c r="C1900" s="1">
        <f t="shared" si="545"/>
        <v>2.9814320151188234E-2</v>
      </c>
      <c r="D1900">
        <v>15.727536231884001</v>
      </c>
      <c r="E1900">
        <v>0.26980543888433001</v>
      </c>
      <c r="F1900">
        <v>21</v>
      </c>
    </row>
    <row r="1901" spans="1:9" x14ac:dyDescent="0.25">
      <c r="A1901">
        <v>1421.9168241965999</v>
      </c>
      <c r="B1901">
        <v>1490.6805293006</v>
      </c>
      <c r="C1901" s="1">
        <f t="shared" si="545"/>
        <v>4.8359864609417214E-2</v>
      </c>
      <c r="D1901">
        <v>15.435748792270999</v>
      </c>
      <c r="E1901">
        <v>0.27011027480595001</v>
      </c>
      <c r="F1901">
        <v>20</v>
      </c>
    </row>
    <row r="1902" spans="1:9" x14ac:dyDescent="0.25">
      <c r="A1902">
        <v>1431.9621928166</v>
      </c>
      <c r="B1902">
        <v>1482.527410208</v>
      </c>
      <c r="C1902" s="1">
        <f t="shared" si="545"/>
        <v>3.5311838290884356E-2</v>
      </c>
      <c r="D1902">
        <v>15.59806763285</v>
      </c>
      <c r="E1902">
        <v>0.27145799014041999</v>
      </c>
      <c r="F1902">
        <v>21</v>
      </c>
    </row>
    <row r="1903" spans="1:9" x14ac:dyDescent="0.25">
      <c r="A1903">
        <v>1446.4253308129</v>
      </c>
      <c r="B1903">
        <v>1491.6351606805999</v>
      </c>
      <c r="C1903" s="1">
        <f t="shared" si="545"/>
        <v>3.1256248701266642E-2</v>
      </c>
      <c r="D1903">
        <v>15.499516908213</v>
      </c>
      <c r="E1903">
        <v>0.26579697825449</v>
      </c>
      <c r="F1903">
        <v>21</v>
      </c>
    </row>
    <row r="1904" spans="1:9" x14ac:dyDescent="0.25">
      <c r="A1904">
        <v>1447.7221172023001</v>
      </c>
      <c r="B1904">
        <v>1499.2873345936</v>
      </c>
      <c r="C1904" s="1">
        <f t="shared" si="545"/>
        <v>3.5618173390173036E-2</v>
      </c>
      <c r="D1904">
        <v>15.605797101448999</v>
      </c>
      <c r="E1904">
        <v>0.26754938473467998</v>
      </c>
      <c r="F1904">
        <v>21</v>
      </c>
    </row>
    <row r="1905" spans="1:9" x14ac:dyDescent="0.25">
      <c r="A1905">
        <v>1435.213610586</v>
      </c>
      <c r="B1905">
        <v>1489.3175803403001</v>
      </c>
      <c r="C1905" s="1">
        <f t="shared" si="545"/>
        <v>3.7697503253337539E-2</v>
      </c>
      <c r="D1905">
        <v>15.453140096618</v>
      </c>
      <c r="E1905">
        <v>0.26719347222396</v>
      </c>
      <c r="F1905">
        <v>20</v>
      </c>
    </row>
    <row r="1906" spans="1:9" x14ac:dyDescent="0.25">
      <c r="A1906">
        <v>1442.3837429112</v>
      </c>
      <c r="B1906">
        <v>1484.6975425331</v>
      </c>
      <c r="C1906" s="1">
        <f t="shared" si="545"/>
        <v>2.9336020895865733E-2</v>
      </c>
      <c r="D1906">
        <v>15.572946859903</v>
      </c>
      <c r="E1906">
        <v>0.26819597344726998</v>
      </c>
      <c r="F1906">
        <v>21</v>
      </c>
      <c r="H1906" t="s">
        <v>17</v>
      </c>
      <c r="I1906">
        <f t="shared" ref="I1906" si="558">STDEVP(A1892:A1911)</f>
        <v>8.6261216690012716</v>
      </c>
    </row>
    <row r="1907" spans="1:9" x14ac:dyDescent="0.25">
      <c r="A1907">
        <v>1433.6219281664</v>
      </c>
      <c r="B1907">
        <v>1482.3308128545</v>
      </c>
      <c r="C1907" s="1">
        <f t="shared" si="545"/>
        <v>3.3976101879523046E-2</v>
      </c>
      <c r="D1907">
        <v>15.669565217391</v>
      </c>
      <c r="E1907">
        <v>0.27245070518957998</v>
      </c>
      <c r="F1907">
        <v>21</v>
      </c>
      <c r="H1907" t="s">
        <v>18</v>
      </c>
      <c r="I1907">
        <f t="shared" ref="I1907" si="559">STDEVP(B1892:B1911)</f>
        <v>7.7809022556700018</v>
      </c>
    </row>
    <row r="1908" spans="1:9" x14ac:dyDescent="0.25">
      <c r="A1908">
        <v>1449.4536862003999</v>
      </c>
      <c r="B1908">
        <v>1492.1568998109999</v>
      </c>
      <c r="C1908" s="1">
        <f t="shared" si="545"/>
        <v>2.9461592334517617E-2</v>
      </c>
      <c r="D1908">
        <v>15.756521739129999</v>
      </c>
      <c r="E1908">
        <v>0.27077058892229</v>
      </c>
      <c r="F1908">
        <v>20</v>
      </c>
      <c r="H1908" t="s">
        <v>19</v>
      </c>
      <c r="I1908">
        <f t="shared" ref="I1908" si="560">STDEVP(C1892:C1911)</f>
        <v>5.5475070350768626E-3</v>
      </c>
    </row>
    <row r="1909" spans="1:9" x14ac:dyDescent="0.25">
      <c r="A1909">
        <v>1442.9810964082999</v>
      </c>
      <c r="B1909">
        <v>1493.2797731569001</v>
      </c>
      <c r="C1909" s="1">
        <f t="shared" si="545"/>
        <v>3.4857474483759976E-2</v>
      </c>
      <c r="D1909">
        <v>15.754589371981</v>
      </c>
      <c r="E1909">
        <v>0.27247695150794998</v>
      </c>
      <c r="F1909">
        <v>21</v>
      </c>
      <c r="H1909" t="s">
        <v>20</v>
      </c>
      <c r="I1909">
        <f t="shared" ref="I1909" si="561">STDEVP(D1892:D1911)</f>
        <v>0.16468723030209198</v>
      </c>
    </row>
    <row r="1910" spans="1:9" x14ac:dyDescent="0.25">
      <c r="A1910">
        <v>1431.3327032136001</v>
      </c>
      <c r="B1910">
        <v>1476.0737240076</v>
      </c>
      <c r="C1910" s="1">
        <f t="shared" si="545"/>
        <v>3.1258295638427303E-2</v>
      </c>
      <c r="D1910">
        <v>15.368115942029</v>
      </c>
      <c r="E1910">
        <v>0.26643647853766</v>
      </c>
      <c r="F1910">
        <v>21</v>
      </c>
      <c r="H1910" t="s">
        <v>21</v>
      </c>
      <c r="I1910">
        <f t="shared" ref="I1910" si="562">STDEVP(E1892:E1911)</f>
        <v>3.3868517987730661E-3</v>
      </c>
    </row>
    <row r="1911" spans="1:9" x14ac:dyDescent="0.25">
      <c r="A1911">
        <v>1422.2986767486</v>
      </c>
      <c r="B1911">
        <v>1485.0359168242001</v>
      </c>
      <c r="C1911" s="1">
        <f t="shared" si="545"/>
        <v>4.4109750716367468E-2</v>
      </c>
      <c r="D1911">
        <v>15.557487922705</v>
      </c>
      <c r="E1911">
        <v>0.27280878016414001</v>
      </c>
      <c r="F1911">
        <v>20</v>
      </c>
      <c r="H1911" t="s">
        <v>22</v>
      </c>
      <c r="I1911">
        <f t="shared" ref="I1911" si="563">STDEVP(F1892:F1911)</f>
        <v>0.47696960070847289</v>
      </c>
    </row>
    <row r="1912" spans="1:9" x14ac:dyDescent="0.25">
      <c r="C1912" s="1" t="str">
        <f t="shared" si="545"/>
        <v/>
      </c>
    </row>
    <row r="1913" spans="1:9" x14ac:dyDescent="0.25">
      <c r="A1913">
        <v>1507.1928414900999</v>
      </c>
      <c r="B1913">
        <v>1552.0803506208999</v>
      </c>
      <c r="C1913" s="1">
        <f t="shared" si="545"/>
        <v>2.9782193688248748E-2</v>
      </c>
      <c r="D1913">
        <v>12.870048130321999</v>
      </c>
      <c r="E1913">
        <v>0.20298932340851999</v>
      </c>
      <c r="F1913">
        <v>20</v>
      </c>
    </row>
    <row r="1914" spans="1:9" x14ac:dyDescent="0.25">
      <c r="A1914">
        <v>1518.8239590942001</v>
      </c>
      <c r="B1914">
        <v>1554.2812271731</v>
      </c>
      <c r="C1914" s="1">
        <f t="shared" si="545"/>
        <v>2.3345212502472013E-2</v>
      </c>
      <c r="D1914">
        <v>12.803406145872</v>
      </c>
      <c r="E1914">
        <v>0.20008353535208001</v>
      </c>
      <c r="F1914">
        <v>21</v>
      </c>
    </row>
    <row r="1915" spans="1:9" x14ac:dyDescent="0.25">
      <c r="A1915">
        <v>1510.0781592403</v>
      </c>
      <c r="B1915">
        <v>1540.7406866326</v>
      </c>
      <c r="C1915" s="1">
        <f t="shared" si="545"/>
        <v>2.0305258509086599E-2</v>
      </c>
      <c r="D1915">
        <v>12.865605331358999</v>
      </c>
      <c r="E1915">
        <v>0.20238305777002</v>
      </c>
      <c r="F1915">
        <v>20</v>
      </c>
    </row>
    <row r="1916" spans="1:9" x14ac:dyDescent="0.25">
      <c r="A1916">
        <v>1513.9773557341</v>
      </c>
      <c r="B1916">
        <v>1546.9919649379001</v>
      </c>
      <c r="C1916" s="1">
        <f t="shared" si="545"/>
        <v>2.1806540949083075E-2</v>
      </c>
      <c r="D1916">
        <v>12.907071455017</v>
      </c>
      <c r="E1916">
        <v>0.20261281665673</v>
      </c>
      <c r="F1916">
        <v>21</v>
      </c>
    </row>
    <row r="1917" spans="1:9" x14ac:dyDescent="0.25">
      <c r="A1917">
        <v>1506.2074506939</v>
      </c>
      <c r="B1917">
        <v>1545.7830533235999</v>
      </c>
      <c r="C1917" s="1">
        <f t="shared" si="545"/>
        <v>2.6275001236693907E-2</v>
      </c>
      <c r="D1917">
        <v>12.925583117364001</v>
      </c>
      <c r="E1917">
        <v>0.20420258590025001</v>
      </c>
      <c r="F1917">
        <v>20</v>
      </c>
    </row>
    <row r="1918" spans="1:9" x14ac:dyDescent="0.25">
      <c r="A1918">
        <v>1510.9912344776999</v>
      </c>
      <c r="B1918">
        <v>1549.5361577793999</v>
      </c>
      <c r="C1918" s="1">
        <f t="shared" si="545"/>
        <v>2.5509693519184307E-2</v>
      </c>
      <c r="D1918">
        <v>12.925583117364001</v>
      </c>
      <c r="E1918">
        <v>0.20351481086681</v>
      </c>
      <c r="F1918">
        <v>21</v>
      </c>
    </row>
    <row r="1919" spans="1:9" x14ac:dyDescent="0.25">
      <c r="A1919">
        <v>1502.6442658875001</v>
      </c>
      <c r="B1919">
        <v>1538.0832724616</v>
      </c>
      <c r="C1919" s="1">
        <f t="shared" si="545"/>
        <v>2.3584428715846872E-2</v>
      </c>
      <c r="D1919">
        <v>12.955942243613</v>
      </c>
      <c r="E1919">
        <v>0.20542379476117001</v>
      </c>
      <c r="F1919">
        <v>20</v>
      </c>
    </row>
    <row r="1920" spans="1:9" x14ac:dyDescent="0.25">
      <c r="A1920">
        <v>1492.2717311906999</v>
      </c>
      <c r="B1920">
        <v>1539.0423666910001</v>
      </c>
      <c r="C1920" s="1">
        <f t="shared" si="545"/>
        <v>3.1341902766583551E-2</v>
      </c>
      <c r="D1920">
        <v>12.923361717882001</v>
      </c>
      <c r="E1920">
        <v>0.20640801404749001</v>
      </c>
      <c r="F1920">
        <v>21</v>
      </c>
    </row>
    <row r="1921" spans="1:9" x14ac:dyDescent="0.25">
      <c r="A1921">
        <v>1502.7348429511001</v>
      </c>
      <c r="B1921">
        <v>1550.2410518626</v>
      </c>
      <c r="C1921" s="1">
        <f t="shared" si="545"/>
        <v>3.1613167908056461E-2</v>
      </c>
      <c r="D1921">
        <v>12.916697519436999</v>
      </c>
      <c r="E1921">
        <v>0.20467969006843001</v>
      </c>
      <c r="F1921">
        <v>20</v>
      </c>
    </row>
    <row r="1922" spans="1:9" x14ac:dyDescent="0.25">
      <c r="A1922">
        <v>1508.5924032139999</v>
      </c>
      <c r="B1922">
        <v>1553.8122717312001</v>
      </c>
      <c r="C1922" s="1">
        <f t="shared" ref="C1922:C1985" si="564">IFERROR((B1922/A1922)-1,"")</f>
        <v>2.9974874870681401E-2</v>
      </c>
      <c r="D1922">
        <v>12.930025916327001</v>
      </c>
      <c r="E1922">
        <v>0.20396507449106999</v>
      </c>
      <c r="F1922">
        <v>21</v>
      </c>
    </row>
    <row r="1923" spans="1:9" x14ac:dyDescent="0.25">
      <c r="A1923">
        <v>1511.1592403213999</v>
      </c>
      <c r="B1923">
        <v>1551.1365960554999</v>
      </c>
      <c r="C1923" s="1">
        <f t="shared" si="564"/>
        <v>2.6454760469583283E-2</v>
      </c>
      <c r="D1923">
        <v>12.975194372455</v>
      </c>
      <c r="E1923">
        <v>0.20440979385565</v>
      </c>
      <c r="F1923">
        <v>20</v>
      </c>
    </row>
    <row r="1924" spans="1:9" x14ac:dyDescent="0.25">
      <c r="A1924">
        <v>1514.1599707815999</v>
      </c>
      <c r="B1924">
        <v>1552.1490138787001</v>
      </c>
      <c r="C1924" s="1">
        <f t="shared" si="564"/>
        <v>2.5089187292073545E-2</v>
      </c>
      <c r="D1924">
        <v>12.984820436874999</v>
      </c>
      <c r="E1924">
        <v>0.20413382835908001</v>
      </c>
      <c r="F1924">
        <v>21</v>
      </c>
    </row>
    <row r="1925" spans="1:9" x14ac:dyDescent="0.25">
      <c r="A1925">
        <v>1504.4170927683999</v>
      </c>
      <c r="B1925">
        <v>1557.5661066472001</v>
      </c>
      <c r="C1925" s="1">
        <f t="shared" si="564"/>
        <v>3.5328642657865839E-2</v>
      </c>
      <c r="D1925">
        <v>12.948537578674999</v>
      </c>
      <c r="E1925">
        <v>0.20494313800455999</v>
      </c>
      <c r="F1925">
        <v>21</v>
      </c>
    </row>
    <row r="1926" spans="1:9" x14ac:dyDescent="0.25">
      <c r="A1926">
        <v>1510.1212563915001</v>
      </c>
      <c r="B1926">
        <v>1550.7728268809001</v>
      </c>
      <c r="C1926" s="1">
        <f t="shared" si="564"/>
        <v>2.6919408171591996E-2</v>
      </c>
      <c r="D1926">
        <v>12.912995186968001</v>
      </c>
      <c r="E1926">
        <v>0.20328146161336</v>
      </c>
      <c r="F1926">
        <v>20</v>
      </c>
    </row>
    <row r="1927" spans="1:9" x14ac:dyDescent="0.25">
      <c r="A1927">
        <v>1513.0306793279999</v>
      </c>
      <c r="B1927">
        <v>1550.0672023374</v>
      </c>
      <c r="C1927" s="1">
        <f t="shared" si="564"/>
        <v>2.4478368823195096E-2</v>
      </c>
      <c r="D1927">
        <v>13.007034431692</v>
      </c>
      <c r="E1927">
        <v>0.20465404925186001</v>
      </c>
      <c r="F1927">
        <v>21</v>
      </c>
      <c r="H1927" t="s">
        <v>17</v>
      </c>
      <c r="I1927">
        <f t="shared" ref="I1927" si="565">STDEVP(A1913:A1932)</f>
        <v>5.8320448486844096</v>
      </c>
    </row>
    <row r="1928" spans="1:9" x14ac:dyDescent="0.25">
      <c r="A1928">
        <v>1503.7392257122001</v>
      </c>
      <c r="B1928">
        <v>1552.8429510591</v>
      </c>
      <c r="C1928" s="1">
        <f t="shared" si="564"/>
        <v>3.2654415411450977E-2</v>
      </c>
      <c r="D1928">
        <v>13.029248426509</v>
      </c>
      <c r="E1928">
        <v>0.20668610126</v>
      </c>
      <c r="F1928">
        <v>20</v>
      </c>
      <c r="H1928" t="s">
        <v>18</v>
      </c>
      <c r="I1928">
        <f t="shared" ref="I1928" si="566">STDEVP(B1913:B1932)</f>
        <v>5.6118907388304065</v>
      </c>
    </row>
    <row r="1929" spans="1:9" x14ac:dyDescent="0.25">
      <c r="A1929">
        <v>1508.9262235208</v>
      </c>
      <c r="B1929">
        <v>1544.8064280496001</v>
      </c>
      <c r="C1929" s="1">
        <f t="shared" si="564"/>
        <v>2.3778634083964745E-2</v>
      </c>
      <c r="D1929">
        <v>12.890781192151</v>
      </c>
      <c r="E1929">
        <v>0.20323554136534</v>
      </c>
      <c r="F1929">
        <v>21</v>
      </c>
      <c r="H1929" t="s">
        <v>19</v>
      </c>
      <c r="I1929">
        <f t="shared" ref="I1929" si="567">STDEVP(C1913:C1932)</f>
        <v>3.8689680236348844E-3</v>
      </c>
    </row>
    <row r="1930" spans="1:9" x14ac:dyDescent="0.25">
      <c r="A1930">
        <v>1499.3871439007</v>
      </c>
      <c r="B1930">
        <v>1543.3491599706999</v>
      </c>
      <c r="C1930" s="1">
        <f t="shared" si="564"/>
        <v>2.9319990003136454E-2</v>
      </c>
      <c r="D1930">
        <v>12.910033320992</v>
      </c>
      <c r="E1930">
        <v>0.20504177187707001</v>
      </c>
      <c r="F1930">
        <v>20</v>
      </c>
      <c r="H1930" t="s">
        <v>20</v>
      </c>
      <c r="I1930">
        <f t="shared" ref="I1930" si="568">STDEVP(D1913:D1932)</f>
        <v>5.3079763582631855E-2</v>
      </c>
    </row>
    <row r="1931" spans="1:9" x14ac:dyDescent="0.25">
      <c r="A1931">
        <v>1507.3119065011001</v>
      </c>
      <c r="B1931">
        <v>1550.5456537617999</v>
      </c>
      <c r="C1931" s="1">
        <f t="shared" si="564"/>
        <v>2.8682681450488579E-2</v>
      </c>
      <c r="D1931">
        <v>12.932247315809001</v>
      </c>
      <c r="E1931">
        <v>0.20410607731145</v>
      </c>
      <c r="F1931">
        <v>21</v>
      </c>
      <c r="H1931" t="s">
        <v>21</v>
      </c>
      <c r="I1931">
        <f t="shared" ref="I1931" si="569">STDEVP(E1913:E1932)</f>
        <v>1.520633268843462E-3</v>
      </c>
    </row>
    <row r="1932" spans="1:9" x14ac:dyDescent="0.25">
      <c r="A1932">
        <v>1502.6552227904001</v>
      </c>
      <c r="B1932">
        <v>1537.8392987581999</v>
      </c>
      <c r="C1932" s="1">
        <f t="shared" si="564"/>
        <v>2.3414603319624971E-2</v>
      </c>
      <c r="D1932">
        <v>13.0181414291</v>
      </c>
      <c r="E1932">
        <v>0.20653109392128</v>
      </c>
      <c r="F1932">
        <v>21</v>
      </c>
      <c r="H1932" t="s">
        <v>22</v>
      </c>
      <c r="I1932">
        <f t="shared" ref="I1932" si="570">STDEVP(F1913:F1932)</f>
        <v>0.49749371855330998</v>
      </c>
    </row>
    <row r="1933" spans="1:9" x14ac:dyDescent="0.25">
      <c r="C1933" s="1" t="str">
        <f t="shared" si="564"/>
        <v/>
      </c>
    </row>
    <row r="1934" spans="1:9" x14ac:dyDescent="0.25">
      <c r="A1934">
        <v>1595.2506887052</v>
      </c>
      <c r="B1934">
        <v>1651.7153351698</v>
      </c>
      <c r="C1934" s="1">
        <f t="shared" si="564"/>
        <v>3.5395469103624233E-2</v>
      </c>
      <c r="D1934">
        <v>15.636363636364001</v>
      </c>
      <c r="E1934">
        <v>0.23484209443842</v>
      </c>
      <c r="F1934">
        <v>28</v>
      </c>
    </row>
    <row r="1935" spans="1:9" x14ac:dyDescent="0.25">
      <c r="A1935">
        <v>1625.0964187328</v>
      </c>
      <c r="B1935">
        <v>1682.2846648300999</v>
      </c>
      <c r="C1935" s="1">
        <f t="shared" si="564"/>
        <v>3.5190678804088105E-2</v>
      </c>
      <c r="D1935">
        <v>15.715909090908999</v>
      </c>
      <c r="E1935">
        <v>0.23144016617987001</v>
      </c>
      <c r="F1935">
        <v>28</v>
      </c>
    </row>
    <row r="1936" spans="1:9" x14ac:dyDescent="0.25">
      <c r="A1936">
        <v>1620.5381083563</v>
      </c>
      <c r="B1936">
        <v>1677.3259871441001</v>
      </c>
      <c r="C1936" s="1">
        <f t="shared" si="564"/>
        <v>3.5042606215166083E-2</v>
      </c>
      <c r="D1936">
        <v>16.087121212121001</v>
      </c>
      <c r="E1936">
        <v>0.23886976206831001</v>
      </c>
      <c r="F1936">
        <v>28</v>
      </c>
    </row>
    <row r="1937" spans="1:9" x14ac:dyDescent="0.25">
      <c r="A1937">
        <v>1610.4444444444</v>
      </c>
      <c r="B1937">
        <v>1659.8108356289999</v>
      </c>
      <c r="C1937" s="1">
        <f t="shared" si="564"/>
        <v>3.0653892690865936E-2</v>
      </c>
      <c r="D1937">
        <v>15.666666666667</v>
      </c>
      <c r="E1937">
        <v>0.23298363249422999</v>
      </c>
      <c r="F1937">
        <v>29</v>
      </c>
    </row>
    <row r="1938" spans="1:9" x14ac:dyDescent="0.25">
      <c r="A1938">
        <v>1601.406795225</v>
      </c>
      <c r="B1938">
        <v>1664.0826446281001</v>
      </c>
      <c r="C1938" s="1">
        <f t="shared" si="564"/>
        <v>3.9137993912592428E-2</v>
      </c>
      <c r="D1938">
        <v>15.753787878788</v>
      </c>
      <c r="E1938">
        <v>0.23630032618047001</v>
      </c>
      <c r="F1938">
        <v>28</v>
      </c>
    </row>
    <row r="1939" spans="1:9" x14ac:dyDescent="0.25">
      <c r="A1939">
        <v>1595.7924701561001</v>
      </c>
      <c r="B1939">
        <v>1656.0036730945001</v>
      </c>
      <c r="C1939" s="1">
        <f t="shared" si="564"/>
        <v>3.7731223868044728E-2</v>
      </c>
      <c r="D1939">
        <v>15.742424242424001</v>
      </c>
      <c r="E1939">
        <v>0.23679479387244001</v>
      </c>
      <c r="F1939">
        <v>28</v>
      </c>
    </row>
    <row r="1940" spans="1:9" x14ac:dyDescent="0.25">
      <c r="A1940">
        <v>1619.7355371901001</v>
      </c>
      <c r="B1940">
        <v>1670.650137741</v>
      </c>
      <c r="C1940" s="1">
        <f t="shared" si="564"/>
        <v>3.143389731340096E-2</v>
      </c>
      <c r="D1940">
        <v>15.636363636364001</v>
      </c>
      <c r="E1940">
        <v>0.23072316844915</v>
      </c>
      <c r="F1940">
        <v>28</v>
      </c>
    </row>
    <row r="1941" spans="1:9" x14ac:dyDescent="0.25">
      <c r="A1941">
        <v>1614.4609733701</v>
      </c>
      <c r="B1941">
        <v>1657.5096418733001</v>
      </c>
      <c r="C1941" s="1">
        <f t="shared" si="564"/>
        <v>2.6664421880287614E-2</v>
      </c>
      <c r="D1941">
        <v>15.939393939394</v>
      </c>
      <c r="E1941">
        <v>0.23715723080977</v>
      </c>
      <c r="F1941">
        <v>29</v>
      </c>
    </row>
    <row r="1942" spans="1:9" x14ac:dyDescent="0.25">
      <c r="A1942">
        <v>1615.3168044076999</v>
      </c>
      <c r="B1942">
        <v>1663.5096418732001</v>
      </c>
      <c r="C1942" s="1">
        <f t="shared" si="564"/>
        <v>2.9834913704851473E-2</v>
      </c>
      <c r="D1942">
        <v>15.852272727273</v>
      </c>
      <c r="E1942">
        <v>0.23534953778807999</v>
      </c>
      <c r="F1942">
        <v>28</v>
      </c>
    </row>
    <row r="1943" spans="1:9" x14ac:dyDescent="0.25">
      <c r="A1943">
        <v>1611.5445362718001</v>
      </c>
      <c r="B1943">
        <v>1664.3232323232</v>
      </c>
      <c r="C1943" s="1">
        <f t="shared" si="564"/>
        <v>3.2750380063029327E-2</v>
      </c>
      <c r="D1943">
        <v>15.901515151515</v>
      </c>
      <c r="E1943">
        <v>0.23687154812999001</v>
      </c>
      <c r="F1943">
        <v>28</v>
      </c>
    </row>
    <row r="1944" spans="1:9" x14ac:dyDescent="0.25">
      <c r="A1944">
        <v>1615.3700642792001</v>
      </c>
      <c r="B1944">
        <v>1668.4664830119</v>
      </c>
      <c r="C1944" s="1">
        <f t="shared" si="564"/>
        <v>3.2869507679277321E-2</v>
      </c>
      <c r="D1944">
        <v>15.564393939394</v>
      </c>
      <c r="E1944">
        <v>0.23010096476339001</v>
      </c>
      <c r="F1944">
        <v>28</v>
      </c>
    </row>
    <row r="1945" spans="1:9" x14ac:dyDescent="0.25">
      <c r="A1945">
        <v>1599.0266299356999</v>
      </c>
      <c r="B1945">
        <v>1655.4031221304001</v>
      </c>
      <c r="C1945" s="1">
        <f t="shared" si="564"/>
        <v>3.5256756291148994E-2</v>
      </c>
      <c r="D1945">
        <v>15.731060606061</v>
      </c>
      <c r="E1945">
        <v>0.23626301281654999</v>
      </c>
      <c r="F1945">
        <v>29</v>
      </c>
    </row>
    <row r="1946" spans="1:9" x14ac:dyDescent="0.25">
      <c r="A1946">
        <v>1597.7428833792001</v>
      </c>
      <c r="B1946">
        <v>1648.9807162534</v>
      </c>
      <c r="C1946" s="1">
        <f t="shared" si="564"/>
        <v>3.2068885054792329E-2</v>
      </c>
      <c r="D1946">
        <v>15.924242424241999</v>
      </c>
      <c r="E1946">
        <v>0.23985187544921999</v>
      </c>
      <c r="F1946">
        <v>28</v>
      </c>
    </row>
    <row r="1947" spans="1:9" x14ac:dyDescent="0.25">
      <c r="A1947">
        <v>1609.9118457300001</v>
      </c>
      <c r="B1947">
        <v>1668.7382920110001</v>
      </c>
      <c r="C1947" s="1">
        <f t="shared" si="564"/>
        <v>3.6540166119670703E-2</v>
      </c>
      <c r="D1947">
        <v>16.045454545455001</v>
      </c>
      <c r="E1947">
        <v>0.23995069698075</v>
      </c>
      <c r="F1947">
        <v>28</v>
      </c>
    </row>
    <row r="1948" spans="1:9" x14ac:dyDescent="0.25">
      <c r="A1948">
        <v>1630.2167125803001</v>
      </c>
      <c r="B1948">
        <v>1683.5629017447</v>
      </c>
      <c r="C1948" s="1">
        <f t="shared" si="564"/>
        <v>3.2723372759419167E-2</v>
      </c>
      <c r="D1948">
        <v>16.117424242424001</v>
      </c>
      <c r="E1948">
        <v>0.23761174401978999</v>
      </c>
      <c r="F1948">
        <v>28</v>
      </c>
      <c r="H1948" t="s">
        <v>17</v>
      </c>
      <c r="I1948">
        <f t="shared" ref="I1948" si="571">STDEVP(A1934:A1953)</f>
        <v>9.8681319823756652</v>
      </c>
    </row>
    <row r="1949" spans="1:9" x14ac:dyDescent="0.25">
      <c r="A1949">
        <v>1620.3452708907</v>
      </c>
      <c r="B1949">
        <v>1681.4912764003</v>
      </c>
      <c r="C1949" s="1">
        <f t="shared" si="564"/>
        <v>3.7736405078646174E-2</v>
      </c>
      <c r="D1949">
        <v>15.905303030302999</v>
      </c>
      <c r="E1949">
        <v>0.23569104417667</v>
      </c>
      <c r="F1949">
        <v>29</v>
      </c>
      <c r="H1949" t="s">
        <v>18</v>
      </c>
      <c r="I1949">
        <f t="shared" ref="I1949" si="572">STDEVP(B1934:B1953)</f>
        <v>10.419827554937784</v>
      </c>
    </row>
    <row r="1950" spans="1:9" x14ac:dyDescent="0.25">
      <c r="A1950">
        <v>1605.8696051423001</v>
      </c>
      <c r="B1950">
        <v>1674.662993572</v>
      </c>
      <c r="C1950" s="1">
        <f t="shared" si="564"/>
        <v>4.2838713809272289E-2</v>
      </c>
      <c r="D1950">
        <v>15.515151515152001</v>
      </c>
      <c r="E1950">
        <v>0.23093877420771</v>
      </c>
      <c r="F1950">
        <v>28</v>
      </c>
      <c r="H1950" t="s">
        <v>19</v>
      </c>
      <c r="I1950">
        <f t="shared" ref="I1950" si="573">STDEVP(C1934:C1953)</f>
        <v>4.750371554544836E-3</v>
      </c>
    </row>
    <row r="1951" spans="1:9" x14ac:dyDescent="0.25">
      <c r="A1951">
        <v>1610.826446281</v>
      </c>
      <c r="B1951">
        <v>1683.6932966024001</v>
      </c>
      <c r="C1951" s="1">
        <f t="shared" si="564"/>
        <v>4.5235692826891105E-2</v>
      </c>
      <c r="D1951">
        <v>15.511363636364001</v>
      </c>
      <c r="E1951">
        <v>0.23007878029925999</v>
      </c>
      <c r="F1951">
        <v>28</v>
      </c>
      <c r="H1951" t="s">
        <v>20</v>
      </c>
      <c r="I1951">
        <f t="shared" ref="I1951" si="574">STDEVP(D1934:D1953)</f>
        <v>0.18152359341922372</v>
      </c>
    </row>
    <row r="1952" spans="1:9" x14ac:dyDescent="0.25">
      <c r="A1952">
        <v>1600.0036730945999</v>
      </c>
      <c r="B1952">
        <v>1670.4811753902</v>
      </c>
      <c r="C1952" s="1">
        <f t="shared" si="564"/>
        <v>4.4048337813680227E-2</v>
      </c>
      <c r="D1952">
        <v>15.643939393939</v>
      </c>
      <c r="E1952">
        <v>0.23465897609445999</v>
      </c>
      <c r="F1952">
        <v>28</v>
      </c>
      <c r="H1952" t="s">
        <v>21</v>
      </c>
      <c r="I1952">
        <f t="shared" ref="I1952" si="575">STDEVP(E1934:E1953)</f>
        <v>3.0698799407285478E-3</v>
      </c>
    </row>
    <row r="1953" spans="1:9" x14ac:dyDescent="0.25">
      <c r="A1953">
        <v>1603.8879706151999</v>
      </c>
      <c r="B1953">
        <v>1668.2332415059</v>
      </c>
      <c r="C1953" s="1">
        <f t="shared" si="564"/>
        <v>4.0118307556118893E-2</v>
      </c>
      <c r="D1953">
        <v>15.609848484847999</v>
      </c>
      <c r="E1953">
        <v>0.23312970156341001</v>
      </c>
      <c r="F1953">
        <v>29</v>
      </c>
      <c r="H1953" t="s">
        <v>22</v>
      </c>
      <c r="I1953">
        <f t="shared" ref="I1953" si="576">STDEVP(F1934:F1953)</f>
        <v>0.4330127018922193</v>
      </c>
    </row>
    <row r="1954" spans="1:9" x14ac:dyDescent="0.25">
      <c r="C1954" s="1" t="str">
        <f t="shared" si="564"/>
        <v/>
      </c>
    </row>
    <row r="1955" spans="1:9" x14ac:dyDescent="0.25">
      <c r="A1955">
        <v>880.79501385041999</v>
      </c>
      <c r="B1955">
        <v>907.15789473683003</v>
      </c>
      <c r="C1955" s="1">
        <f t="shared" si="564"/>
        <v>2.9930778980189698E-2</v>
      </c>
      <c r="D1955">
        <v>9.1948790896159007</v>
      </c>
      <c r="E1955">
        <v>0.25561225112788999</v>
      </c>
      <c r="F1955">
        <v>18</v>
      </c>
    </row>
    <row r="1956" spans="1:9" x14ac:dyDescent="0.25">
      <c r="A1956">
        <v>878.58171745152003</v>
      </c>
      <c r="B1956">
        <v>919.79224376729996</v>
      </c>
      <c r="C1956" s="1">
        <f t="shared" si="564"/>
        <v>4.690574080612353E-2</v>
      </c>
      <c r="D1956">
        <v>9.2460881934566004</v>
      </c>
      <c r="E1956">
        <v>0.25857682667433002</v>
      </c>
      <c r="F1956">
        <v>19</v>
      </c>
    </row>
    <row r="1957" spans="1:9" x14ac:dyDescent="0.25">
      <c r="A1957">
        <v>880.18559556787</v>
      </c>
      <c r="B1957">
        <v>913.53739612186996</v>
      </c>
      <c r="C1957" s="1">
        <f t="shared" si="564"/>
        <v>3.7891781826402626E-2</v>
      </c>
      <c r="D1957">
        <v>9.2716927453770008</v>
      </c>
      <c r="E1957">
        <v>0.25867336843312999</v>
      </c>
      <c r="F1957">
        <v>18</v>
      </c>
    </row>
    <row r="1958" spans="1:9" x14ac:dyDescent="0.25">
      <c r="A1958">
        <v>880.63434903047005</v>
      </c>
      <c r="B1958">
        <v>916.79224376729996</v>
      </c>
      <c r="C1958" s="1">
        <f t="shared" si="564"/>
        <v>4.1058919376285807E-2</v>
      </c>
      <c r="D1958">
        <v>9.2460881934566004</v>
      </c>
      <c r="E1958">
        <v>0.25751950742365998</v>
      </c>
      <c r="F1958">
        <v>19</v>
      </c>
    </row>
    <row r="1959" spans="1:9" x14ac:dyDescent="0.25">
      <c r="A1959">
        <v>885.11634349029998</v>
      </c>
      <c r="B1959">
        <v>912.92243767312004</v>
      </c>
      <c r="C1959" s="1">
        <f t="shared" si="564"/>
        <v>3.1415185571166404E-2</v>
      </c>
      <c r="D1959">
        <v>9.3086770981508007</v>
      </c>
      <c r="E1959">
        <v>0.25816981451537002</v>
      </c>
      <c r="F1959">
        <v>19</v>
      </c>
    </row>
    <row r="1960" spans="1:9" x14ac:dyDescent="0.25">
      <c r="A1960">
        <v>888.60110803324005</v>
      </c>
      <c r="B1960">
        <v>913.09141274237004</v>
      </c>
      <c r="C1960" s="1">
        <f t="shared" si="564"/>
        <v>2.7560515610131286E-2</v>
      </c>
      <c r="D1960">
        <v>9.4281650071123995</v>
      </c>
      <c r="E1960">
        <v>0.26102401323569002</v>
      </c>
      <c r="F1960">
        <v>18</v>
      </c>
    </row>
    <row r="1961" spans="1:9" x14ac:dyDescent="0.25">
      <c r="A1961">
        <v>890.88365650970002</v>
      </c>
      <c r="B1961">
        <v>917.03047091411997</v>
      </c>
      <c r="C1961" s="1">
        <f t="shared" si="564"/>
        <v>2.9349303035659968E-2</v>
      </c>
      <c r="D1961">
        <v>9.2859174964437994</v>
      </c>
      <c r="E1961">
        <v>0.2553304068269</v>
      </c>
      <c r="F1961">
        <v>19</v>
      </c>
    </row>
    <row r="1962" spans="1:9" x14ac:dyDescent="0.25">
      <c r="A1962">
        <v>875</v>
      </c>
      <c r="B1962">
        <v>921.00831024930005</v>
      </c>
      <c r="C1962" s="1">
        <f t="shared" si="564"/>
        <v>5.2580925999200057E-2</v>
      </c>
      <c r="D1962">
        <v>9.2432432432431995</v>
      </c>
      <c r="E1962">
        <v>0.25954464572302999</v>
      </c>
      <c r="F1962">
        <v>18</v>
      </c>
    </row>
    <row r="1963" spans="1:9" x14ac:dyDescent="0.25">
      <c r="A1963">
        <v>877.52354570636999</v>
      </c>
      <c r="B1963">
        <v>914.50138504153995</v>
      </c>
      <c r="C1963" s="1">
        <f t="shared" si="564"/>
        <v>4.2138857146453379E-2</v>
      </c>
      <c r="D1963">
        <v>9.2944523470838991</v>
      </c>
      <c r="E1963">
        <v>0.26009198624987001</v>
      </c>
      <c r="F1963">
        <v>19</v>
      </c>
    </row>
    <row r="1964" spans="1:9" x14ac:dyDescent="0.25">
      <c r="A1964">
        <v>889.27977839334994</v>
      </c>
      <c r="B1964">
        <v>920.38781163433998</v>
      </c>
      <c r="C1964" s="1">
        <f t="shared" si="564"/>
        <v>3.4981154409237325E-2</v>
      </c>
      <c r="D1964">
        <v>9.4765291607397</v>
      </c>
      <c r="E1964">
        <v>0.26252362944821001</v>
      </c>
      <c r="F1964">
        <v>19</v>
      </c>
    </row>
    <row r="1965" spans="1:9" x14ac:dyDescent="0.25">
      <c r="A1965">
        <v>880.60664819944998</v>
      </c>
      <c r="B1965">
        <v>916.29916897505996</v>
      </c>
      <c r="C1965" s="1">
        <f t="shared" si="564"/>
        <v>4.0531741213388983E-2</v>
      </c>
      <c r="D1965">
        <v>9.2176386913229003</v>
      </c>
      <c r="E1965">
        <v>0.25653954787997002</v>
      </c>
      <c r="F1965">
        <v>18</v>
      </c>
    </row>
    <row r="1966" spans="1:9" x14ac:dyDescent="0.25">
      <c r="A1966">
        <v>879.65650969528997</v>
      </c>
      <c r="B1966">
        <v>909.09972299167998</v>
      </c>
      <c r="C1966" s="1">
        <f t="shared" si="564"/>
        <v>3.3471261761695015E-2</v>
      </c>
      <c r="D1966">
        <v>9.3769559032716998</v>
      </c>
      <c r="E1966">
        <v>0.26258347499871998</v>
      </c>
      <c r="F1966">
        <v>19</v>
      </c>
    </row>
    <row r="1967" spans="1:9" x14ac:dyDescent="0.25">
      <c r="A1967">
        <v>875.46260387812004</v>
      </c>
      <c r="B1967">
        <v>914.67590027699998</v>
      </c>
      <c r="C1967" s="1">
        <f t="shared" si="564"/>
        <v>4.4791515051783026E-2</v>
      </c>
      <c r="D1967">
        <v>9.4480796586059999</v>
      </c>
      <c r="E1967">
        <v>0.26663407744033002</v>
      </c>
      <c r="F1967">
        <v>19</v>
      </c>
    </row>
    <row r="1968" spans="1:9" x14ac:dyDescent="0.25">
      <c r="A1968">
        <v>886.47368421053</v>
      </c>
      <c r="B1968">
        <v>924.07479224376004</v>
      </c>
      <c r="C1968" s="1">
        <f t="shared" si="564"/>
        <v>4.241649662360425E-2</v>
      </c>
      <c r="D1968">
        <v>9.3513513513512994</v>
      </c>
      <c r="E1968">
        <v>0.25936403564006</v>
      </c>
      <c r="F1968">
        <v>18</v>
      </c>
    </row>
    <row r="1969" spans="1:9" x14ac:dyDescent="0.25">
      <c r="A1969">
        <v>883.71468144044002</v>
      </c>
      <c r="B1969">
        <v>912.10249307478</v>
      </c>
      <c r="C1969" s="1">
        <f t="shared" si="564"/>
        <v>3.212327715102381E-2</v>
      </c>
      <c r="D1969">
        <v>9.3826458036984004</v>
      </c>
      <c r="E1969">
        <v>0.26126600499150998</v>
      </c>
      <c r="F1969">
        <v>19</v>
      </c>
      <c r="H1969" t="s">
        <v>17</v>
      </c>
      <c r="I1969">
        <f t="shared" ref="I1969" si="577">STDEVP(A1955:A1974)</f>
        <v>4.7212587518671896</v>
      </c>
    </row>
    <row r="1970" spans="1:9" x14ac:dyDescent="0.25">
      <c r="A1970">
        <v>887.08310249307999</v>
      </c>
      <c r="B1970">
        <v>921.68421052631004</v>
      </c>
      <c r="C1970" s="1">
        <f t="shared" si="564"/>
        <v>3.9005486561502822E-2</v>
      </c>
      <c r="D1970">
        <v>9.1664295874822006</v>
      </c>
      <c r="E1970">
        <v>0.25257916129399</v>
      </c>
      <c r="F1970">
        <v>18</v>
      </c>
      <c r="H1970" t="s">
        <v>18</v>
      </c>
      <c r="I1970">
        <f t="shared" ref="I1970" si="578">STDEVP(B1955:B1974)</f>
        <v>4.2019775257931364</v>
      </c>
    </row>
    <row r="1971" spans="1:9" x14ac:dyDescent="0.25">
      <c r="A1971">
        <v>883.13296398891998</v>
      </c>
      <c r="B1971">
        <v>918.20221606646999</v>
      </c>
      <c r="C1971" s="1">
        <f t="shared" si="564"/>
        <v>3.9710047645769908E-2</v>
      </c>
      <c r="D1971">
        <v>9.4338549075391001</v>
      </c>
      <c r="E1971">
        <v>0.26348343404330998</v>
      </c>
      <c r="F1971">
        <v>19</v>
      </c>
      <c r="H1971" t="s">
        <v>19</v>
      </c>
      <c r="I1971">
        <f t="shared" ref="I1971" si="579">STDEVP(C1955:C1974)</f>
        <v>6.3660647529267447E-3</v>
      </c>
    </row>
    <row r="1972" spans="1:9" x14ac:dyDescent="0.25">
      <c r="A1972">
        <v>883.61218836565001</v>
      </c>
      <c r="B1972">
        <v>918.63434903046004</v>
      </c>
      <c r="C1972" s="1">
        <f t="shared" si="564"/>
        <v>3.9635216813371343E-2</v>
      </c>
      <c r="D1972">
        <v>9.3314366998578002</v>
      </c>
      <c r="E1972">
        <v>0.25961571374532999</v>
      </c>
      <c r="F1972">
        <v>19</v>
      </c>
      <c r="H1972" t="s">
        <v>20</v>
      </c>
      <c r="I1972">
        <f t="shared" ref="I1972" si="580">STDEVP(D1955:D1974)</f>
        <v>9.4490364934405657E-2</v>
      </c>
    </row>
    <row r="1973" spans="1:9" x14ac:dyDescent="0.25">
      <c r="A1973">
        <v>889.36011080332003</v>
      </c>
      <c r="B1973">
        <v>916.68144044320002</v>
      </c>
      <c r="C1973" s="1">
        <f t="shared" si="564"/>
        <v>3.072021030401495E-2</v>
      </c>
      <c r="D1973">
        <v>9.3968705547653002</v>
      </c>
      <c r="E1973">
        <v>0.25970601396679999</v>
      </c>
      <c r="F1973">
        <v>18</v>
      </c>
      <c r="H1973" t="s">
        <v>21</v>
      </c>
      <c r="I1973">
        <f t="shared" ref="I1973" si="581">STDEVP(E1955:E1974)</f>
        <v>3.5077527121977997E-3</v>
      </c>
    </row>
    <row r="1974" spans="1:9" x14ac:dyDescent="0.25">
      <c r="A1974">
        <v>888.80332409972004</v>
      </c>
      <c r="B1974">
        <v>920.11357340718996</v>
      </c>
      <c r="C1974" s="1">
        <f t="shared" si="564"/>
        <v>3.5227421476156762E-2</v>
      </c>
      <c r="D1974">
        <v>9.1493598862019994</v>
      </c>
      <c r="E1974">
        <v>0.25156119456115</v>
      </c>
      <c r="F1974">
        <v>19</v>
      </c>
      <c r="H1974" t="s">
        <v>22</v>
      </c>
      <c r="I1974">
        <f t="shared" ref="I1974" si="582">STDEVP(F1955:F1974)</f>
        <v>0.48989794855663565</v>
      </c>
    </row>
    <row r="1975" spans="1:9" x14ac:dyDescent="0.25">
      <c r="C1975" s="1" t="str">
        <f t="shared" si="564"/>
        <v/>
      </c>
    </row>
    <row r="1976" spans="1:9" x14ac:dyDescent="0.25">
      <c r="A1976">
        <v>800.51597633135998</v>
      </c>
      <c r="B1976">
        <v>827.71597633135002</v>
      </c>
      <c r="C1976" s="1">
        <f t="shared" si="564"/>
        <v>3.3978085140340841E-2</v>
      </c>
      <c r="D1976">
        <v>10.635576923077</v>
      </c>
      <c r="E1976">
        <v>0.35540956606974999</v>
      </c>
      <c r="F1976">
        <v>20</v>
      </c>
    </row>
    <row r="1977" spans="1:9" x14ac:dyDescent="0.25">
      <c r="A1977">
        <v>797.27100591715998</v>
      </c>
      <c r="B1977">
        <v>819.91952662720996</v>
      </c>
      <c r="C1977" s="1">
        <f t="shared" si="564"/>
        <v>2.8407555952691066E-2</v>
      </c>
      <c r="D1977">
        <v>10.394230769230999</v>
      </c>
      <c r="E1977">
        <v>0.34651249970120002</v>
      </c>
      <c r="F1977">
        <v>21</v>
      </c>
    </row>
    <row r="1978" spans="1:9" x14ac:dyDescent="0.25">
      <c r="A1978">
        <v>798.38816568047002</v>
      </c>
      <c r="B1978">
        <v>828.58461538460006</v>
      </c>
      <c r="C1978" s="1">
        <f t="shared" si="564"/>
        <v>3.7821765154038234E-2</v>
      </c>
      <c r="D1978">
        <v>10.638461538462</v>
      </c>
      <c r="E1978">
        <v>0.35753011355075998</v>
      </c>
      <c r="F1978">
        <v>21</v>
      </c>
    </row>
    <row r="1979" spans="1:9" x14ac:dyDescent="0.25">
      <c r="A1979">
        <v>807.33491124260001</v>
      </c>
      <c r="B1979">
        <v>831.77278106507003</v>
      </c>
      <c r="C1979" s="1">
        <f t="shared" si="564"/>
        <v>3.0269804367628161E-2</v>
      </c>
      <c r="D1979">
        <v>10.561538461537999</v>
      </c>
      <c r="E1979">
        <v>0.34863523244956002</v>
      </c>
      <c r="F1979">
        <v>20</v>
      </c>
    </row>
    <row r="1980" spans="1:9" x14ac:dyDescent="0.25">
      <c r="A1980">
        <v>795.67573964497001</v>
      </c>
      <c r="B1980">
        <v>827.80828402365</v>
      </c>
      <c r="C1980" s="1">
        <f t="shared" si="564"/>
        <v>4.0383968968335626E-2</v>
      </c>
      <c r="D1980">
        <v>10.516346153845999</v>
      </c>
      <c r="E1980">
        <v>0.35309242136965002</v>
      </c>
      <c r="F1980">
        <v>20</v>
      </c>
    </row>
    <row r="1981" spans="1:9" x14ac:dyDescent="0.25">
      <c r="A1981">
        <v>807.80355029585996</v>
      </c>
      <c r="B1981">
        <v>833.97396449703001</v>
      </c>
      <c r="C1981" s="1">
        <f t="shared" si="564"/>
        <v>3.2397003196612761E-2</v>
      </c>
      <c r="D1981">
        <v>10.900961538461999</v>
      </c>
      <c r="E1981">
        <v>0.36371889004607999</v>
      </c>
      <c r="F1981">
        <v>20</v>
      </c>
    </row>
    <row r="1982" spans="1:9" x14ac:dyDescent="0.25">
      <c r="A1982">
        <v>801.77988165680995</v>
      </c>
      <c r="B1982">
        <v>823.23313609466004</v>
      </c>
      <c r="C1982" s="1">
        <f t="shared" si="564"/>
        <v>2.6757037596801148E-2</v>
      </c>
      <c r="D1982">
        <v>10.602884615384999</v>
      </c>
      <c r="E1982">
        <v>0.35354831188016</v>
      </c>
      <c r="F1982">
        <v>20</v>
      </c>
    </row>
    <row r="1983" spans="1:9" x14ac:dyDescent="0.25">
      <c r="A1983">
        <v>796.68639053254003</v>
      </c>
      <c r="B1983">
        <v>830.54674556211</v>
      </c>
      <c r="C1983" s="1">
        <f t="shared" si="564"/>
        <v>4.2501485442642206E-2</v>
      </c>
      <c r="D1983">
        <v>10.706730769230999</v>
      </c>
      <c r="E1983">
        <v>0.36207698180996001</v>
      </c>
      <c r="F1983">
        <v>21</v>
      </c>
    </row>
    <row r="1984" spans="1:9" x14ac:dyDescent="0.25">
      <c r="A1984">
        <v>797.29467455621</v>
      </c>
      <c r="B1984">
        <v>828.22248520709002</v>
      </c>
      <c r="C1984" s="1">
        <f t="shared" si="564"/>
        <v>3.8790940963070009E-2</v>
      </c>
      <c r="D1984">
        <v>10.554807692308</v>
      </c>
      <c r="E1984">
        <v>0.35423062979888997</v>
      </c>
      <c r="F1984">
        <v>20</v>
      </c>
    </row>
    <row r="1985" spans="1:9" x14ac:dyDescent="0.25">
      <c r="A1985">
        <v>792.58934911243</v>
      </c>
      <c r="B1985">
        <v>825.60473372778995</v>
      </c>
      <c r="C1985" s="1">
        <f t="shared" si="564"/>
        <v>4.1655094977407714E-2</v>
      </c>
      <c r="D1985">
        <v>10.547115384614999</v>
      </c>
      <c r="E1985">
        <v>0.35606137765603002</v>
      </c>
      <c r="F1985">
        <v>20</v>
      </c>
    </row>
    <row r="1986" spans="1:9" x14ac:dyDescent="0.25">
      <c r="A1986">
        <v>804.86863905326004</v>
      </c>
      <c r="B1986">
        <v>834.28875739643001</v>
      </c>
      <c r="C1986" s="1">
        <f t="shared" ref="C1986:C2049" si="583">IFERROR((B1986/A1986)-1,"")</f>
        <v>3.6552695577474426E-2</v>
      </c>
      <c r="D1986">
        <v>10.701923076923</v>
      </c>
      <c r="E1986">
        <v>0.35627991312174001</v>
      </c>
      <c r="F1986">
        <v>20</v>
      </c>
    </row>
    <row r="1987" spans="1:9" x14ac:dyDescent="0.25">
      <c r="A1987">
        <v>800.53964497041</v>
      </c>
      <c r="B1987">
        <v>832.28165680472</v>
      </c>
      <c r="C1987" s="1">
        <f t="shared" si="583"/>
        <v>3.9650768120900848E-2</v>
      </c>
      <c r="D1987">
        <v>10.696153846154001</v>
      </c>
      <c r="E1987">
        <v>0.35844815143545999</v>
      </c>
      <c r="F1987">
        <v>20</v>
      </c>
    </row>
    <row r="1988" spans="1:9" x14ac:dyDescent="0.25">
      <c r="A1988">
        <v>792.06863905324997</v>
      </c>
      <c r="B1988">
        <v>815.21893491123001</v>
      </c>
      <c r="C1988" s="1">
        <f t="shared" si="583"/>
        <v>2.922763851078769E-2</v>
      </c>
      <c r="D1988">
        <v>10.464423076923</v>
      </c>
      <c r="E1988">
        <v>0.35279845183711001</v>
      </c>
      <c r="F1988">
        <v>21</v>
      </c>
    </row>
    <row r="1989" spans="1:9" x14ac:dyDescent="0.25">
      <c r="A1989">
        <v>795.78461538462</v>
      </c>
      <c r="B1989">
        <v>827.88639053252996</v>
      </c>
      <c r="C1989" s="1">
        <f t="shared" si="583"/>
        <v>4.0339778537179294E-2</v>
      </c>
      <c r="D1989">
        <v>10.512499999999999</v>
      </c>
      <c r="E1989">
        <v>0.35286136713932997</v>
      </c>
      <c r="F1989">
        <v>20</v>
      </c>
    </row>
    <row r="1990" spans="1:9" x14ac:dyDescent="0.25">
      <c r="A1990">
        <v>790.66982248521003</v>
      </c>
      <c r="B1990">
        <v>824.17751479287995</v>
      </c>
      <c r="C1990" s="1">
        <f t="shared" si="583"/>
        <v>4.2378868340199771E-2</v>
      </c>
      <c r="D1990">
        <v>10.635576923077</v>
      </c>
      <c r="E1990">
        <v>0.36154613841965999</v>
      </c>
      <c r="F1990">
        <v>21</v>
      </c>
      <c r="H1990" t="s">
        <v>17</v>
      </c>
      <c r="I1990">
        <f t="shared" ref="I1990" si="584">STDEVP(A1976:A1995)</f>
        <v>5.0480819612000625</v>
      </c>
    </row>
    <row r="1991" spans="1:9" x14ac:dyDescent="0.25">
      <c r="A1991">
        <v>804.71715976330995</v>
      </c>
      <c r="B1991">
        <v>835.15739644969005</v>
      </c>
      <c r="C1991" s="1">
        <f t="shared" si="583"/>
        <v>3.7827249384533301E-2</v>
      </c>
      <c r="D1991">
        <v>10.756730769231</v>
      </c>
      <c r="E1991">
        <v>0.35848722698486002</v>
      </c>
      <c r="F1991">
        <v>20</v>
      </c>
      <c r="H1991" t="s">
        <v>18</v>
      </c>
      <c r="I1991">
        <f t="shared" ref="I1991" si="585">STDEVP(B1976:B1995)</f>
        <v>4.9846031049472854</v>
      </c>
    </row>
    <row r="1992" spans="1:9" x14ac:dyDescent="0.25">
      <c r="A1992">
        <v>796.66745562129995</v>
      </c>
      <c r="B1992">
        <v>832.79053254435996</v>
      </c>
      <c r="C1992" s="1">
        <f t="shared" si="583"/>
        <v>4.5342729476615329E-2</v>
      </c>
      <c r="D1992">
        <v>10.543269230769001</v>
      </c>
      <c r="E1992">
        <v>0.35415493861696001</v>
      </c>
      <c r="F1992">
        <v>21</v>
      </c>
      <c r="H1992" t="s">
        <v>19</v>
      </c>
      <c r="I1992">
        <f t="shared" ref="I1992" si="586">STDEVP(C1976:C1995)</f>
        <v>5.7979128523835662E-3</v>
      </c>
    </row>
    <row r="1993" spans="1:9" x14ac:dyDescent="0.25">
      <c r="A1993">
        <v>802.22721893490996</v>
      </c>
      <c r="B1993">
        <v>822.87100591715</v>
      </c>
      <c r="C1993" s="1">
        <f t="shared" si="583"/>
        <v>2.5733092190075579E-2</v>
      </c>
      <c r="D1993">
        <v>10.611538461538</v>
      </c>
      <c r="E1993">
        <v>0.35368904001154999</v>
      </c>
      <c r="F1993">
        <v>21</v>
      </c>
      <c r="H1993" t="s">
        <v>20</v>
      </c>
      <c r="I1993">
        <f t="shared" ref="I1993" si="587">STDEVP(D1976:D1995)</f>
        <v>0.11099965183333144</v>
      </c>
    </row>
    <row r="1994" spans="1:9" x14ac:dyDescent="0.25">
      <c r="A1994">
        <v>795.97159763314005</v>
      </c>
      <c r="B1994">
        <v>827.91715976329999</v>
      </c>
      <c r="C1994" s="1">
        <f t="shared" si="583"/>
        <v>4.0134047779030846E-2</v>
      </c>
      <c r="D1994">
        <v>10.542307692308</v>
      </c>
      <c r="E1994">
        <v>0.35395071718108001</v>
      </c>
      <c r="F1994">
        <v>22</v>
      </c>
      <c r="H1994" t="s">
        <v>21</v>
      </c>
      <c r="I1994">
        <f t="shared" ref="I1994" si="588">STDEVP(E1976:E1995)</f>
        <v>4.569964843616596E-3</v>
      </c>
    </row>
    <row r="1995" spans="1:9" x14ac:dyDescent="0.25">
      <c r="A1995">
        <v>790.49940828401998</v>
      </c>
      <c r="B1995">
        <v>824.62958579880001</v>
      </c>
      <c r="C1995" s="1">
        <f t="shared" si="583"/>
        <v>4.3175462444517532E-2</v>
      </c>
      <c r="D1995">
        <v>10.701923076923</v>
      </c>
      <c r="E1995">
        <v>0.36498733498176</v>
      </c>
      <c r="F1995">
        <v>20</v>
      </c>
      <c r="H1995" t="s">
        <v>22</v>
      </c>
      <c r="I1995">
        <f t="shared" ref="I1995" si="589">STDEVP(F1976:F1995)</f>
        <v>0.58949130612757972</v>
      </c>
    </row>
    <row r="1996" spans="1:9" x14ac:dyDescent="0.25">
      <c r="C1996" s="1" t="str">
        <f t="shared" si="583"/>
        <v/>
      </c>
    </row>
    <row r="1997" spans="1:9" x14ac:dyDescent="0.25">
      <c r="A1997">
        <v>2413.2602670698002</v>
      </c>
      <c r="B1997">
        <v>2481.5308641974998</v>
      </c>
      <c r="C1997" s="1">
        <f t="shared" si="583"/>
        <v>2.828977796522314E-2</v>
      </c>
      <c r="D1997">
        <v>17.891449052738999</v>
      </c>
      <c r="E1997">
        <v>0.17094140770294</v>
      </c>
      <c r="F1997">
        <v>125</v>
      </c>
    </row>
    <row r="1998" spans="1:9" x14ac:dyDescent="0.25">
      <c r="A1998">
        <v>2426.3003275383999</v>
      </c>
      <c r="B1998">
        <v>2475.7117661879001</v>
      </c>
      <c r="C1998" s="1">
        <f t="shared" si="583"/>
        <v>2.0364930956272342E-2</v>
      </c>
      <c r="D1998">
        <v>18.060419866871001</v>
      </c>
      <c r="E1998">
        <v>0.17171064344989001</v>
      </c>
      <c r="F1998">
        <v>160</v>
      </c>
    </row>
    <row r="1999" spans="1:9" x14ac:dyDescent="0.25">
      <c r="A1999">
        <v>2433.1005291004999</v>
      </c>
      <c r="B1999">
        <v>2497.9551524313001</v>
      </c>
      <c r="C1999" s="1">
        <f t="shared" si="583"/>
        <v>2.6655135106471217E-2</v>
      </c>
      <c r="D1999">
        <v>18.107526881719998</v>
      </c>
      <c r="E1999">
        <v>0.17173820166831</v>
      </c>
      <c r="F1999">
        <v>150</v>
      </c>
    </row>
    <row r="2000" spans="1:9" x14ac:dyDescent="0.25">
      <c r="A2000">
        <v>2437.7233560090999</v>
      </c>
      <c r="B2000">
        <v>2486.6596119929</v>
      </c>
      <c r="C2000" s="1">
        <f t="shared" si="583"/>
        <v>2.0074573213227698E-2</v>
      </c>
      <c r="D2000">
        <v>18.184331797235</v>
      </c>
      <c r="E2000">
        <v>0.17220700698606001</v>
      </c>
      <c r="F2000">
        <v>132</v>
      </c>
    </row>
    <row r="2001" spans="1:9" x14ac:dyDescent="0.25">
      <c r="A2001">
        <v>2443.4235323758999</v>
      </c>
      <c r="B2001">
        <v>2489.3807004282999</v>
      </c>
      <c r="C2001" s="1">
        <f t="shared" si="583"/>
        <v>1.8808514955944933E-2</v>
      </c>
      <c r="D2001">
        <v>18.241679467486001</v>
      </c>
      <c r="E2001">
        <v>0.17235095794031</v>
      </c>
      <c r="F2001">
        <v>127</v>
      </c>
    </row>
    <row r="2002" spans="1:9" x14ac:dyDescent="0.25">
      <c r="A2002">
        <v>2437.7304106828001</v>
      </c>
      <c r="B2002">
        <v>2500.6807760141</v>
      </c>
      <c r="C2002" s="1">
        <f t="shared" si="583"/>
        <v>2.5823349889485092E-2</v>
      </c>
      <c r="D2002">
        <v>18.155657962109998</v>
      </c>
      <c r="E2002">
        <v>0.17188994814506001</v>
      </c>
      <c r="F2002">
        <v>135</v>
      </c>
    </row>
    <row r="2003" spans="1:9" x14ac:dyDescent="0.25">
      <c r="A2003">
        <v>2426.2378432854998</v>
      </c>
      <c r="B2003">
        <v>2483.2839506171999</v>
      </c>
      <c r="C2003" s="1">
        <f t="shared" si="583"/>
        <v>2.3512166166879567E-2</v>
      </c>
      <c r="D2003">
        <v>17.973374295955001</v>
      </c>
      <c r="E2003">
        <v>0.17078139203890999</v>
      </c>
      <c r="F2003">
        <v>170</v>
      </c>
    </row>
    <row r="2004" spans="1:9" x14ac:dyDescent="0.25">
      <c r="A2004">
        <v>2433.1549508692001</v>
      </c>
      <c r="B2004">
        <v>2487.6412194507002</v>
      </c>
      <c r="C2004" s="1">
        <f t="shared" si="583"/>
        <v>2.2393258827201334E-2</v>
      </c>
      <c r="D2004">
        <v>18.052227342550001</v>
      </c>
      <c r="E2004">
        <v>0.17123749121219001</v>
      </c>
      <c r="F2004">
        <v>151</v>
      </c>
    </row>
    <row r="2005" spans="1:9" x14ac:dyDescent="0.25">
      <c r="A2005">
        <v>2420.1209372638</v>
      </c>
      <c r="B2005">
        <v>2473.7863441672998</v>
      </c>
      <c r="C2005" s="1">
        <f t="shared" si="583"/>
        <v>2.2174679817519527E-2</v>
      </c>
      <c r="D2005">
        <v>17.941628264209001</v>
      </c>
      <c r="E2005">
        <v>0.17096677878083999</v>
      </c>
      <c r="F2005">
        <v>123</v>
      </c>
    </row>
    <row r="2006" spans="1:9" x14ac:dyDescent="0.25">
      <c r="A2006">
        <v>2422.7236079617001</v>
      </c>
      <c r="B2006">
        <v>2480.5558075080999</v>
      </c>
      <c r="C2006" s="1">
        <f t="shared" si="583"/>
        <v>2.3870737609667181E-2</v>
      </c>
      <c r="D2006">
        <v>17.759344598054</v>
      </c>
      <c r="E2006">
        <v>0.16875017532848999</v>
      </c>
      <c r="F2006">
        <v>151</v>
      </c>
    </row>
    <row r="2007" spans="1:9" x14ac:dyDescent="0.25">
      <c r="A2007">
        <v>2439.7203325774999</v>
      </c>
      <c r="B2007">
        <v>2475.8185941042998</v>
      </c>
      <c r="C2007" s="1">
        <f t="shared" si="583"/>
        <v>1.479606537060052E-2</v>
      </c>
      <c r="D2007">
        <v>18.316436251919999</v>
      </c>
      <c r="E2007">
        <v>0.17350846021194999</v>
      </c>
      <c r="F2007">
        <v>146</v>
      </c>
    </row>
    <row r="2008" spans="1:9" x14ac:dyDescent="0.25">
      <c r="A2008">
        <v>2447.8054925674001</v>
      </c>
      <c r="B2008">
        <v>2491.5736961450998</v>
      </c>
      <c r="C2008" s="1">
        <f t="shared" si="583"/>
        <v>1.7880588841964418E-2</v>
      </c>
      <c r="D2008">
        <v>18.219150025602001</v>
      </c>
      <c r="E2008">
        <v>0.17177708176490999</v>
      </c>
      <c r="F2008">
        <v>155</v>
      </c>
    </row>
    <row r="2009" spans="1:9" x14ac:dyDescent="0.25">
      <c r="A2009">
        <v>2436.5764676241001</v>
      </c>
      <c r="B2009">
        <v>2482.9972285210001</v>
      </c>
      <c r="C2009" s="1">
        <f t="shared" si="583"/>
        <v>1.9051633106415444E-2</v>
      </c>
      <c r="D2009">
        <v>18.338965693803999</v>
      </c>
      <c r="E2009">
        <v>0.17407022047163001</v>
      </c>
      <c r="F2009">
        <v>139</v>
      </c>
    </row>
    <row r="2010" spans="1:9" x14ac:dyDescent="0.25">
      <c r="A2010">
        <v>2419.9062736206001</v>
      </c>
      <c r="B2010">
        <v>2480.9211388259</v>
      </c>
      <c r="C2010" s="1">
        <f t="shared" si="583"/>
        <v>2.5213730742559282E-2</v>
      </c>
      <c r="D2010">
        <v>17.772657450076998</v>
      </c>
      <c r="E2010">
        <v>0.16909408880724999</v>
      </c>
      <c r="F2010">
        <v>150</v>
      </c>
    </row>
    <row r="2011" spans="1:9" x14ac:dyDescent="0.25">
      <c r="A2011">
        <v>2424.8984630888999</v>
      </c>
      <c r="B2011">
        <v>2472.2141597379</v>
      </c>
      <c r="C2011" s="1">
        <f t="shared" si="583"/>
        <v>1.9512444487563396E-2</v>
      </c>
      <c r="D2011">
        <v>17.785970302098999</v>
      </c>
      <c r="E2011">
        <v>0.16881596135911001</v>
      </c>
      <c r="F2011">
        <v>136</v>
      </c>
      <c r="H2011" t="s">
        <v>17</v>
      </c>
      <c r="I2011">
        <f t="shared" ref="I2011" si="590">STDEVP(A1997:A2016)</f>
        <v>9.2816480555943031</v>
      </c>
    </row>
    <row r="2012" spans="1:9" x14ac:dyDescent="0.25">
      <c r="A2012">
        <v>2415.2522045854998</v>
      </c>
      <c r="B2012">
        <v>2475.9294532627</v>
      </c>
      <c r="C2012" s="1">
        <f t="shared" si="583"/>
        <v>2.5122531122009129E-2</v>
      </c>
      <c r="D2012">
        <v>18.071684587814001</v>
      </c>
      <c r="E2012">
        <v>0.1728023722997</v>
      </c>
      <c r="F2012">
        <v>130</v>
      </c>
      <c r="H2012" t="s">
        <v>18</v>
      </c>
      <c r="I2012">
        <f t="shared" ref="I2012" si="591">STDEVP(B1997:B2016)</f>
        <v>8.156882348006814</v>
      </c>
    </row>
    <row r="2013" spans="1:9" x14ac:dyDescent="0.25">
      <c r="A2013">
        <v>2426.5154950869</v>
      </c>
      <c r="B2013">
        <v>2484.0151171579</v>
      </c>
      <c r="C2013" s="1">
        <f t="shared" si="583"/>
        <v>2.3696375394026026E-2</v>
      </c>
      <c r="D2013">
        <v>17.895545314900001</v>
      </c>
      <c r="E2013">
        <v>0.16992812217509001</v>
      </c>
      <c r="F2013">
        <v>126</v>
      </c>
      <c r="H2013" t="s">
        <v>19</v>
      </c>
      <c r="I2013">
        <f t="shared" ref="I2013" si="592">STDEVP(C1997:C2016)</f>
        <v>3.3720621278730306E-3</v>
      </c>
    </row>
    <row r="2014" spans="1:9" x14ac:dyDescent="0.25">
      <c r="A2014">
        <v>2421.9012345678998</v>
      </c>
      <c r="B2014">
        <v>2483.9163517257998</v>
      </c>
      <c r="C2014" s="1">
        <f t="shared" si="583"/>
        <v>2.5605964550806437E-2</v>
      </c>
      <c r="D2014">
        <v>18.078853046595</v>
      </c>
      <c r="E2014">
        <v>0.17234300720250001</v>
      </c>
      <c r="F2014">
        <v>139</v>
      </c>
      <c r="H2014" t="s">
        <v>20</v>
      </c>
      <c r="I2014">
        <f t="shared" ref="I2014" si="593">STDEVP(D1997:D2016)</f>
        <v>0.1676218789787246</v>
      </c>
    </row>
    <row r="2015" spans="1:9" x14ac:dyDescent="0.25">
      <c r="A2015">
        <v>2438.2257495591002</v>
      </c>
      <c r="B2015">
        <v>2499.5268329554001</v>
      </c>
      <c r="C2015" s="1">
        <f t="shared" si="583"/>
        <v>2.514167665048439E-2</v>
      </c>
      <c r="D2015">
        <v>18.050179211469999</v>
      </c>
      <c r="E2015">
        <v>0.17069141023751999</v>
      </c>
      <c r="F2015">
        <v>154</v>
      </c>
      <c r="H2015" t="s">
        <v>21</v>
      </c>
      <c r="I2015">
        <f t="shared" ref="I2015" si="594">STDEVP(E1997:E2016)</f>
        <v>1.4177409748841181E-3</v>
      </c>
    </row>
    <row r="2016" spans="1:9" x14ac:dyDescent="0.25">
      <c r="A2016">
        <v>2428.5971277399999</v>
      </c>
      <c r="B2016">
        <v>2477.8992189467999</v>
      </c>
      <c r="C2016" s="1">
        <f t="shared" si="583"/>
        <v>2.0300646263499145E-2</v>
      </c>
      <c r="D2016">
        <v>17.941628264209001</v>
      </c>
      <c r="E2016">
        <v>0.17023312795636</v>
      </c>
      <c r="F2016">
        <v>137</v>
      </c>
      <c r="H2016" t="s">
        <v>22</v>
      </c>
      <c r="I2016">
        <f t="shared" ref="I2016" si="595">STDEVP(F1997:F2016)</f>
        <v>12.706691150728423</v>
      </c>
    </row>
    <row r="2017" spans="1:9" x14ac:dyDescent="0.25">
      <c r="C2017" s="1" t="str">
        <f t="shared" si="583"/>
        <v/>
      </c>
    </row>
    <row r="2018" spans="1:9" x14ac:dyDescent="0.25">
      <c r="A2018">
        <v>576.71136679230005</v>
      </c>
      <c r="B2018">
        <v>598.82999404880002</v>
      </c>
      <c r="C2018" s="1">
        <f t="shared" si="583"/>
        <v>3.8353028100564401E-2</v>
      </c>
      <c r="D2018">
        <v>8.9746478873239006</v>
      </c>
      <c r="E2018">
        <v>0.44588879555040001</v>
      </c>
      <c r="F2018">
        <v>14</v>
      </c>
    </row>
    <row r="2019" spans="1:9" x14ac:dyDescent="0.25">
      <c r="A2019">
        <v>578.89387026383997</v>
      </c>
      <c r="B2019">
        <v>600.06466970839006</v>
      </c>
      <c r="C2019" s="1">
        <f t="shared" si="583"/>
        <v>3.6571123883037737E-2</v>
      </c>
      <c r="D2019">
        <v>9.1267605633802997</v>
      </c>
      <c r="E2019">
        <v>0.45410425872308002</v>
      </c>
      <c r="F2019">
        <v>14</v>
      </c>
    </row>
    <row r="2020" spans="1:9" x14ac:dyDescent="0.25">
      <c r="A2020">
        <v>584.38643126364002</v>
      </c>
      <c r="B2020">
        <v>611.12715731005005</v>
      </c>
      <c r="C2020" s="1">
        <f t="shared" si="583"/>
        <v>4.575863609390729E-2</v>
      </c>
      <c r="D2020">
        <v>9.2853118712273996</v>
      </c>
      <c r="E2020">
        <v>0.45845663242765</v>
      </c>
      <c r="F2020">
        <v>15</v>
      </c>
    </row>
    <row r="2021" spans="1:9" x14ac:dyDescent="0.25">
      <c r="A2021">
        <v>578.37294187660996</v>
      </c>
      <c r="B2021">
        <v>603.21801229914001</v>
      </c>
      <c r="C2021" s="1">
        <f t="shared" si="583"/>
        <v>4.2956833945095863E-2</v>
      </c>
      <c r="D2021">
        <v>8.9046277665995994</v>
      </c>
      <c r="E2021">
        <v>0.43910108443536999</v>
      </c>
      <c r="F2021">
        <v>14</v>
      </c>
    </row>
    <row r="2022" spans="1:9" x14ac:dyDescent="0.25">
      <c r="A2022">
        <v>585.54612180123002</v>
      </c>
      <c r="B2022">
        <v>604.34159888910995</v>
      </c>
      <c r="C2022" s="1">
        <f t="shared" si="583"/>
        <v>3.2099054861916221E-2</v>
      </c>
      <c r="D2022">
        <v>9.1541247484909007</v>
      </c>
      <c r="E2022">
        <v>0.44772777837881</v>
      </c>
      <c r="F2022">
        <v>15</v>
      </c>
    </row>
    <row r="2023" spans="1:9" x14ac:dyDescent="0.25">
      <c r="A2023">
        <v>581.99880975996996</v>
      </c>
      <c r="B2023">
        <v>602.82999404880002</v>
      </c>
      <c r="C2023" s="1">
        <f t="shared" si="583"/>
        <v>3.5792486066116513E-2</v>
      </c>
      <c r="D2023">
        <v>9.1613682092554996</v>
      </c>
      <c r="E2023">
        <v>0.45216134492327997</v>
      </c>
      <c r="F2023">
        <v>14</v>
      </c>
    </row>
    <row r="2024" spans="1:9" x14ac:dyDescent="0.25">
      <c r="A2024">
        <v>577.64530847054004</v>
      </c>
      <c r="B2024">
        <v>603.19817496528003</v>
      </c>
      <c r="C2024" s="1">
        <f t="shared" si="583"/>
        <v>4.4236257301903059E-2</v>
      </c>
      <c r="D2024">
        <v>9.1734406438632003</v>
      </c>
      <c r="E2024">
        <v>0.45826078901766998</v>
      </c>
      <c r="F2024">
        <v>15</v>
      </c>
    </row>
    <row r="2025" spans="1:9" x14ac:dyDescent="0.25">
      <c r="A2025">
        <v>576.96885538584002</v>
      </c>
      <c r="B2025">
        <v>601.77623487403002</v>
      </c>
      <c r="C2025" s="1">
        <f t="shared" si="583"/>
        <v>4.2996046071846372E-2</v>
      </c>
      <c r="D2025">
        <v>9.1034205231387997</v>
      </c>
      <c r="E2025">
        <v>0.45474668816331998</v>
      </c>
      <c r="F2025">
        <v>14</v>
      </c>
    </row>
    <row r="2026" spans="1:9" x14ac:dyDescent="0.25">
      <c r="A2026">
        <v>582.76096012695996</v>
      </c>
      <c r="B2026">
        <v>599.97579845268001</v>
      </c>
      <c r="C2026" s="1">
        <f t="shared" si="583"/>
        <v>2.9540136528654282E-2</v>
      </c>
      <c r="D2026">
        <v>9.1557344064386008</v>
      </c>
      <c r="E2026">
        <v>0.45118713769798002</v>
      </c>
      <c r="F2026">
        <v>15</v>
      </c>
    </row>
    <row r="2027" spans="1:9" x14ac:dyDescent="0.25">
      <c r="A2027">
        <v>585.90319381075005</v>
      </c>
      <c r="B2027">
        <v>603.53223566752001</v>
      </c>
      <c r="C2027" s="1">
        <f t="shared" si="583"/>
        <v>3.008865977007158E-2</v>
      </c>
      <c r="D2027">
        <v>9.2579476861166992</v>
      </c>
      <c r="E2027">
        <v>0.45554126126506</v>
      </c>
      <c r="F2027">
        <v>14</v>
      </c>
    </row>
    <row r="2028" spans="1:9" x14ac:dyDescent="0.25">
      <c r="A2028">
        <v>584.50069430668998</v>
      </c>
      <c r="B2028">
        <v>604.10355088276003</v>
      </c>
      <c r="C2028" s="1">
        <f t="shared" si="583"/>
        <v>3.3537781506525199E-2</v>
      </c>
      <c r="D2028">
        <v>8.9368209255533007</v>
      </c>
      <c r="E2028">
        <v>0.43341197282382998</v>
      </c>
      <c r="F2028">
        <v>15</v>
      </c>
    </row>
    <row r="2029" spans="1:9" x14ac:dyDescent="0.25">
      <c r="A2029">
        <v>578.82245586193005</v>
      </c>
      <c r="B2029">
        <v>601.89684586391002</v>
      </c>
      <c r="C2029" s="1">
        <f t="shared" si="583"/>
        <v>3.9864365606927965E-2</v>
      </c>
      <c r="D2029">
        <v>9.0945674044266003</v>
      </c>
      <c r="E2029">
        <v>0.45149151796899001</v>
      </c>
      <c r="F2029">
        <v>14</v>
      </c>
    </row>
    <row r="2030" spans="1:9" x14ac:dyDescent="0.25">
      <c r="A2030">
        <v>580.13330688354995</v>
      </c>
      <c r="B2030">
        <v>603.58857369569</v>
      </c>
      <c r="C2030" s="1">
        <f t="shared" si="583"/>
        <v>4.043082259513886E-2</v>
      </c>
      <c r="D2030">
        <v>9.1267605633802997</v>
      </c>
      <c r="E2030">
        <v>0.45197137858107</v>
      </c>
      <c r="F2030">
        <v>15</v>
      </c>
    </row>
    <row r="2031" spans="1:9" x14ac:dyDescent="0.25">
      <c r="A2031">
        <v>583.86113866296</v>
      </c>
      <c r="B2031">
        <v>607.05693314817995</v>
      </c>
      <c r="C2031" s="1">
        <f t="shared" si="583"/>
        <v>3.9728272613481774E-2</v>
      </c>
      <c r="D2031">
        <v>9.1501006036217003</v>
      </c>
      <c r="E2031">
        <v>0.44990878834429998</v>
      </c>
      <c r="F2031">
        <v>14</v>
      </c>
    </row>
    <row r="2032" spans="1:9" x14ac:dyDescent="0.25">
      <c r="A2032">
        <v>576.98988295973004</v>
      </c>
      <c r="B2032">
        <v>604.68637175162996</v>
      </c>
      <c r="C2032" s="1">
        <f t="shared" si="583"/>
        <v>4.8001688781487584E-2</v>
      </c>
      <c r="D2032">
        <v>9.0430583501005994</v>
      </c>
      <c r="E2032">
        <v>0.45040228800481003</v>
      </c>
      <c r="F2032">
        <v>15</v>
      </c>
      <c r="H2032" t="s">
        <v>17</v>
      </c>
      <c r="I2032">
        <f t="shared" ref="I2032" si="596">STDEVP(A2018:A2037)</f>
        <v>3.6609530445402032</v>
      </c>
    </row>
    <row r="2033" spans="1:9" x14ac:dyDescent="0.25">
      <c r="A2033">
        <v>586.86649474311002</v>
      </c>
      <c r="B2033">
        <v>605.66633604442995</v>
      </c>
      <c r="C2033" s="1">
        <f t="shared" si="583"/>
        <v>3.2034272649266171E-2</v>
      </c>
      <c r="D2033">
        <v>8.9810865191146991</v>
      </c>
      <c r="E2033">
        <v>0.43427338735081</v>
      </c>
      <c r="F2033">
        <v>15</v>
      </c>
      <c r="H2033" t="s">
        <v>18</v>
      </c>
      <c r="I2033">
        <f t="shared" ref="I2033" si="597">STDEVP(B2018:B2037)</f>
        <v>2.9937806855395173</v>
      </c>
    </row>
    <row r="2034" spans="1:9" x14ac:dyDescent="0.25">
      <c r="A2034">
        <v>575.58778020234001</v>
      </c>
      <c r="B2034">
        <v>599.48780003966999</v>
      </c>
      <c r="C2034" s="1">
        <f t="shared" si="583"/>
        <v>4.1522806180715355E-2</v>
      </c>
      <c r="D2034">
        <v>9.1919517102616002</v>
      </c>
      <c r="E2034">
        <v>0.46200866247125999</v>
      </c>
      <c r="F2034">
        <v>14</v>
      </c>
      <c r="H2034" t="s">
        <v>19</v>
      </c>
      <c r="I2034">
        <f t="shared" ref="I2034" si="598">STDEVP(C2018:C2037)</f>
        <v>5.1324861737459503E-3</v>
      </c>
    </row>
    <row r="2035" spans="1:9" x14ac:dyDescent="0.25">
      <c r="A2035">
        <v>581.45407657211001</v>
      </c>
      <c r="B2035">
        <v>601.95397738544</v>
      </c>
      <c r="C2035" s="1">
        <f t="shared" si="583"/>
        <v>3.5256268103208699E-2</v>
      </c>
      <c r="D2035">
        <v>9.2523138832998004</v>
      </c>
      <c r="E2035">
        <v>0.46016552820758</v>
      </c>
      <c r="F2035">
        <v>15</v>
      </c>
      <c r="H2035" t="s">
        <v>20</v>
      </c>
      <c r="I2035">
        <f t="shared" ref="I2035" si="599">STDEVP(D2018:D2037)</f>
        <v>0.10137238667594625</v>
      </c>
    </row>
    <row r="2036" spans="1:9" x14ac:dyDescent="0.25">
      <c r="A2036">
        <v>578.48284070621003</v>
      </c>
      <c r="B2036">
        <v>602.82562983535001</v>
      </c>
      <c r="C2036" s="1">
        <f t="shared" si="583"/>
        <v>4.2080399652688616E-2</v>
      </c>
      <c r="D2036">
        <v>9.1573440643863009</v>
      </c>
      <c r="E2036">
        <v>0.45666665333884998</v>
      </c>
      <c r="F2036">
        <v>14</v>
      </c>
      <c r="H2036" t="s">
        <v>21</v>
      </c>
      <c r="I2036">
        <f t="shared" ref="I2036" si="600">STDEVP(E2018:E2037)</f>
        <v>7.7780066028113612E-3</v>
      </c>
    </row>
    <row r="2037" spans="1:9" x14ac:dyDescent="0.25">
      <c r="A2037">
        <v>574.44634001190002</v>
      </c>
      <c r="B2037">
        <v>597.34179726243997</v>
      </c>
      <c r="C2037" s="1">
        <f t="shared" si="583"/>
        <v>3.9856563887352259E-2</v>
      </c>
      <c r="D2037">
        <v>9.1154929577465005</v>
      </c>
      <c r="E2037">
        <v>0.45806435957640002</v>
      </c>
      <c r="F2037">
        <v>15</v>
      </c>
      <c r="H2037" t="s">
        <v>22</v>
      </c>
      <c r="I2037">
        <f t="shared" ref="I2037" si="601">STDEVP(F2018:F2037)</f>
        <v>0.5</v>
      </c>
    </row>
    <row r="2038" spans="1:9" x14ac:dyDescent="0.25">
      <c r="C2038" s="1" t="str">
        <f t="shared" si="583"/>
        <v/>
      </c>
    </row>
    <row r="2039" spans="1:9" x14ac:dyDescent="0.25">
      <c r="A2039">
        <v>1217.8</v>
      </c>
      <c r="B2039">
        <v>1272.4000000000001</v>
      </c>
      <c r="C2039" s="1">
        <f t="shared" si="583"/>
        <v>4.4834948267367558E-2</v>
      </c>
      <c r="D2039">
        <v>11.389473684211</v>
      </c>
      <c r="E2039">
        <v>0.21633400472601999</v>
      </c>
      <c r="F2039">
        <v>16</v>
      </c>
    </row>
    <row r="2040" spans="1:9" x14ac:dyDescent="0.25">
      <c r="A2040">
        <v>1217.9000000000001</v>
      </c>
      <c r="B2040">
        <v>1252.5</v>
      </c>
      <c r="C2040" s="1">
        <f t="shared" si="583"/>
        <v>2.8409557434928789E-2</v>
      </c>
      <c r="D2040">
        <v>11.189473684211</v>
      </c>
      <c r="E2040">
        <v>0.21164930353597</v>
      </c>
      <c r="F2040">
        <v>16</v>
      </c>
    </row>
    <row r="2041" spans="1:9" x14ac:dyDescent="0.25">
      <c r="A2041">
        <v>1214.5</v>
      </c>
      <c r="B2041">
        <v>1263.5</v>
      </c>
      <c r="C2041" s="1">
        <f t="shared" si="583"/>
        <v>4.0345821325648457E-2</v>
      </c>
      <c r="D2041">
        <v>11.263157894737001</v>
      </c>
      <c r="E2041">
        <v>0.21414798226584</v>
      </c>
      <c r="F2041">
        <v>16</v>
      </c>
    </row>
    <row r="2042" spans="1:9" x14ac:dyDescent="0.25">
      <c r="A2042">
        <v>1223.7</v>
      </c>
      <c r="B2042">
        <v>1275</v>
      </c>
      <c r="C2042" s="1">
        <f t="shared" si="583"/>
        <v>4.1922039715616588E-2</v>
      </c>
      <c r="D2042">
        <v>11.557894736842</v>
      </c>
      <c r="E2042">
        <v>0.21916125484421001</v>
      </c>
      <c r="F2042">
        <v>16</v>
      </c>
    </row>
    <row r="2043" spans="1:9" x14ac:dyDescent="0.25">
      <c r="A2043">
        <v>1221.5999999999999</v>
      </c>
      <c r="B2043">
        <v>1273.3</v>
      </c>
      <c r="C2043" s="1">
        <f t="shared" si="583"/>
        <v>4.2321545514079961E-2</v>
      </c>
      <c r="D2043">
        <v>11.357894736842001</v>
      </c>
      <c r="E2043">
        <v>0.21471040757608001</v>
      </c>
      <c r="F2043">
        <v>16</v>
      </c>
    </row>
    <row r="2044" spans="1:9" x14ac:dyDescent="0.25">
      <c r="A2044">
        <v>1199.7</v>
      </c>
      <c r="B2044">
        <v>1272.7</v>
      </c>
      <c r="C2044" s="1">
        <f t="shared" si="583"/>
        <v>6.0848545469700754E-2</v>
      </c>
      <c r="D2044">
        <v>11.357894736842001</v>
      </c>
      <c r="E2044">
        <v>0.21946502990107</v>
      </c>
      <c r="F2044">
        <v>16</v>
      </c>
    </row>
    <row r="2045" spans="1:9" x14ac:dyDescent="0.25">
      <c r="A2045">
        <v>1218.2</v>
      </c>
      <c r="B2045">
        <v>1259.2</v>
      </c>
      <c r="C2045" s="1">
        <f t="shared" si="583"/>
        <v>3.3656214086356995E-2</v>
      </c>
      <c r="D2045">
        <v>11.273684210526</v>
      </c>
      <c r="E2045">
        <v>0.21363300589945</v>
      </c>
      <c r="F2045">
        <v>17</v>
      </c>
    </row>
    <row r="2046" spans="1:9" x14ac:dyDescent="0.25">
      <c r="A2046">
        <v>1226.4000000000001</v>
      </c>
      <c r="B2046">
        <v>1267.8</v>
      </c>
      <c r="C2046" s="1">
        <f t="shared" si="583"/>
        <v>3.3757338551859029E-2</v>
      </c>
      <c r="D2046">
        <v>11.589473684211001</v>
      </c>
      <c r="E2046">
        <v>0.21912444842048001</v>
      </c>
      <c r="F2046">
        <v>16</v>
      </c>
    </row>
    <row r="2047" spans="1:9" x14ac:dyDescent="0.25">
      <c r="A2047">
        <v>1210.5999999999999</v>
      </c>
      <c r="B2047">
        <v>1266.9000000000001</v>
      </c>
      <c r="C2047" s="1">
        <f t="shared" si="583"/>
        <v>4.6505864860399981E-2</v>
      </c>
      <c r="D2047">
        <v>11.326315789474</v>
      </c>
      <c r="E2047">
        <v>0.21641215166003999</v>
      </c>
      <c r="F2047">
        <v>16</v>
      </c>
    </row>
    <row r="2048" spans="1:9" x14ac:dyDescent="0.25">
      <c r="A2048">
        <v>1218</v>
      </c>
      <c r="B2048">
        <v>1266.7</v>
      </c>
      <c r="C2048" s="1">
        <f t="shared" si="583"/>
        <v>3.9983579638751987E-2</v>
      </c>
      <c r="D2048">
        <v>11.189473684211</v>
      </c>
      <c r="E2048">
        <v>0.21185225348805001</v>
      </c>
      <c r="F2048">
        <v>16</v>
      </c>
    </row>
    <row r="2049" spans="1:9" x14ac:dyDescent="0.25">
      <c r="A2049">
        <v>1219.0999999999999</v>
      </c>
      <c r="B2049">
        <v>1268.4000000000001</v>
      </c>
      <c r="C2049" s="1">
        <f t="shared" si="583"/>
        <v>4.0439668607989754E-2</v>
      </c>
      <c r="D2049">
        <v>10.989473684210999</v>
      </c>
      <c r="E2049">
        <v>0.20670221478579001</v>
      </c>
      <c r="F2049">
        <v>16</v>
      </c>
    </row>
    <row r="2050" spans="1:9" x14ac:dyDescent="0.25">
      <c r="A2050">
        <v>1216.0999999999999</v>
      </c>
      <c r="B2050">
        <v>1271.5999999999999</v>
      </c>
      <c r="C2050" s="1">
        <f t="shared" ref="C2050:C2113" si="602">IFERROR((B2050/A2050)-1,"")</f>
        <v>4.5637694268563456E-2</v>
      </c>
      <c r="D2050">
        <v>11.147368421053001</v>
      </c>
      <c r="E2050">
        <v>0.21130221445582001</v>
      </c>
      <c r="F2050">
        <v>17</v>
      </c>
    </row>
    <row r="2051" spans="1:9" x14ac:dyDescent="0.25">
      <c r="A2051">
        <v>1218.9000000000001</v>
      </c>
      <c r="B2051">
        <v>1284.4000000000001</v>
      </c>
      <c r="C2051" s="1">
        <f t="shared" si="602"/>
        <v>5.3736975961932831E-2</v>
      </c>
      <c r="D2051">
        <v>11.326315789474</v>
      </c>
      <c r="E2051">
        <v>0.21474298954345999</v>
      </c>
      <c r="F2051">
        <v>16</v>
      </c>
    </row>
    <row r="2052" spans="1:9" x14ac:dyDescent="0.25">
      <c r="A2052">
        <v>1226.3</v>
      </c>
      <c r="B2052">
        <v>1267.9000000000001</v>
      </c>
      <c r="C2052" s="1">
        <f t="shared" si="602"/>
        <v>3.3923183560303549E-2</v>
      </c>
      <c r="D2052">
        <v>11.284210526316</v>
      </c>
      <c r="E2052">
        <v>0.21230206465647</v>
      </c>
      <c r="F2052">
        <v>16</v>
      </c>
    </row>
    <row r="2053" spans="1:9" x14ac:dyDescent="0.25">
      <c r="A2053">
        <v>1220.2</v>
      </c>
      <c r="B2053">
        <v>1271.7</v>
      </c>
      <c r="C2053" s="1">
        <f t="shared" si="602"/>
        <v>4.2206195705622118E-2</v>
      </c>
      <c r="D2053">
        <v>11.347368421053</v>
      </c>
      <c r="E2053">
        <v>0.21492199193650999</v>
      </c>
      <c r="F2053">
        <v>16</v>
      </c>
      <c r="H2053" t="s">
        <v>17</v>
      </c>
      <c r="I2053">
        <f t="shared" ref="I2053" si="603">STDEVP(A2039:A2058)</f>
        <v>6.528621600307372</v>
      </c>
    </row>
    <row r="2054" spans="1:9" x14ac:dyDescent="0.25">
      <c r="A2054">
        <v>1219.4000000000001</v>
      </c>
      <c r="B2054">
        <v>1270.9000000000001</v>
      </c>
      <c r="C2054" s="1">
        <f t="shared" si="602"/>
        <v>4.223388551746754E-2</v>
      </c>
      <c r="D2054">
        <v>11.210526315789</v>
      </c>
      <c r="E2054">
        <v>0.21201756870928001</v>
      </c>
      <c r="F2054">
        <v>16</v>
      </c>
      <c r="H2054" t="s">
        <v>18</v>
      </c>
      <c r="I2054">
        <f t="shared" ref="I2054" si="604">STDEVP(B2039:B2058)</f>
        <v>6.3127232633785013</v>
      </c>
    </row>
    <row r="2055" spans="1:9" x14ac:dyDescent="0.25">
      <c r="A2055">
        <v>1225.5999999999999</v>
      </c>
      <c r="B2055">
        <v>1275.9000000000001</v>
      </c>
      <c r="C2055" s="1">
        <f t="shared" si="602"/>
        <v>4.1041122715404832E-2</v>
      </c>
      <c r="D2055">
        <v>11.252631578947</v>
      </c>
      <c r="E2055">
        <v>0.21140206243143</v>
      </c>
      <c r="F2055">
        <v>16</v>
      </c>
      <c r="H2055" t="s">
        <v>19</v>
      </c>
      <c r="I2055">
        <f t="shared" ref="I2055" si="605">STDEVP(C2039:C2058)</f>
        <v>7.5001789261392952E-3</v>
      </c>
    </row>
    <row r="2056" spans="1:9" x14ac:dyDescent="0.25">
      <c r="A2056">
        <v>1227.7</v>
      </c>
      <c r="B2056">
        <v>1266.9000000000001</v>
      </c>
      <c r="C2056" s="1">
        <f t="shared" si="602"/>
        <v>3.1929624501099596E-2</v>
      </c>
      <c r="D2056">
        <v>11.147368421053001</v>
      </c>
      <c r="E2056">
        <v>0.20877530374805001</v>
      </c>
      <c r="F2056">
        <v>17</v>
      </c>
      <c r="H2056" t="s">
        <v>20</v>
      </c>
      <c r="I2056">
        <f t="shared" ref="I2056" si="606">STDEVP(D2039:D2058)</f>
        <v>0.13796703608861513</v>
      </c>
    </row>
    <row r="2057" spans="1:9" x14ac:dyDescent="0.25">
      <c r="A2057">
        <v>1208.9000000000001</v>
      </c>
      <c r="B2057">
        <v>1270.3</v>
      </c>
      <c r="C2057" s="1">
        <f t="shared" si="602"/>
        <v>5.0789974356853174E-2</v>
      </c>
      <c r="D2057">
        <v>11.378947368421001</v>
      </c>
      <c r="E2057">
        <v>0.21828897788394</v>
      </c>
      <c r="F2057">
        <v>16</v>
      </c>
      <c r="H2057" t="s">
        <v>21</v>
      </c>
      <c r="I2057">
        <f t="shared" ref="I2057" si="607">STDEVP(E2039:E2058)</f>
        <v>3.4136919593741118E-3</v>
      </c>
    </row>
    <row r="2058" spans="1:9" x14ac:dyDescent="0.25">
      <c r="A2058">
        <v>1213.5999999999999</v>
      </c>
      <c r="B2058">
        <v>1269.0999999999999</v>
      </c>
      <c r="C2058" s="1">
        <f t="shared" si="602"/>
        <v>4.57317073170731E-2</v>
      </c>
      <c r="D2058">
        <v>11.126315789474001</v>
      </c>
      <c r="E2058">
        <v>0.21131806324117999</v>
      </c>
      <c r="F2058">
        <v>16</v>
      </c>
      <c r="H2058" t="s">
        <v>22</v>
      </c>
      <c r="I2058">
        <f t="shared" ref="I2058" si="608">STDEVP(F2039:F2058)</f>
        <v>0.35707142142714249</v>
      </c>
    </row>
    <row r="2059" spans="1:9" x14ac:dyDescent="0.25">
      <c r="C2059" s="1" t="str">
        <f t="shared" si="602"/>
        <v/>
      </c>
    </row>
    <row r="2060" spans="1:9" x14ac:dyDescent="0.25">
      <c r="A2060">
        <v>2748.3487889273001</v>
      </c>
      <c r="B2060">
        <v>2804.8608996538001</v>
      </c>
      <c r="C2060" s="1">
        <f t="shared" si="602"/>
        <v>2.0562204824285502E-2</v>
      </c>
      <c r="D2060">
        <v>21.498599439776001</v>
      </c>
      <c r="E2060">
        <v>0.18308067094315</v>
      </c>
      <c r="F2060">
        <v>78</v>
      </c>
    </row>
    <row r="2061" spans="1:9" x14ac:dyDescent="0.25">
      <c r="A2061">
        <v>2745.4975778547</v>
      </c>
      <c r="B2061">
        <v>2790.5840830448001</v>
      </c>
      <c r="C2061" s="1">
        <f t="shared" si="602"/>
        <v>1.6421979590792501E-2</v>
      </c>
      <c r="D2061">
        <v>21.530532212884999</v>
      </c>
      <c r="E2061">
        <v>0.18355012215252001</v>
      </c>
      <c r="F2061">
        <v>80</v>
      </c>
    </row>
    <row r="2062" spans="1:9" x14ac:dyDescent="0.25">
      <c r="A2062">
        <v>2734.0802768166</v>
      </c>
      <c r="B2062">
        <v>2778.2034602075</v>
      </c>
      <c r="C2062" s="1">
        <f t="shared" si="602"/>
        <v>1.6138217946648714E-2</v>
      </c>
      <c r="D2062">
        <v>21.230252100840001</v>
      </c>
      <c r="E2062">
        <v>0.18156159572037001</v>
      </c>
      <c r="F2062">
        <v>72</v>
      </c>
    </row>
    <row r="2063" spans="1:9" x14ac:dyDescent="0.25">
      <c r="A2063">
        <v>2747.0394463667999</v>
      </c>
      <c r="B2063">
        <v>2798.0207612455001</v>
      </c>
      <c r="C2063" s="1">
        <f t="shared" si="602"/>
        <v>1.8558639536875754E-2</v>
      </c>
      <c r="D2063">
        <v>21.444257703081</v>
      </c>
      <c r="E2063">
        <v>0.18261941957058</v>
      </c>
      <c r="F2063">
        <v>75</v>
      </c>
    </row>
    <row r="2064" spans="1:9" x14ac:dyDescent="0.25">
      <c r="A2064">
        <v>2743.8574394463999</v>
      </c>
      <c r="B2064">
        <v>2795.6761245673001</v>
      </c>
      <c r="C2064" s="1">
        <f t="shared" si="602"/>
        <v>1.8885341627426167E-2</v>
      </c>
      <c r="D2064">
        <v>21.105882352940998</v>
      </c>
      <c r="E2064">
        <v>0.17951736174596999</v>
      </c>
      <c r="F2064">
        <v>72</v>
      </c>
    </row>
    <row r="2065" spans="1:9" x14ac:dyDescent="0.25">
      <c r="A2065">
        <v>2753.8463667820001</v>
      </c>
      <c r="B2065">
        <v>2806.1757785466002</v>
      </c>
      <c r="C2065" s="1">
        <f t="shared" si="602"/>
        <v>1.9002298892130787E-2</v>
      </c>
      <c r="D2065">
        <v>21.324369747898999</v>
      </c>
      <c r="E2065">
        <v>0.18093474166053</v>
      </c>
      <c r="F2065">
        <v>67</v>
      </c>
    </row>
    <row r="2066" spans="1:9" x14ac:dyDescent="0.25">
      <c r="A2066">
        <v>2733.5294117646999</v>
      </c>
      <c r="B2066">
        <v>2785.5903114184998</v>
      </c>
      <c r="C2066" s="1">
        <f t="shared" si="602"/>
        <v>1.9045304370875815E-2</v>
      </c>
      <c r="D2066">
        <v>21.133333333332999</v>
      </c>
      <c r="E2066">
        <v>0.18055464104821001</v>
      </c>
      <c r="F2066">
        <v>69</v>
      </c>
    </row>
    <row r="2067" spans="1:9" x14ac:dyDescent="0.25">
      <c r="A2067">
        <v>2721.7923875432002</v>
      </c>
      <c r="B2067">
        <v>2767.5986159168001</v>
      </c>
      <c r="C2067" s="1">
        <f t="shared" si="602"/>
        <v>1.6829435111671565E-2</v>
      </c>
      <c r="D2067">
        <v>21.129971988796001</v>
      </c>
      <c r="E2067">
        <v>0.18143010586895</v>
      </c>
      <c r="F2067">
        <v>70</v>
      </c>
    </row>
    <row r="2068" spans="1:9" x14ac:dyDescent="0.25">
      <c r="A2068">
        <v>2748.5979238753998</v>
      </c>
      <c r="B2068">
        <v>2799.5349480967002</v>
      </c>
      <c r="C2068" s="1">
        <f t="shared" si="602"/>
        <v>1.8532002727223773E-2</v>
      </c>
      <c r="D2068">
        <v>21.515966386555</v>
      </c>
      <c r="E2068">
        <v>0.18320719632082999</v>
      </c>
      <c r="F2068">
        <v>70</v>
      </c>
    </row>
    <row r="2069" spans="1:9" x14ac:dyDescent="0.25">
      <c r="A2069">
        <v>2737.1778546712999</v>
      </c>
      <c r="B2069">
        <v>2782.9259515569001</v>
      </c>
      <c r="C2069" s="1">
        <f t="shared" si="602"/>
        <v>1.671360039959624E-2</v>
      </c>
      <c r="D2069">
        <v>21.313165266106001</v>
      </c>
      <c r="E2069">
        <v>0.18198930666735</v>
      </c>
      <c r="F2069">
        <v>74</v>
      </c>
    </row>
    <row r="2070" spans="1:9" x14ac:dyDescent="0.25">
      <c r="A2070">
        <v>2749.9958477508999</v>
      </c>
      <c r="B2070">
        <v>2788.4830449824999</v>
      </c>
      <c r="C2070" s="1">
        <f t="shared" si="602"/>
        <v>1.3995365579579699E-2</v>
      </c>
      <c r="D2070">
        <v>21.346218487394999</v>
      </c>
      <c r="E2070">
        <v>0.18132832685144001</v>
      </c>
      <c r="F2070">
        <v>72</v>
      </c>
    </row>
    <row r="2071" spans="1:9" x14ac:dyDescent="0.25">
      <c r="A2071">
        <v>2755.5916955017001</v>
      </c>
      <c r="B2071">
        <v>2796.5882352939002</v>
      </c>
      <c r="C2071" s="1">
        <f t="shared" si="602"/>
        <v>1.4877581413503371E-2</v>
      </c>
      <c r="D2071">
        <v>21.692436974789999</v>
      </c>
      <c r="E2071">
        <v>0.18442067630104</v>
      </c>
      <c r="F2071">
        <v>70</v>
      </c>
    </row>
    <row r="2072" spans="1:9" x14ac:dyDescent="0.25">
      <c r="A2072">
        <v>2722.9743944636998</v>
      </c>
      <c r="B2072">
        <v>2787.3550173008998</v>
      </c>
      <c r="C2072" s="1">
        <f t="shared" si="602"/>
        <v>2.3643491825739327E-2</v>
      </c>
      <c r="D2072">
        <v>21.335014005602002</v>
      </c>
      <c r="E2072">
        <v>0.18338702559027001</v>
      </c>
      <c r="F2072">
        <v>71</v>
      </c>
    </row>
    <row r="2073" spans="1:9" x14ac:dyDescent="0.25">
      <c r="A2073">
        <v>2727.4214532872002</v>
      </c>
      <c r="B2073">
        <v>2776.3363321798001</v>
      </c>
      <c r="C2073" s="1">
        <f t="shared" si="602"/>
        <v>1.79344775753838E-2</v>
      </c>
      <c r="D2073">
        <v>21.411204481793</v>
      </c>
      <c r="E2073">
        <v>0.18376850797482</v>
      </c>
      <c r="F2073">
        <v>72</v>
      </c>
    </row>
    <row r="2074" spans="1:9" x14ac:dyDescent="0.25">
      <c r="A2074">
        <v>2741.3065743944999</v>
      </c>
      <c r="B2074">
        <v>2789.9280276815002</v>
      </c>
      <c r="C2074" s="1">
        <f t="shared" si="602"/>
        <v>1.7736598212383381E-2</v>
      </c>
      <c r="D2074">
        <v>21.056582633053001</v>
      </c>
      <c r="E2074">
        <v>0.17914225814335</v>
      </c>
      <c r="F2074">
        <v>74</v>
      </c>
      <c r="H2074" t="s">
        <v>17</v>
      </c>
      <c r="I2074">
        <f t="shared" ref="I2074" si="609">STDEVP(A2060:A2079)</f>
        <v>10.720040928049881</v>
      </c>
    </row>
    <row r="2075" spans="1:9" x14ac:dyDescent="0.25">
      <c r="A2075">
        <v>2746.6865051903001</v>
      </c>
      <c r="B2075">
        <v>2788.2795847748998</v>
      </c>
      <c r="C2075" s="1">
        <f t="shared" si="602"/>
        <v>1.5143002124925031E-2</v>
      </c>
      <c r="D2075">
        <v>21.472829131653</v>
      </c>
      <c r="E2075">
        <v>0.18289876500121999</v>
      </c>
      <c r="F2075">
        <v>79</v>
      </c>
      <c r="H2075" t="s">
        <v>18</v>
      </c>
      <c r="I2075">
        <f t="shared" ref="I2075" si="610">STDEVP(B2060:B2079)</f>
        <v>10.153268843475621</v>
      </c>
    </row>
    <row r="2076" spans="1:9" x14ac:dyDescent="0.25">
      <c r="A2076">
        <v>2748.4567474047999</v>
      </c>
      <c r="B2076">
        <v>2794.4858131485998</v>
      </c>
      <c r="C2076" s="1">
        <f t="shared" si="602"/>
        <v>1.6747240351248971E-2</v>
      </c>
      <c r="D2076">
        <v>21.515966386555</v>
      </c>
      <c r="E2076">
        <v>0.1831847938067</v>
      </c>
      <c r="F2076">
        <v>72</v>
      </c>
      <c r="H2076" t="s">
        <v>19</v>
      </c>
      <c r="I2076">
        <f t="shared" ref="I2076" si="611">STDEVP(C2060:C2079)</f>
        <v>2.1245252943615772E-3</v>
      </c>
    </row>
    <row r="2077" spans="1:9" x14ac:dyDescent="0.25">
      <c r="A2077">
        <v>2737.0311418685001</v>
      </c>
      <c r="B2077">
        <v>2783.5044982697</v>
      </c>
      <c r="C2077" s="1">
        <f t="shared" si="602"/>
        <v>1.6979476663708581E-2</v>
      </c>
      <c r="D2077">
        <v>21.327170868347</v>
      </c>
      <c r="E2077">
        <v>0.18217636987520999</v>
      </c>
      <c r="F2077">
        <v>68</v>
      </c>
      <c r="H2077" t="s">
        <v>20</v>
      </c>
      <c r="I2077">
        <f t="shared" ref="I2077" si="612">STDEVP(D2060:D2079)</f>
        <v>0.17088661334163349</v>
      </c>
    </row>
    <row r="2078" spans="1:9" x14ac:dyDescent="0.25">
      <c r="A2078">
        <v>2759.6152249134998</v>
      </c>
      <c r="B2078">
        <v>2806.7584775085002</v>
      </c>
      <c r="C2078" s="1">
        <f t="shared" si="602"/>
        <v>1.7083270221658564E-2</v>
      </c>
      <c r="D2078">
        <v>21.559103641457</v>
      </c>
      <c r="E2078">
        <v>0.18281186753292999</v>
      </c>
      <c r="F2078">
        <v>75</v>
      </c>
      <c r="H2078" t="s">
        <v>21</v>
      </c>
      <c r="I2078">
        <f t="shared" ref="I2078" si="613">STDEVP(E2060:E2079)</f>
        <v>1.3686841107234573E-3</v>
      </c>
    </row>
    <row r="2079" spans="1:9" x14ac:dyDescent="0.25">
      <c r="A2079">
        <v>2726.1633217992999</v>
      </c>
      <c r="B2079">
        <v>2780.2256055362</v>
      </c>
      <c r="C2079" s="1">
        <f t="shared" si="602"/>
        <v>1.9830904225216495E-2</v>
      </c>
      <c r="D2079">
        <v>21.182072829132</v>
      </c>
      <c r="E2079">
        <v>0.1815489074544</v>
      </c>
      <c r="F2079">
        <v>68</v>
      </c>
      <c r="H2079" t="s">
        <v>22</v>
      </c>
      <c r="I2079">
        <f t="shared" ref="I2079" si="614">STDEVP(F2060:F2079)</f>
        <v>3.5411862419251539</v>
      </c>
    </row>
    <row r="2080" spans="1:9" x14ac:dyDescent="0.25">
      <c r="C2080" s="1" t="str">
        <f t="shared" si="602"/>
        <v/>
      </c>
    </row>
    <row r="2081" spans="1:9" x14ac:dyDescent="0.25">
      <c r="A2081">
        <v>675.07421875</v>
      </c>
      <c r="B2081">
        <v>700.00390625</v>
      </c>
      <c r="C2081" s="1">
        <f t="shared" si="602"/>
        <v>3.6928809910947269E-2</v>
      </c>
      <c r="D2081">
        <v>9.5704365079365008</v>
      </c>
      <c r="E2081">
        <v>0.38879462962691003</v>
      </c>
      <c r="F2081">
        <v>15</v>
      </c>
    </row>
    <row r="2082" spans="1:9" x14ac:dyDescent="0.25">
      <c r="A2082">
        <v>676.75390625</v>
      </c>
      <c r="B2082">
        <v>700.595703125</v>
      </c>
      <c r="C2082" s="1">
        <f t="shared" si="602"/>
        <v>3.5229640575126009E-2</v>
      </c>
      <c r="D2082">
        <v>9.4414682539682993</v>
      </c>
      <c r="E2082">
        <v>0.38010571800976001</v>
      </c>
      <c r="F2082">
        <v>15</v>
      </c>
    </row>
    <row r="2083" spans="1:9" x14ac:dyDescent="0.25">
      <c r="A2083">
        <v>676.171875</v>
      </c>
      <c r="B2083">
        <v>701.359375</v>
      </c>
      <c r="C2083" s="1">
        <f t="shared" si="602"/>
        <v>3.7250144425187814E-2</v>
      </c>
      <c r="D2083">
        <v>9.4722222222222001</v>
      </c>
      <c r="E2083">
        <v>0.38320517030153001</v>
      </c>
      <c r="F2083">
        <v>16</v>
      </c>
    </row>
    <row r="2084" spans="1:9" x14ac:dyDescent="0.25">
      <c r="A2084">
        <v>680.3359375</v>
      </c>
      <c r="B2084">
        <v>710.224609375</v>
      </c>
      <c r="C2084" s="1">
        <f t="shared" si="602"/>
        <v>4.3932225577896888E-2</v>
      </c>
      <c r="D2084">
        <v>9.6726190476189995</v>
      </c>
      <c r="E2084">
        <v>0.3905355341872</v>
      </c>
      <c r="F2084">
        <v>15</v>
      </c>
    </row>
    <row r="2085" spans="1:9" x14ac:dyDescent="0.25">
      <c r="A2085">
        <v>684.1171875</v>
      </c>
      <c r="B2085">
        <v>709.509765625</v>
      </c>
      <c r="C2085" s="1">
        <f t="shared" si="602"/>
        <v>3.7117293044183208E-2</v>
      </c>
      <c r="D2085">
        <v>9.5853174603174995</v>
      </c>
      <c r="E2085">
        <v>0.38296179408183001</v>
      </c>
      <c r="F2085">
        <v>16</v>
      </c>
    </row>
    <row r="2086" spans="1:9" x14ac:dyDescent="0.25">
      <c r="A2086">
        <v>683.9921875</v>
      </c>
      <c r="B2086">
        <v>708.62890625</v>
      </c>
      <c r="C2086" s="1">
        <f t="shared" si="602"/>
        <v>3.6019006065036274E-2</v>
      </c>
      <c r="D2086">
        <v>9.5773809523810005</v>
      </c>
      <c r="E2086">
        <v>0.38257668029788</v>
      </c>
      <c r="F2086">
        <v>15</v>
      </c>
    </row>
    <row r="2087" spans="1:9" x14ac:dyDescent="0.25">
      <c r="A2087">
        <v>679.078125</v>
      </c>
      <c r="B2087">
        <v>701.248046875</v>
      </c>
      <c r="C2087" s="1">
        <f t="shared" si="602"/>
        <v>3.2647085893099614E-2</v>
      </c>
      <c r="D2087">
        <v>9.6944444444444002</v>
      </c>
      <c r="E2087">
        <v>0.39287429892147002</v>
      </c>
      <c r="F2087">
        <v>15</v>
      </c>
    </row>
    <row r="2088" spans="1:9" x14ac:dyDescent="0.25">
      <c r="A2088">
        <v>675.83203125</v>
      </c>
      <c r="B2088">
        <v>704.138671875</v>
      </c>
      <c r="C2088" s="1">
        <f t="shared" si="602"/>
        <v>4.1884135874182826E-2</v>
      </c>
      <c r="D2088">
        <v>9.3581349206348996</v>
      </c>
      <c r="E2088">
        <v>0.37697205723223998</v>
      </c>
      <c r="F2088">
        <v>15</v>
      </c>
    </row>
    <row r="2089" spans="1:9" x14ac:dyDescent="0.25">
      <c r="A2089">
        <v>673.3984375</v>
      </c>
      <c r="B2089">
        <v>699.59375</v>
      </c>
      <c r="C2089" s="1">
        <f t="shared" si="602"/>
        <v>3.8900168223214848E-2</v>
      </c>
      <c r="D2089">
        <v>9.5218253968254007</v>
      </c>
      <c r="E2089">
        <v>0.38722702860997998</v>
      </c>
      <c r="F2089">
        <v>16</v>
      </c>
    </row>
    <row r="2090" spans="1:9" x14ac:dyDescent="0.25">
      <c r="A2090">
        <v>680.3359375</v>
      </c>
      <c r="B2090">
        <v>706.8359375</v>
      </c>
      <c r="C2090" s="1">
        <f t="shared" si="602"/>
        <v>3.8951345268307236E-2</v>
      </c>
      <c r="D2090">
        <v>9.6884920634921006</v>
      </c>
      <c r="E2090">
        <v>0.39255314101031002</v>
      </c>
      <c r="F2090">
        <v>15</v>
      </c>
    </row>
    <row r="2091" spans="1:9" x14ac:dyDescent="0.25">
      <c r="A2091">
        <v>682.14453125</v>
      </c>
      <c r="B2091">
        <v>709.421875</v>
      </c>
      <c r="C2091" s="1">
        <f t="shared" si="602"/>
        <v>3.9987630920408357E-2</v>
      </c>
      <c r="D2091">
        <v>9.7152777777777999</v>
      </c>
      <c r="E2091">
        <v>0.39185608819084999</v>
      </c>
      <c r="F2091">
        <v>16</v>
      </c>
    </row>
    <row r="2092" spans="1:9" x14ac:dyDescent="0.25">
      <c r="A2092">
        <v>677.04296875</v>
      </c>
      <c r="B2092">
        <v>702.724609375</v>
      </c>
      <c r="C2092" s="1">
        <f t="shared" si="602"/>
        <v>3.7932069027192039E-2</v>
      </c>
      <c r="D2092">
        <v>9.7688492063492003</v>
      </c>
      <c r="E2092">
        <v>0.39833717783154998</v>
      </c>
      <c r="F2092">
        <v>15</v>
      </c>
    </row>
    <row r="2093" spans="1:9" x14ac:dyDescent="0.25">
      <c r="A2093">
        <v>678.5625</v>
      </c>
      <c r="B2093">
        <v>703.591796875</v>
      </c>
      <c r="C2093" s="1">
        <f t="shared" si="602"/>
        <v>3.6885764944275534E-2</v>
      </c>
      <c r="D2093">
        <v>9.8571428571429003</v>
      </c>
      <c r="E2093">
        <v>0.40268258624241998</v>
      </c>
      <c r="F2093">
        <v>15</v>
      </c>
    </row>
    <row r="2094" spans="1:9" x14ac:dyDescent="0.25">
      <c r="A2094">
        <v>691.91015625</v>
      </c>
      <c r="B2094">
        <v>710.490234375</v>
      </c>
      <c r="C2094" s="1">
        <f t="shared" si="602"/>
        <v>2.6853310299273403E-2</v>
      </c>
      <c r="D2094">
        <v>9.5684523809523991</v>
      </c>
      <c r="E2094">
        <v>0.37714311813320001</v>
      </c>
      <c r="F2094">
        <v>15</v>
      </c>
    </row>
    <row r="2095" spans="1:9" x14ac:dyDescent="0.25">
      <c r="A2095">
        <v>680.1953125</v>
      </c>
      <c r="B2095">
        <v>706.203125</v>
      </c>
      <c r="C2095" s="1">
        <f t="shared" si="602"/>
        <v>3.8235800838454015E-2</v>
      </c>
      <c r="D2095">
        <v>9.6210317460317007</v>
      </c>
      <c r="E2095">
        <v>0.38682329720781999</v>
      </c>
      <c r="F2095">
        <v>16</v>
      </c>
      <c r="H2095" t="s">
        <v>17</v>
      </c>
      <c r="I2095">
        <f t="shared" ref="I2095" si="615">STDEVP(A2081:A2100)</f>
        <v>4.400142472301356</v>
      </c>
    </row>
    <row r="2096" spans="1:9" x14ac:dyDescent="0.25">
      <c r="A2096">
        <v>682.3125</v>
      </c>
      <c r="B2096">
        <v>709.5234375</v>
      </c>
      <c r="C2096" s="1">
        <f t="shared" si="602"/>
        <v>3.9880461665292577E-2</v>
      </c>
      <c r="D2096">
        <v>9.7539682539682993</v>
      </c>
      <c r="E2096">
        <v>0.39381334376788002</v>
      </c>
      <c r="F2096">
        <v>15</v>
      </c>
      <c r="H2096" t="s">
        <v>18</v>
      </c>
      <c r="I2096">
        <f t="shared" ref="I2096" si="616">STDEVP(B2081:B2100)</f>
        <v>4.0423096062170503</v>
      </c>
    </row>
    <row r="2097" spans="1:9" x14ac:dyDescent="0.25">
      <c r="A2097">
        <v>686.18359375</v>
      </c>
      <c r="B2097">
        <v>712.3203125</v>
      </c>
      <c r="C2097" s="1">
        <f t="shared" si="602"/>
        <v>3.8089979107723382E-2</v>
      </c>
      <c r="D2097">
        <v>9.8680555555555998</v>
      </c>
      <c r="E2097">
        <v>0.39680102457828997</v>
      </c>
      <c r="F2097">
        <v>16</v>
      </c>
      <c r="H2097" t="s">
        <v>19</v>
      </c>
      <c r="I2097">
        <f t="shared" ref="I2097" si="617">STDEVP(C2081:C2100)</f>
        <v>4.650149150389451E-3</v>
      </c>
    </row>
    <row r="2098" spans="1:9" x14ac:dyDescent="0.25">
      <c r="A2098">
        <v>677.046875</v>
      </c>
      <c r="B2098">
        <v>700.92578125</v>
      </c>
      <c r="C2098" s="1">
        <f t="shared" si="602"/>
        <v>3.5269206803443254E-2</v>
      </c>
      <c r="D2098">
        <v>9.3373015873015994</v>
      </c>
      <c r="E2098">
        <v>0.37480811840490003</v>
      </c>
      <c r="F2098">
        <v>15</v>
      </c>
      <c r="H2098" t="s">
        <v>20</v>
      </c>
      <c r="I2098">
        <f t="shared" ref="I2098" si="618">STDEVP(D2081:D2100)</f>
        <v>0.14358907616747638</v>
      </c>
    </row>
    <row r="2099" spans="1:9" x14ac:dyDescent="0.25">
      <c r="A2099">
        <v>682.5625</v>
      </c>
      <c r="B2099">
        <v>705.185546875</v>
      </c>
      <c r="C2099" s="1">
        <f t="shared" si="602"/>
        <v>3.3144286237523968E-2</v>
      </c>
      <c r="D2099">
        <v>9.6825396825396997</v>
      </c>
      <c r="E2099">
        <v>0.38951691439375002</v>
      </c>
      <c r="F2099">
        <v>16</v>
      </c>
      <c r="H2099" t="s">
        <v>21</v>
      </c>
      <c r="I2099">
        <f t="shared" ref="I2099" si="619">STDEVP(E2081:E2100)</f>
        <v>7.2810460934287146E-3</v>
      </c>
    </row>
    <row r="2100" spans="1:9" x14ac:dyDescent="0.25">
      <c r="A2100">
        <v>674.8125</v>
      </c>
      <c r="B2100">
        <v>709.365234375</v>
      </c>
      <c r="C2100" s="1">
        <f t="shared" si="602"/>
        <v>5.1203459294248299E-2</v>
      </c>
      <c r="D2100">
        <v>9.5238095238095006</v>
      </c>
      <c r="E2100">
        <v>0.38622878961972001</v>
      </c>
      <c r="F2100">
        <v>15</v>
      </c>
      <c r="H2100" t="s">
        <v>22</v>
      </c>
      <c r="I2100">
        <f t="shared" ref="I2100" si="620">STDEVP(F2081:F2100)</f>
        <v>0.47696960070847277</v>
      </c>
    </row>
    <row r="2101" spans="1:9" x14ac:dyDescent="0.25">
      <c r="C2101" s="1" t="str">
        <f t="shared" si="602"/>
        <v/>
      </c>
    </row>
    <row r="2102" spans="1:9" x14ac:dyDescent="0.25">
      <c r="A2102">
        <v>1463.5875000000001</v>
      </c>
      <c r="B2102">
        <v>1498.675</v>
      </c>
      <c r="C2102" s="1">
        <f t="shared" si="602"/>
        <v>2.3973626448708929E-2</v>
      </c>
      <c r="D2102">
        <v>17.132278481013</v>
      </c>
      <c r="E2102">
        <v>0.30142974228299002</v>
      </c>
      <c r="F2102">
        <v>36</v>
      </c>
    </row>
    <row r="2103" spans="1:9" x14ac:dyDescent="0.25">
      <c r="A2103">
        <v>1470.7</v>
      </c>
      <c r="B2103">
        <v>1509.3625</v>
      </c>
      <c r="C2103" s="1">
        <f t="shared" si="602"/>
        <v>2.6288502073842368E-2</v>
      </c>
      <c r="D2103">
        <v>17.521518987341999</v>
      </c>
      <c r="E2103">
        <v>0.3082080421617</v>
      </c>
      <c r="F2103">
        <v>35</v>
      </c>
    </row>
    <row r="2104" spans="1:9" x14ac:dyDescent="0.25">
      <c r="A2104">
        <v>1463.375</v>
      </c>
      <c r="B2104">
        <v>1502.09375</v>
      </c>
      <c r="C2104" s="1">
        <f t="shared" si="602"/>
        <v>2.6458529085162663E-2</v>
      </c>
      <c r="D2104">
        <v>17.345569620252999</v>
      </c>
      <c r="E2104">
        <v>0.30625937436736</v>
      </c>
      <c r="F2104">
        <v>36</v>
      </c>
    </row>
    <row r="2105" spans="1:9" x14ac:dyDescent="0.25">
      <c r="A2105">
        <v>1462.4875</v>
      </c>
      <c r="B2105">
        <v>1497.5374999999999</v>
      </c>
      <c r="C2105" s="1">
        <f t="shared" si="602"/>
        <v>2.3966016803562473E-2</v>
      </c>
      <c r="D2105">
        <v>17.471518987342002</v>
      </c>
      <c r="E2105">
        <v>0.30931083078193999</v>
      </c>
      <c r="F2105">
        <v>35</v>
      </c>
    </row>
    <row r="2106" spans="1:9" x14ac:dyDescent="0.25">
      <c r="A2106">
        <v>1477.3875</v>
      </c>
      <c r="B2106">
        <v>1517.6937499999999</v>
      </c>
      <c r="C2106" s="1">
        <f t="shared" si="602"/>
        <v>2.7282111159055988E-2</v>
      </c>
      <c r="D2106">
        <v>17.412025316455999</v>
      </c>
      <c r="E2106">
        <v>0.30416660499414999</v>
      </c>
      <c r="F2106">
        <v>35</v>
      </c>
    </row>
    <row r="2107" spans="1:9" x14ac:dyDescent="0.25">
      <c r="A2107">
        <v>1482.95</v>
      </c>
      <c r="B2107">
        <v>1517.3</v>
      </c>
      <c r="C2107" s="1">
        <f t="shared" si="602"/>
        <v>2.3163289389392716E-2</v>
      </c>
      <c r="D2107">
        <v>17.521518987341999</v>
      </c>
      <c r="E2107">
        <v>0.30499433158702999</v>
      </c>
      <c r="F2107">
        <v>36</v>
      </c>
    </row>
    <row r="2108" spans="1:9" x14ac:dyDescent="0.25">
      <c r="A2108">
        <v>1449.3125</v>
      </c>
      <c r="B2108">
        <v>1498.7437500000001</v>
      </c>
      <c r="C2108" s="1">
        <f t="shared" si="602"/>
        <v>3.4106688516106765E-2</v>
      </c>
      <c r="D2108">
        <v>17.214556962025</v>
      </c>
      <c r="E2108">
        <v>0.30716815522263002</v>
      </c>
      <c r="F2108">
        <v>36</v>
      </c>
    </row>
    <row r="2109" spans="1:9" x14ac:dyDescent="0.25">
      <c r="A2109">
        <v>1473.875</v>
      </c>
      <c r="B2109">
        <v>1509.5125</v>
      </c>
      <c r="C2109" s="1">
        <f t="shared" si="602"/>
        <v>2.4179458909337592E-2</v>
      </c>
      <c r="D2109">
        <v>17.399999999999999</v>
      </c>
      <c r="E2109">
        <v>0.30467686155689</v>
      </c>
      <c r="F2109">
        <v>35</v>
      </c>
    </row>
    <row r="2110" spans="1:9" x14ac:dyDescent="0.25">
      <c r="A2110">
        <v>1461.5875000000001</v>
      </c>
      <c r="B2110">
        <v>1500.3875</v>
      </c>
      <c r="C2110" s="1">
        <f t="shared" si="602"/>
        <v>2.6546477716866024E-2</v>
      </c>
      <c r="D2110">
        <v>17.239873417721999</v>
      </c>
      <c r="E2110">
        <v>0.30413207367435002</v>
      </c>
      <c r="F2110">
        <v>35</v>
      </c>
    </row>
    <row r="2111" spans="1:9" x14ac:dyDescent="0.25">
      <c r="A2111">
        <v>1461.8125</v>
      </c>
      <c r="B2111">
        <v>1501.29375</v>
      </c>
      <c r="C2111" s="1">
        <f t="shared" si="602"/>
        <v>2.7008422762837325E-2</v>
      </c>
      <c r="D2111">
        <v>17.143670886075999</v>
      </c>
      <c r="E2111">
        <v>0.30214597929053999</v>
      </c>
      <c r="F2111">
        <v>35</v>
      </c>
    </row>
    <row r="2112" spans="1:9" x14ac:dyDescent="0.25">
      <c r="A2112">
        <v>1479.8375000000001</v>
      </c>
      <c r="B2112">
        <v>1513.15625</v>
      </c>
      <c r="C2112" s="1">
        <f t="shared" si="602"/>
        <v>2.2515141020551077E-2</v>
      </c>
      <c r="D2112">
        <v>17.514556962025001</v>
      </c>
      <c r="E2112">
        <v>0.30569586911848001</v>
      </c>
      <c r="F2112">
        <v>35</v>
      </c>
    </row>
    <row r="2113" spans="1:9" x14ac:dyDescent="0.25">
      <c r="A2113">
        <v>1472.3875</v>
      </c>
      <c r="B2113">
        <v>1511.3812499999999</v>
      </c>
      <c r="C2113" s="1">
        <f t="shared" si="602"/>
        <v>2.6483347624181697E-2</v>
      </c>
      <c r="D2113">
        <v>17.45</v>
      </c>
      <c r="E2113">
        <v>0.30633561982166002</v>
      </c>
      <c r="F2113">
        <v>36</v>
      </c>
    </row>
    <row r="2114" spans="1:9" x14ac:dyDescent="0.25">
      <c r="A2114">
        <v>1459.05</v>
      </c>
      <c r="B2114">
        <v>1498.39375</v>
      </c>
      <c r="C2114" s="1">
        <f t="shared" ref="C2114:C2177" si="621">IFERROR((B2114/A2114)-1,"")</f>
        <v>2.6965319899934892E-2</v>
      </c>
      <c r="D2114">
        <v>17.330379746835</v>
      </c>
      <c r="E2114">
        <v>0.30696137965006998</v>
      </c>
      <c r="F2114">
        <v>35</v>
      </c>
    </row>
    <row r="2115" spans="1:9" x14ac:dyDescent="0.25">
      <c r="A2115">
        <v>1480.75</v>
      </c>
      <c r="B2115">
        <v>1513.625</v>
      </c>
      <c r="C2115" s="1">
        <f t="shared" si="621"/>
        <v>2.2201587033597869E-2</v>
      </c>
      <c r="D2115">
        <v>17.277215189873001</v>
      </c>
      <c r="E2115">
        <v>0.30023190249754</v>
      </c>
      <c r="F2115">
        <v>36</v>
      </c>
    </row>
    <row r="2116" spans="1:9" x14ac:dyDescent="0.25">
      <c r="A2116">
        <v>1470.7249999999999</v>
      </c>
      <c r="B2116">
        <v>1515.33125</v>
      </c>
      <c r="C2116" s="1">
        <f t="shared" si="621"/>
        <v>3.0329429363069371E-2</v>
      </c>
      <c r="D2116">
        <v>17.755696202532</v>
      </c>
      <c r="E2116">
        <v>0.31388810053090999</v>
      </c>
      <c r="F2116">
        <v>36</v>
      </c>
      <c r="H2116" t="s">
        <v>17</v>
      </c>
      <c r="I2116">
        <f t="shared" ref="I2116" si="622">STDEVP(A2102:A2121)</f>
        <v>10.732233429021187</v>
      </c>
    </row>
    <row r="2117" spans="1:9" x14ac:dyDescent="0.25">
      <c r="A2117">
        <v>1461.2625</v>
      </c>
      <c r="B2117">
        <v>1497.95</v>
      </c>
      <c r="C2117" s="1">
        <f t="shared" si="621"/>
        <v>2.5106714228278593E-2</v>
      </c>
      <c r="D2117">
        <v>17.179113924050998</v>
      </c>
      <c r="E2117">
        <v>0.30282336857442999</v>
      </c>
      <c r="F2117">
        <v>35</v>
      </c>
      <c r="H2117" t="s">
        <v>18</v>
      </c>
      <c r="I2117">
        <f t="shared" ref="I2117" si="623">STDEVP(B2102:B2121)</f>
        <v>8.3198448753567291</v>
      </c>
    </row>
    <row r="2118" spans="1:9" x14ac:dyDescent="0.25">
      <c r="A2118">
        <v>1468.35</v>
      </c>
      <c r="B2118">
        <v>1513.15625</v>
      </c>
      <c r="C2118" s="1">
        <f t="shared" si="621"/>
        <v>3.0514693363298928E-2</v>
      </c>
      <c r="D2118">
        <v>17.515189873417999</v>
      </c>
      <c r="E2118">
        <v>0.30869081408853999</v>
      </c>
      <c r="F2118">
        <v>35</v>
      </c>
      <c r="H2118" t="s">
        <v>19</v>
      </c>
      <c r="I2118">
        <f t="shared" ref="I2118" si="624">STDEVP(C2102:C2121)</f>
        <v>3.4347964902634539E-3</v>
      </c>
    </row>
    <row r="2119" spans="1:9" x14ac:dyDescent="0.25">
      <c r="A2119">
        <v>1446.2</v>
      </c>
      <c r="B2119">
        <v>1492.40625</v>
      </c>
      <c r="C2119" s="1">
        <f t="shared" si="621"/>
        <v>3.1950110634767048E-2</v>
      </c>
      <c r="D2119">
        <v>17.294936708861002</v>
      </c>
      <c r="E2119">
        <v>0.30989519378502001</v>
      </c>
      <c r="F2119">
        <v>35</v>
      </c>
      <c r="H2119" t="s">
        <v>20</v>
      </c>
      <c r="I2119">
        <f t="shared" ref="I2119" si="625">STDEVP(D2102:D2121)</f>
        <v>0.15873943877177213</v>
      </c>
    </row>
    <row r="2120" spans="1:9" x14ac:dyDescent="0.25">
      <c r="A2120">
        <v>1477.6</v>
      </c>
      <c r="B2120">
        <v>1518.5062499999999</v>
      </c>
      <c r="C2120" s="1">
        <f t="shared" si="621"/>
        <v>2.7684251488900857E-2</v>
      </c>
      <c r="D2120">
        <v>17.427848101266001</v>
      </c>
      <c r="E2120">
        <v>0.30456781548369999</v>
      </c>
      <c r="F2120">
        <v>35</v>
      </c>
      <c r="H2120" t="s">
        <v>21</v>
      </c>
      <c r="I2120">
        <f t="shared" ref="I2120" si="626">STDEVP(E2102:E2121)</f>
        <v>3.116652729747304E-3</v>
      </c>
    </row>
    <row r="2121" spans="1:9" x14ac:dyDescent="0.25">
      <c r="A2121">
        <v>1488.8625</v>
      </c>
      <c r="B2121">
        <v>1517.76875</v>
      </c>
      <c r="C2121" s="1">
        <f t="shared" si="621"/>
        <v>1.9414989631346025E-2</v>
      </c>
      <c r="D2121">
        <v>17.590506329114</v>
      </c>
      <c r="E2121">
        <v>0.30496756339344</v>
      </c>
      <c r="F2121">
        <v>35</v>
      </c>
      <c r="H2121" t="s">
        <v>22</v>
      </c>
      <c r="I2121">
        <f t="shared" ref="I2121" si="627">STDEVP(F2102:F2121)</f>
        <v>0.47696960070847294</v>
      </c>
    </row>
    <row r="2122" spans="1:9" x14ac:dyDescent="0.25">
      <c r="C2122" s="1" t="str">
        <f t="shared" si="621"/>
        <v/>
      </c>
    </row>
    <row r="2123" spans="1:9" x14ac:dyDescent="0.25">
      <c r="A2123">
        <v>862.04690503652</v>
      </c>
      <c r="B2123">
        <v>907.89773164167002</v>
      </c>
      <c r="C2123" s="1">
        <f t="shared" si="621"/>
        <v>5.3188319959466268E-2</v>
      </c>
      <c r="D2123">
        <v>12.980392156862999</v>
      </c>
      <c r="E2123">
        <v>0.42150691283280001</v>
      </c>
      <c r="F2123">
        <v>20</v>
      </c>
    </row>
    <row r="2124" spans="1:9" x14ac:dyDescent="0.25">
      <c r="A2124">
        <v>866.38369857747</v>
      </c>
      <c r="B2124">
        <v>905.58323721645002</v>
      </c>
      <c r="C2124" s="1">
        <f t="shared" si="621"/>
        <v>4.5245009460984198E-2</v>
      </c>
      <c r="D2124">
        <v>13.201568627451</v>
      </c>
      <c r="E2124">
        <v>0.42773437176742002</v>
      </c>
      <c r="F2124">
        <v>20</v>
      </c>
    </row>
    <row r="2125" spans="1:9" x14ac:dyDescent="0.25">
      <c r="A2125">
        <v>861.83083429450005</v>
      </c>
      <c r="B2125">
        <v>896.75586312956</v>
      </c>
      <c r="C2125" s="1">
        <f t="shared" si="621"/>
        <v>4.0524227545942759E-2</v>
      </c>
      <c r="D2125">
        <v>12.991372549019999</v>
      </c>
      <c r="E2125">
        <v>0.42185245290151002</v>
      </c>
      <c r="F2125">
        <v>20</v>
      </c>
    </row>
    <row r="2126" spans="1:9" x14ac:dyDescent="0.25">
      <c r="A2126">
        <v>871.09265667051</v>
      </c>
      <c r="B2126">
        <v>905.55555555554997</v>
      </c>
      <c r="C2126" s="1">
        <f t="shared" si="621"/>
        <v>3.9562839407651706E-2</v>
      </c>
      <c r="D2126">
        <v>13.113725490196</v>
      </c>
      <c r="E2126">
        <v>0.42053738436964999</v>
      </c>
      <c r="F2126">
        <v>21</v>
      </c>
    </row>
    <row r="2127" spans="1:9" x14ac:dyDescent="0.25">
      <c r="A2127">
        <v>865.47251057285996</v>
      </c>
      <c r="B2127">
        <v>893.4309880815</v>
      </c>
      <c r="C2127" s="1">
        <f t="shared" si="621"/>
        <v>3.2304292934889567E-2</v>
      </c>
      <c r="D2127">
        <v>13.145098039216</v>
      </c>
      <c r="E2127">
        <v>0.42549436427032</v>
      </c>
      <c r="F2127">
        <v>20</v>
      </c>
    </row>
    <row r="2128" spans="1:9" x14ac:dyDescent="0.25">
      <c r="A2128">
        <v>865.40253748557996</v>
      </c>
      <c r="B2128">
        <v>893.08419838523002</v>
      </c>
      <c r="C2128" s="1">
        <f t="shared" si="621"/>
        <v>3.1987034588642382E-2</v>
      </c>
      <c r="D2128">
        <v>13.143529411765</v>
      </c>
      <c r="E2128">
        <v>0.42578609422949998</v>
      </c>
      <c r="F2128">
        <v>20</v>
      </c>
    </row>
    <row r="2129" spans="1:9" x14ac:dyDescent="0.25">
      <c r="A2129">
        <v>861.12495194155997</v>
      </c>
      <c r="B2129">
        <v>899.18800461360001</v>
      </c>
      <c r="C2129" s="1">
        <f t="shared" si="621"/>
        <v>4.4201544254663716E-2</v>
      </c>
      <c r="D2129">
        <v>13.071372549019999</v>
      </c>
      <c r="E2129">
        <v>0.42594887356416</v>
      </c>
      <c r="F2129">
        <v>21</v>
      </c>
    </row>
    <row r="2130" spans="1:9" x14ac:dyDescent="0.25">
      <c r="A2130">
        <v>853.86697424067995</v>
      </c>
      <c r="B2130">
        <v>894.82506728180999</v>
      </c>
      <c r="C2130" s="1">
        <f t="shared" si="621"/>
        <v>4.7967768138067246E-2</v>
      </c>
      <c r="D2130">
        <v>13.159215686274999</v>
      </c>
      <c r="E2130">
        <v>0.43423175208791998</v>
      </c>
      <c r="F2130">
        <v>20</v>
      </c>
    </row>
    <row r="2131" spans="1:9" x14ac:dyDescent="0.25">
      <c r="A2131">
        <v>876.56747404843998</v>
      </c>
      <c r="B2131">
        <v>906.41522491348996</v>
      </c>
      <c r="C2131" s="1">
        <f t="shared" si="621"/>
        <v>3.4050716857194852E-2</v>
      </c>
      <c r="D2131">
        <v>13.312941176471</v>
      </c>
      <c r="E2131">
        <v>0.42562389805911</v>
      </c>
      <c r="F2131">
        <v>20</v>
      </c>
    </row>
    <row r="2132" spans="1:9" x14ac:dyDescent="0.25">
      <c r="A2132">
        <v>862.38523644752001</v>
      </c>
      <c r="B2132">
        <v>894.81584006151002</v>
      </c>
      <c r="C2132" s="1">
        <f t="shared" si="621"/>
        <v>3.7605703626819365E-2</v>
      </c>
      <c r="D2132">
        <v>13.237647058824001</v>
      </c>
      <c r="E2132">
        <v>0.43207467244828002</v>
      </c>
      <c r="F2132">
        <v>21</v>
      </c>
    </row>
    <row r="2133" spans="1:9" x14ac:dyDescent="0.25">
      <c r="A2133">
        <v>860.88119953863998</v>
      </c>
      <c r="B2133">
        <v>896.88965782391006</v>
      </c>
      <c r="C2133" s="1">
        <f t="shared" si="621"/>
        <v>4.182744181725373E-2</v>
      </c>
      <c r="D2133">
        <v>13.232941176471</v>
      </c>
      <c r="E2133">
        <v>0.43375132190548998</v>
      </c>
      <c r="F2133">
        <v>20</v>
      </c>
    </row>
    <row r="2134" spans="1:9" x14ac:dyDescent="0.25">
      <c r="A2134">
        <v>863.65474817378004</v>
      </c>
      <c r="B2134">
        <v>892.56593617838996</v>
      </c>
      <c r="C2134" s="1">
        <f t="shared" si="621"/>
        <v>3.347539982353287E-2</v>
      </c>
      <c r="D2134">
        <v>12.980392156862999</v>
      </c>
      <c r="E2134">
        <v>0.41898819493597</v>
      </c>
      <c r="F2134">
        <v>20</v>
      </c>
    </row>
    <row r="2135" spans="1:9" x14ac:dyDescent="0.25">
      <c r="A2135">
        <v>848.92964244520999</v>
      </c>
      <c r="B2135">
        <v>887.96924259899004</v>
      </c>
      <c r="C2135" s="1">
        <f t="shared" si="621"/>
        <v>4.5986850030742765E-2</v>
      </c>
      <c r="D2135">
        <v>13.049411764706001</v>
      </c>
      <c r="E2135">
        <v>0.43315164543466</v>
      </c>
      <c r="F2135">
        <v>21</v>
      </c>
    </row>
    <row r="2136" spans="1:9" x14ac:dyDescent="0.25">
      <c r="A2136">
        <v>866.09842368320005</v>
      </c>
      <c r="B2136">
        <v>899.49865436369998</v>
      </c>
      <c r="C2136" s="1">
        <f t="shared" si="621"/>
        <v>3.8564012780973433E-2</v>
      </c>
      <c r="D2136">
        <v>13.189019607843001</v>
      </c>
      <c r="E2136">
        <v>0.42782710953454001</v>
      </c>
      <c r="F2136">
        <v>20</v>
      </c>
    </row>
    <row r="2137" spans="1:9" x14ac:dyDescent="0.25">
      <c r="A2137">
        <v>860.74048442906997</v>
      </c>
      <c r="B2137">
        <v>891.59323337177</v>
      </c>
      <c r="C2137" s="1">
        <f t="shared" si="621"/>
        <v>3.584442639893326E-2</v>
      </c>
      <c r="D2137">
        <v>13.091764705881999</v>
      </c>
      <c r="E2137">
        <v>0.42639732746087</v>
      </c>
      <c r="F2137">
        <v>20</v>
      </c>
      <c r="H2137" t="s">
        <v>17</v>
      </c>
      <c r="I2137">
        <f t="shared" ref="I2137" si="628">STDEVP(A2123:A2142)</f>
        <v>6.096140942575798</v>
      </c>
    </row>
    <row r="2138" spans="1:9" x14ac:dyDescent="0.25">
      <c r="A2138">
        <v>861.70780469049998</v>
      </c>
      <c r="B2138">
        <v>896.12995001922002</v>
      </c>
      <c r="C2138" s="1">
        <f t="shared" si="621"/>
        <v>3.9946423998194369E-2</v>
      </c>
      <c r="D2138">
        <v>13.225098039216</v>
      </c>
      <c r="E2138">
        <v>0.43188100009935998</v>
      </c>
      <c r="F2138">
        <v>21</v>
      </c>
      <c r="H2138" t="s">
        <v>18</v>
      </c>
      <c r="I2138">
        <f t="shared" ref="I2138" si="629">STDEVP(B2123:B2142)</f>
        <v>6.090430609631575</v>
      </c>
    </row>
    <row r="2139" spans="1:9" x14ac:dyDescent="0.25">
      <c r="A2139">
        <v>865.02652825836003</v>
      </c>
      <c r="B2139">
        <v>895.03883121876004</v>
      </c>
      <c r="C2139" s="1">
        <f t="shared" si="621"/>
        <v>3.4695239949261047E-2</v>
      </c>
      <c r="D2139">
        <v>13.242352941176</v>
      </c>
      <c r="E2139">
        <v>0.43045814928072001</v>
      </c>
      <c r="F2139">
        <v>20</v>
      </c>
      <c r="H2139" t="s">
        <v>19</v>
      </c>
      <c r="I2139">
        <f t="shared" ref="I2139" si="630">STDEVP(C2123:C2142)</f>
        <v>6.4960138770299089E-3</v>
      </c>
    </row>
    <row r="2140" spans="1:9" x14ac:dyDescent="0.25">
      <c r="A2140">
        <v>866.21453287197005</v>
      </c>
      <c r="B2140">
        <v>891.02499038831002</v>
      </c>
      <c r="C2140" s="1">
        <f t="shared" si="621"/>
        <v>2.8642393512009034E-2</v>
      </c>
      <c r="D2140">
        <v>13.072941176471</v>
      </c>
      <c r="E2140">
        <v>0.42161727142090999</v>
      </c>
      <c r="F2140">
        <v>20</v>
      </c>
      <c r="H2140" t="s">
        <v>20</v>
      </c>
      <c r="I2140">
        <f t="shared" ref="I2140" si="631">STDEVP(D2123:D2142)</f>
        <v>9.1022944747934417E-2</v>
      </c>
    </row>
    <row r="2141" spans="1:9" x14ac:dyDescent="0.25">
      <c r="A2141">
        <v>856.16993464051995</v>
      </c>
      <c r="B2141">
        <v>883.87697039600005</v>
      </c>
      <c r="C2141" s="1">
        <f t="shared" si="621"/>
        <v>3.2361607940733617E-2</v>
      </c>
      <c r="D2141">
        <v>13.146666666667</v>
      </c>
      <c r="E2141">
        <v>0.43264972555138997</v>
      </c>
      <c r="F2141">
        <v>21</v>
      </c>
      <c r="H2141" t="s">
        <v>21</v>
      </c>
      <c r="I2141">
        <f t="shared" ref="I2141" si="632">STDEVP(E2123:E2142)</f>
        <v>4.9367885214063991E-3</v>
      </c>
    </row>
    <row r="2142" spans="1:9" x14ac:dyDescent="0.25">
      <c r="A2142">
        <v>873.21261053441003</v>
      </c>
      <c r="B2142">
        <v>897.93540945790005</v>
      </c>
      <c r="C2142" s="1">
        <f t="shared" si="621"/>
        <v>2.8312462079950418E-2</v>
      </c>
      <c r="D2142">
        <v>13.127843137255001</v>
      </c>
      <c r="E2142">
        <v>0.41932959234977002</v>
      </c>
      <c r="F2142">
        <v>20</v>
      </c>
      <c r="H2142" t="s">
        <v>22</v>
      </c>
      <c r="I2142">
        <f t="shared" ref="I2142" si="633">STDEVP(F2123:F2142)</f>
        <v>0.45825756949558394</v>
      </c>
    </row>
    <row r="2143" spans="1:9" x14ac:dyDescent="0.25">
      <c r="C2143" s="1" t="str">
        <f t="shared" si="621"/>
        <v/>
      </c>
    </row>
    <row r="2144" spans="1:9" x14ac:dyDescent="0.25">
      <c r="A2144">
        <v>2301.8079561043</v>
      </c>
      <c r="B2144">
        <v>2370.6474622771002</v>
      </c>
      <c r="C2144" s="1">
        <f t="shared" si="621"/>
        <v>2.9906711370182082E-2</v>
      </c>
      <c r="D2144">
        <v>16.336182336181999</v>
      </c>
      <c r="E2144">
        <v>0.15844175143010999</v>
      </c>
      <c r="F2144">
        <v>22</v>
      </c>
    </row>
    <row r="2145" spans="1:9" x14ac:dyDescent="0.25">
      <c r="A2145">
        <v>2307.9533607682001</v>
      </c>
      <c r="B2145">
        <v>2388.5130315501001</v>
      </c>
      <c r="C2145" s="1">
        <f t="shared" si="621"/>
        <v>3.4905242086471722E-2</v>
      </c>
      <c r="D2145">
        <v>16.347578347578001</v>
      </c>
      <c r="E2145">
        <v>0.15818406152139</v>
      </c>
      <c r="F2145">
        <v>23</v>
      </c>
    </row>
    <row r="2146" spans="1:9" x14ac:dyDescent="0.25">
      <c r="A2146">
        <v>2317.3662551440002</v>
      </c>
      <c r="B2146">
        <v>2378.8038408779998</v>
      </c>
      <c r="C2146" s="1">
        <f t="shared" si="621"/>
        <v>2.6511815125305649E-2</v>
      </c>
      <c r="D2146">
        <v>16.017094017093999</v>
      </c>
      <c r="E2146">
        <v>0.15383890075500001</v>
      </c>
      <c r="F2146">
        <v>23</v>
      </c>
    </row>
    <row r="2147" spans="1:9" x14ac:dyDescent="0.25">
      <c r="A2147">
        <v>2293.3168724279999</v>
      </c>
      <c r="B2147">
        <v>2372.5240054870001</v>
      </c>
      <c r="C2147" s="1">
        <f t="shared" si="621"/>
        <v>3.4538241972266626E-2</v>
      </c>
      <c r="D2147">
        <v>16.376068376068002</v>
      </c>
      <c r="E2147">
        <v>0.15957983257917999</v>
      </c>
      <c r="F2147">
        <v>23</v>
      </c>
    </row>
    <row r="2148" spans="1:9" x14ac:dyDescent="0.25">
      <c r="A2148">
        <v>2305.3662551440002</v>
      </c>
      <c r="B2148">
        <v>2369.0727023320001</v>
      </c>
      <c r="C2148" s="1">
        <f t="shared" si="621"/>
        <v>2.7633980954588244E-2</v>
      </c>
      <c r="D2148">
        <v>16.324786324786</v>
      </c>
      <c r="E2148">
        <v>0.15805455082476</v>
      </c>
      <c r="F2148">
        <v>22</v>
      </c>
    </row>
    <row r="2149" spans="1:9" x14ac:dyDescent="0.25">
      <c r="A2149">
        <v>2294.2441700959998</v>
      </c>
      <c r="B2149">
        <v>2376.9272976681</v>
      </c>
      <c r="C2149" s="1">
        <f t="shared" si="621"/>
        <v>3.6039375690618103E-2</v>
      </c>
      <c r="D2149">
        <v>16.216524216524</v>
      </c>
      <c r="E2149">
        <v>0.15766402133971</v>
      </c>
      <c r="F2149">
        <v>23</v>
      </c>
    </row>
    <row r="2150" spans="1:9" x14ac:dyDescent="0.25">
      <c r="A2150">
        <v>2311.8847736625999</v>
      </c>
      <c r="B2150">
        <v>2374.0960219479002</v>
      </c>
      <c r="C2150" s="1">
        <f t="shared" si="621"/>
        <v>2.6909320479126864E-2</v>
      </c>
      <c r="D2150">
        <v>16.324786324786</v>
      </c>
      <c r="E2150">
        <v>0.15752243157262</v>
      </c>
      <c r="F2150">
        <v>23</v>
      </c>
    </row>
    <row r="2151" spans="1:9" x14ac:dyDescent="0.25">
      <c r="A2151">
        <v>2291.6241426612</v>
      </c>
      <c r="B2151">
        <v>2382.0219478737999</v>
      </c>
      <c r="C2151" s="1">
        <f t="shared" si="621"/>
        <v>3.9447046978490663E-2</v>
      </c>
      <c r="D2151">
        <v>16.176638176638001</v>
      </c>
      <c r="E2151">
        <v>0.15746682458887001</v>
      </c>
      <c r="F2151">
        <v>23</v>
      </c>
    </row>
    <row r="2152" spans="1:9" x14ac:dyDescent="0.25">
      <c r="A2152">
        <v>2306.9794238682998</v>
      </c>
      <c r="B2152">
        <v>2367.2702331962</v>
      </c>
      <c r="C2152" s="1">
        <f t="shared" si="621"/>
        <v>2.6134090622622841E-2</v>
      </c>
      <c r="D2152">
        <v>16.239316239316</v>
      </c>
      <c r="E2152">
        <v>0.15695711541832999</v>
      </c>
      <c r="F2152">
        <v>22</v>
      </c>
    </row>
    <row r="2153" spans="1:9" x14ac:dyDescent="0.25">
      <c r="A2153">
        <v>2314.9465020575999</v>
      </c>
      <c r="B2153">
        <v>2378.8395061729002</v>
      </c>
      <c r="C2153" s="1">
        <f t="shared" si="621"/>
        <v>2.7600207632664464E-2</v>
      </c>
      <c r="D2153">
        <v>16.222222222222001</v>
      </c>
      <c r="E2153">
        <v>0.15609992737023001</v>
      </c>
      <c r="F2153">
        <v>23</v>
      </c>
    </row>
    <row r="2154" spans="1:9" x14ac:dyDescent="0.25">
      <c r="A2154">
        <v>2289.7887517147001</v>
      </c>
      <c r="B2154">
        <v>2357.0562414267001</v>
      </c>
      <c r="C2154" s="1">
        <f t="shared" si="621"/>
        <v>2.9377159644804252E-2</v>
      </c>
      <c r="D2154">
        <v>16.262108262108001</v>
      </c>
      <c r="E2154">
        <v>0.15855992121834001</v>
      </c>
      <c r="F2154">
        <v>23</v>
      </c>
    </row>
    <row r="2155" spans="1:9" x14ac:dyDescent="0.25">
      <c r="A2155">
        <v>2307.7338820302002</v>
      </c>
      <c r="B2155">
        <v>2377.8106995885</v>
      </c>
      <c r="C2155" s="1">
        <f t="shared" si="621"/>
        <v>3.0366073880516264E-2</v>
      </c>
      <c r="D2155">
        <v>16.182336182336002</v>
      </c>
      <c r="E2155">
        <v>0.15624191961517001</v>
      </c>
      <c r="F2155">
        <v>22</v>
      </c>
    </row>
    <row r="2156" spans="1:9" x14ac:dyDescent="0.25">
      <c r="A2156">
        <v>2310.8065843620998</v>
      </c>
      <c r="B2156">
        <v>2377.09739369</v>
      </c>
      <c r="C2156" s="1">
        <f t="shared" si="621"/>
        <v>2.8687303289037347E-2</v>
      </c>
      <c r="D2156">
        <v>16.34188034188</v>
      </c>
      <c r="E2156">
        <v>0.15784080285706001</v>
      </c>
      <c r="F2156">
        <v>23</v>
      </c>
    </row>
    <row r="2157" spans="1:9" x14ac:dyDescent="0.25">
      <c r="A2157">
        <v>2319.6652949245999</v>
      </c>
      <c r="B2157">
        <v>2379.9533607682001</v>
      </c>
      <c r="C2157" s="1">
        <f t="shared" si="621"/>
        <v>2.5989984837687441E-2</v>
      </c>
      <c r="D2157">
        <v>16.467236467235999</v>
      </c>
      <c r="E2157">
        <v>0.15844048613692999</v>
      </c>
      <c r="F2157">
        <v>23</v>
      </c>
    </row>
    <row r="2158" spans="1:9" x14ac:dyDescent="0.25">
      <c r="A2158">
        <v>2306.0740740740998</v>
      </c>
      <c r="B2158">
        <v>2374.9931412894998</v>
      </c>
      <c r="C2158" s="1">
        <f t="shared" si="621"/>
        <v>2.9885886143128815E-2</v>
      </c>
      <c r="D2158">
        <v>16.153846153846001</v>
      </c>
      <c r="E2158">
        <v>0.15610001326473</v>
      </c>
      <c r="F2158">
        <v>22</v>
      </c>
      <c r="H2158" t="s">
        <v>17</v>
      </c>
      <c r="I2158">
        <f t="shared" ref="I2158" si="634">STDEVP(A2144:A2163)</f>
        <v>10.350382189375708</v>
      </c>
    </row>
    <row r="2159" spans="1:9" x14ac:dyDescent="0.25">
      <c r="A2159">
        <v>2305.5747599451001</v>
      </c>
      <c r="B2159">
        <v>2363.7475994513002</v>
      </c>
      <c r="C2159" s="1">
        <f t="shared" si="621"/>
        <v>2.5231382871135022E-2</v>
      </c>
      <c r="D2159">
        <v>16.381766381765999</v>
      </c>
      <c r="E2159">
        <v>0.15868498019442001</v>
      </c>
      <c r="F2159">
        <v>23</v>
      </c>
      <c r="H2159" t="s">
        <v>18</v>
      </c>
      <c r="I2159">
        <f t="shared" ref="I2159" si="635">STDEVP(B2144:B2163)</f>
        <v>7.6902546692956388</v>
      </c>
    </row>
    <row r="2160" spans="1:9" x14ac:dyDescent="0.25">
      <c r="A2160">
        <v>2303.1796982167002</v>
      </c>
      <c r="B2160">
        <v>2372.364883402</v>
      </c>
      <c r="C2160" s="1">
        <f t="shared" si="621"/>
        <v>3.0038987074637813E-2</v>
      </c>
      <c r="D2160">
        <v>16.022792022792</v>
      </c>
      <c r="E2160">
        <v>0.15479614304426001</v>
      </c>
      <c r="F2160">
        <v>23</v>
      </c>
      <c r="H2160" t="s">
        <v>19</v>
      </c>
      <c r="I2160">
        <f t="shared" ref="I2160" si="636">STDEVP(C2144:C2163)</f>
        <v>4.2227471825984596E-3</v>
      </c>
    </row>
    <row r="2161" spans="1:9" x14ac:dyDescent="0.25">
      <c r="A2161">
        <v>2287.7969821674001</v>
      </c>
      <c r="B2161">
        <v>2356.548696845</v>
      </c>
      <c r="C2161" s="1">
        <f t="shared" si="621"/>
        <v>3.0051492861252971E-2</v>
      </c>
      <c r="D2161">
        <v>16.227920227919999</v>
      </c>
      <c r="E2161">
        <v>0.15837150631885</v>
      </c>
      <c r="F2161">
        <v>22</v>
      </c>
      <c r="H2161" t="s">
        <v>20</v>
      </c>
      <c r="I2161">
        <f t="shared" ref="I2161" si="637">STDEVP(D2144:D2163)</f>
        <v>0.11689941614270774</v>
      </c>
    </row>
    <row r="2162" spans="1:9" x14ac:dyDescent="0.25">
      <c r="A2162">
        <v>2320.2743484225002</v>
      </c>
      <c r="B2162">
        <v>2372.5130315501001</v>
      </c>
      <c r="C2162" s="1">
        <f t="shared" si="621"/>
        <v>2.2514011398313993E-2</v>
      </c>
      <c r="D2162">
        <v>16.091168091168001</v>
      </c>
      <c r="E2162">
        <v>0.15431869596166001</v>
      </c>
      <c r="F2162">
        <v>23</v>
      </c>
      <c r="H2162" t="s">
        <v>21</v>
      </c>
      <c r="I2162">
        <f t="shared" ref="I2162" si="638">STDEVP(E2144:E2163)</f>
        <v>1.520436006334879E-3</v>
      </c>
    </row>
    <row r="2163" spans="1:9" x14ac:dyDescent="0.25">
      <c r="A2163">
        <v>2285.3991769547001</v>
      </c>
      <c r="B2163">
        <v>2368.6419753086998</v>
      </c>
      <c r="C2163" s="1">
        <f t="shared" si="621"/>
        <v>3.6423745660449924E-2</v>
      </c>
      <c r="D2163">
        <v>16.188034188033999</v>
      </c>
      <c r="E2163">
        <v>0.15813448380427</v>
      </c>
      <c r="F2163">
        <v>22</v>
      </c>
      <c r="H2163" t="s">
        <v>22</v>
      </c>
      <c r="I2163">
        <f t="shared" ref="I2163" si="639">STDEVP(F2144:F2163)</f>
        <v>0.47696960070847289</v>
      </c>
    </row>
    <row r="2164" spans="1:9" x14ac:dyDescent="0.25">
      <c r="C2164" s="1" t="str">
        <f t="shared" si="621"/>
        <v/>
      </c>
    </row>
    <row r="2165" spans="1:9" x14ac:dyDescent="0.25">
      <c r="A2165">
        <v>2015.6276816609</v>
      </c>
      <c r="B2165">
        <v>2060.7681660899998</v>
      </c>
      <c r="C2165" s="1">
        <f t="shared" si="621"/>
        <v>2.2395249301152553E-2</v>
      </c>
      <c r="D2165">
        <v>15.368067226891</v>
      </c>
      <c r="E2165">
        <v>0.17771331200085999</v>
      </c>
      <c r="F2165">
        <v>28</v>
      </c>
    </row>
    <row r="2166" spans="1:9" x14ac:dyDescent="0.25">
      <c r="A2166">
        <v>2020.9342560554001</v>
      </c>
      <c r="B2166">
        <v>2060.2726643598999</v>
      </c>
      <c r="C2166" s="1">
        <f t="shared" si="621"/>
        <v>1.9465456724595986E-2</v>
      </c>
      <c r="D2166">
        <v>15.33893557423</v>
      </c>
      <c r="E2166">
        <v>0.17673787388494</v>
      </c>
      <c r="F2166">
        <v>29</v>
      </c>
    </row>
    <row r="2167" spans="1:9" x14ac:dyDescent="0.25">
      <c r="A2167">
        <v>2015.3993079585</v>
      </c>
      <c r="B2167">
        <v>2054.5730103806</v>
      </c>
      <c r="C2167" s="1">
        <f t="shared" si="621"/>
        <v>1.9437191561696432E-2</v>
      </c>
      <c r="D2167">
        <v>15.391036414566001</v>
      </c>
      <c r="E2167">
        <v>0.17796569085172001</v>
      </c>
      <c r="F2167">
        <v>29</v>
      </c>
    </row>
    <row r="2168" spans="1:9" x14ac:dyDescent="0.25">
      <c r="A2168">
        <v>2010.6242214532999</v>
      </c>
      <c r="B2168">
        <v>2051.2166089964999</v>
      </c>
      <c r="C2168" s="1">
        <f t="shared" si="621"/>
        <v>2.0188947845191763E-2</v>
      </c>
      <c r="D2168">
        <v>15.370868347339</v>
      </c>
      <c r="E2168">
        <v>0.17817240030247999</v>
      </c>
      <c r="F2168">
        <v>28</v>
      </c>
    </row>
    <row r="2169" spans="1:9" x14ac:dyDescent="0.25">
      <c r="A2169">
        <v>2016.5688581315001</v>
      </c>
      <c r="B2169">
        <v>2052.6089965398</v>
      </c>
      <c r="C2169" s="1">
        <f t="shared" si="621"/>
        <v>1.7872009806644495E-2</v>
      </c>
      <c r="D2169">
        <v>15.387114845937999</v>
      </c>
      <c r="E2169">
        <v>0.17781416916526999</v>
      </c>
      <c r="F2169">
        <v>29</v>
      </c>
    </row>
    <row r="2170" spans="1:9" x14ac:dyDescent="0.25">
      <c r="A2170">
        <v>2015.5640138408</v>
      </c>
      <c r="B2170">
        <v>2055.6027681660998</v>
      </c>
      <c r="C2170" s="1">
        <f t="shared" si="621"/>
        <v>1.9864789235348068E-2</v>
      </c>
      <c r="D2170">
        <v>15.343417366947</v>
      </c>
      <c r="E2170">
        <v>0.17740036509116</v>
      </c>
      <c r="F2170">
        <v>28</v>
      </c>
    </row>
    <row r="2171" spans="1:9" x14ac:dyDescent="0.25">
      <c r="A2171">
        <v>2012.4083044982999</v>
      </c>
      <c r="B2171">
        <v>2048.8221453287001</v>
      </c>
      <c r="C2171" s="1">
        <f t="shared" si="621"/>
        <v>1.8094658399592678E-2</v>
      </c>
      <c r="D2171">
        <v>15.402801120448</v>
      </c>
      <c r="E2171">
        <v>0.17846098537048</v>
      </c>
      <c r="F2171">
        <v>29</v>
      </c>
    </row>
    <row r="2172" spans="1:9" x14ac:dyDescent="0.25">
      <c r="A2172">
        <v>2016.7266435986</v>
      </c>
      <c r="B2172">
        <v>2058.492733564</v>
      </c>
      <c r="C2172" s="1">
        <f t="shared" si="621"/>
        <v>2.0709841910390825E-2</v>
      </c>
      <c r="D2172">
        <v>15.364145658263</v>
      </c>
      <c r="E2172">
        <v>0.17750499107295001</v>
      </c>
      <c r="F2172">
        <v>29</v>
      </c>
    </row>
    <row r="2173" spans="1:9" x14ac:dyDescent="0.25">
      <c r="A2173">
        <v>2021.5543252595</v>
      </c>
      <c r="B2173">
        <v>2068.2532871971998</v>
      </c>
      <c r="C2173" s="1">
        <f t="shared" si="621"/>
        <v>2.3100522876972507E-2</v>
      </c>
      <c r="D2173">
        <v>15.332212885154</v>
      </c>
      <c r="E2173">
        <v>0.17663466633479</v>
      </c>
      <c r="F2173">
        <v>28</v>
      </c>
    </row>
    <row r="2174" spans="1:9" x14ac:dyDescent="0.25">
      <c r="A2174">
        <v>2017.7259515571</v>
      </c>
      <c r="B2174">
        <v>2053.2235294118</v>
      </c>
      <c r="C2174" s="1">
        <f t="shared" si="621"/>
        <v>1.7592863801601188E-2</v>
      </c>
      <c r="D2174">
        <v>15.355182072829001</v>
      </c>
      <c r="E2174">
        <v>0.17728399945786999</v>
      </c>
      <c r="F2174">
        <v>29</v>
      </c>
    </row>
    <row r="2175" spans="1:9" x14ac:dyDescent="0.25">
      <c r="A2175">
        <v>2026.4221453287</v>
      </c>
      <c r="B2175">
        <v>2063.5266435986</v>
      </c>
      <c r="C2175" s="1">
        <f t="shared" si="621"/>
        <v>1.831034977358148E-2</v>
      </c>
      <c r="D2175">
        <v>15.353501400560001</v>
      </c>
      <c r="E2175">
        <v>0.17636525931878999</v>
      </c>
      <c r="F2175">
        <v>28</v>
      </c>
    </row>
    <row r="2176" spans="1:9" x14ac:dyDescent="0.25">
      <c r="A2176">
        <v>2018.3515570934001</v>
      </c>
      <c r="B2176">
        <v>2051.7038062284</v>
      </c>
      <c r="C2176" s="1">
        <f t="shared" si="621"/>
        <v>1.6524499420224936E-2</v>
      </c>
      <c r="D2176">
        <v>15.401120448179</v>
      </c>
      <c r="E2176">
        <v>0.17784855287854001</v>
      </c>
      <c r="F2176">
        <v>29</v>
      </c>
    </row>
    <row r="2177" spans="1:9" x14ac:dyDescent="0.25">
      <c r="A2177">
        <v>2019.969550173</v>
      </c>
      <c r="B2177">
        <v>2069.9847750865001</v>
      </c>
      <c r="C2177" s="1">
        <f t="shared" si="621"/>
        <v>2.4760385575721466E-2</v>
      </c>
      <c r="D2177">
        <v>15.386554621848999</v>
      </c>
      <c r="E2177">
        <v>0.17750020390519</v>
      </c>
      <c r="F2177">
        <v>29</v>
      </c>
    </row>
    <row r="2178" spans="1:9" x14ac:dyDescent="0.25">
      <c r="A2178">
        <v>2007.7813148789</v>
      </c>
      <c r="B2178">
        <v>2056.7861591695</v>
      </c>
      <c r="C2178" s="1">
        <f t="shared" ref="C2178:C2241" si="640">IFERROR((B2178/A2178)-1,"")</f>
        <v>2.4407461075289349E-2</v>
      </c>
      <c r="D2178">
        <v>15.357983193277001</v>
      </c>
      <c r="E2178">
        <v>0.17828735113675001</v>
      </c>
      <c r="F2178">
        <v>28</v>
      </c>
    </row>
    <row r="2179" spans="1:9" x14ac:dyDescent="0.25">
      <c r="A2179">
        <v>2015.6304498269999</v>
      </c>
      <c r="B2179">
        <v>2061.8103806228</v>
      </c>
      <c r="C2179" s="1">
        <f t="shared" si="640"/>
        <v>2.2910911471774931E-2</v>
      </c>
      <c r="D2179">
        <v>15.403921568627</v>
      </c>
      <c r="E2179">
        <v>0.17818680830131001</v>
      </c>
      <c r="F2179">
        <v>29</v>
      </c>
      <c r="H2179" t="s">
        <v>17</v>
      </c>
      <c r="I2179">
        <f t="shared" ref="I2179" si="641">STDEVP(A2165:A2184)</f>
        <v>5.4531343944230262</v>
      </c>
    </row>
    <row r="2180" spans="1:9" x14ac:dyDescent="0.25">
      <c r="A2180">
        <v>2020.7266435986</v>
      </c>
      <c r="B2180">
        <v>2059.1764705882001</v>
      </c>
      <c r="C2180" s="1">
        <f t="shared" si="640"/>
        <v>1.9027723077440495E-2</v>
      </c>
      <c r="D2180">
        <v>15.316526610644001</v>
      </c>
      <c r="E2180">
        <v>0.17639637251456999</v>
      </c>
      <c r="F2180">
        <v>28</v>
      </c>
      <c r="H2180" t="s">
        <v>18</v>
      </c>
      <c r="I2180">
        <f t="shared" ref="I2180" si="642">STDEVP(B2165:B2184)</f>
        <v>6.8217222320294821</v>
      </c>
    </row>
    <row r="2181" spans="1:9" x14ac:dyDescent="0.25">
      <c r="A2181">
        <v>2012.7183391003</v>
      </c>
      <c r="B2181">
        <v>2041.4920415224999</v>
      </c>
      <c r="C2181" s="1">
        <f t="shared" si="640"/>
        <v>1.4295940899043957E-2</v>
      </c>
      <c r="D2181">
        <v>15.370868347339</v>
      </c>
      <c r="E2181">
        <v>0.17793930152599999</v>
      </c>
      <c r="F2181">
        <v>29</v>
      </c>
      <c r="H2181" t="s">
        <v>19</v>
      </c>
      <c r="I2181">
        <f t="shared" ref="I2181" si="643">STDEVP(C2165:C2184)</f>
        <v>2.6476320644592891E-3</v>
      </c>
    </row>
    <row r="2182" spans="1:9" x14ac:dyDescent="0.25">
      <c r="A2182">
        <v>2014.2851211073</v>
      </c>
      <c r="B2182">
        <v>2052.4525951556998</v>
      </c>
      <c r="C2182" s="1">
        <f t="shared" si="640"/>
        <v>1.8948396951578683E-2</v>
      </c>
      <c r="D2182">
        <v>15.454901960783999</v>
      </c>
      <c r="E2182">
        <v>0.17904875886766</v>
      </c>
      <c r="F2182">
        <v>29</v>
      </c>
      <c r="H2182" t="s">
        <v>20</v>
      </c>
      <c r="I2182">
        <f t="shared" ref="I2182" si="644">STDEVP(D2165:D2184)</f>
        <v>3.3493846520029236E-2</v>
      </c>
    </row>
    <row r="2183" spans="1:9" x14ac:dyDescent="0.25">
      <c r="A2183">
        <v>2004.1287197232</v>
      </c>
      <c r="B2183">
        <v>2048.2408304497999</v>
      </c>
      <c r="C2183" s="1">
        <f t="shared" si="640"/>
        <v>2.2010617527946197E-2</v>
      </c>
      <c r="D2183">
        <v>15.333893557423</v>
      </c>
      <c r="E2183">
        <v>0.17842064156019999</v>
      </c>
      <c r="F2183">
        <v>28</v>
      </c>
      <c r="H2183" t="s">
        <v>21</v>
      </c>
      <c r="I2183">
        <f t="shared" ref="I2183" si="645">STDEVP(E2165:E2184)</f>
        <v>7.0304723649118671E-4</v>
      </c>
    </row>
    <row r="2184" spans="1:9" x14ac:dyDescent="0.25">
      <c r="A2184">
        <v>2004.7778546713</v>
      </c>
      <c r="B2184">
        <v>2049.7370242215002</v>
      </c>
      <c r="C2184" s="1">
        <f t="shared" si="640"/>
        <v>2.2426010665192342E-2</v>
      </c>
      <c r="D2184">
        <v>15.313165266105999</v>
      </c>
      <c r="E2184">
        <v>0.1780477748398</v>
      </c>
      <c r="F2184">
        <v>29</v>
      </c>
      <c r="H2184" t="s">
        <v>22</v>
      </c>
      <c r="I2184">
        <f t="shared" ref="I2184" si="646">STDEVP(F2165:F2184)</f>
        <v>0.48989794855663565</v>
      </c>
    </row>
    <row r="2185" spans="1:9" x14ac:dyDescent="0.25">
      <c r="C2185" s="1" t="str">
        <f t="shared" si="640"/>
        <v/>
      </c>
    </row>
    <row r="2186" spans="1:9" x14ac:dyDescent="0.25">
      <c r="A2186">
        <v>1545.6288088643</v>
      </c>
      <c r="B2186">
        <v>1603.0415512466</v>
      </c>
      <c r="C2186" s="1">
        <f t="shared" si="640"/>
        <v>3.7145233094151298E-2</v>
      </c>
      <c r="D2186">
        <v>13.997155049787001</v>
      </c>
      <c r="E2186">
        <v>0.21448887299620001</v>
      </c>
      <c r="F2186">
        <v>20</v>
      </c>
    </row>
    <row r="2187" spans="1:9" x14ac:dyDescent="0.25">
      <c r="A2187">
        <v>1569.2797783934</v>
      </c>
      <c r="B2187">
        <v>1609.3795013851</v>
      </c>
      <c r="C2187" s="1">
        <f t="shared" si="640"/>
        <v>2.5552946991232783E-2</v>
      </c>
      <c r="D2187">
        <v>14.017069701280001</v>
      </c>
      <c r="E2187">
        <v>0.21086628225949999</v>
      </c>
      <c r="F2187">
        <v>20</v>
      </c>
    </row>
    <row r="2188" spans="1:9" x14ac:dyDescent="0.25">
      <c r="A2188">
        <v>1557.6288088643</v>
      </c>
      <c r="B2188">
        <v>1607.4072022160999</v>
      </c>
      <c r="C2188" s="1">
        <f t="shared" si="640"/>
        <v>3.195780218529376E-2</v>
      </c>
      <c r="D2188">
        <v>13.943100995732999</v>
      </c>
      <c r="E2188">
        <v>0.21126049332814001</v>
      </c>
      <c r="F2188">
        <v>21</v>
      </c>
    </row>
    <row r="2189" spans="1:9" x14ac:dyDescent="0.25">
      <c r="A2189">
        <v>1557.7396121884001</v>
      </c>
      <c r="B2189">
        <v>1603.5567867036</v>
      </c>
      <c r="C2189" s="1">
        <f t="shared" si="640"/>
        <v>2.9412601539247962E-2</v>
      </c>
      <c r="D2189">
        <v>13.948790896159</v>
      </c>
      <c r="E2189">
        <v>0.21151142936246001</v>
      </c>
      <c r="F2189">
        <v>20</v>
      </c>
    </row>
    <row r="2190" spans="1:9" x14ac:dyDescent="0.25">
      <c r="A2190">
        <v>1569.1662049862</v>
      </c>
      <c r="B2190">
        <v>1610.6177285319</v>
      </c>
      <c r="C2190" s="1">
        <f t="shared" si="640"/>
        <v>2.6416273441260074E-2</v>
      </c>
      <c r="D2190">
        <v>14.116642958748001</v>
      </c>
      <c r="E2190">
        <v>0.21286841825260999</v>
      </c>
      <c r="F2190">
        <v>21</v>
      </c>
    </row>
    <row r="2191" spans="1:9" x14ac:dyDescent="0.25">
      <c r="A2191">
        <v>1562.2188365651</v>
      </c>
      <c r="B2191">
        <v>1598.5512465373999</v>
      </c>
      <c r="C2191" s="1">
        <f t="shared" si="640"/>
        <v>2.3256927340720823E-2</v>
      </c>
      <c r="D2191">
        <v>14.00853485064</v>
      </c>
      <c r="E2191">
        <v>0.21178892131147001</v>
      </c>
      <c r="F2191">
        <v>20</v>
      </c>
    </row>
    <row r="2192" spans="1:9" x14ac:dyDescent="0.25">
      <c r="A2192">
        <v>1560.1274238226999</v>
      </c>
      <c r="B2192">
        <v>1606.3213296398999</v>
      </c>
      <c r="C2192" s="1">
        <f t="shared" si="640"/>
        <v>2.9609059562592188E-2</v>
      </c>
      <c r="D2192">
        <v>13.914651493599001</v>
      </c>
      <c r="E2192">
        <v>0.21037989415839001</v>
      </c>
      <c r="F2192">
        <v>20</v>
      </c>
    </row>
    <row r="2193" spans="1:9" x14ac:dyDescent="0.25">
      <c r="A2193">
        <v>1559.6426592798</v>
      </c>
      <c r="B2193">
        <v>1609.4404432133001</v>
      </c>
      <c r="C2193" s="1">
        <f t="shared" si="640"/>
        <v>3.1928970163265014E-2</v>
      </c>
      <c r="D2193">
        <v>13.795163584637001</v>
      </c>
      <c r="E2193">
        <v>0.20845605457623001</v>
      </c>
      <c r="F2193">
        <v>21</v>
      </c>
    </row>
    <row r="2194" spans="1:9" x14ac:dyDescent="0.25">
      <c r="A2194">
        <v>1560.1468144043999</v>
      </c>
      <c r="B2194">
        <v>1604.8393351801001</v>
      </c>
      <c r="C2194" s="1">
        <f t="shared" si="640"/>
        <v>2.8646355819251568E-2</v>
      </c>
      <c r="D2194">
        <v>13.826458036984</v>
      </c>
      <c r="E2194">
        <v>0.20881754920741999</v>
      </c>
      <c r="F2194">
        <v>20</v>
      </c>
    </row>
    <row r="2195" spans="1:9" x14ac:dyDescent="0.25">
      <c r="A2195">
        <v>1563.9778393352001</v>
      </c>
      <c r="B2195">
        <v>1601.6398891967001</v>
      </c>
      <c r="C2195" s="1">
        <f t="shared" si="640"/>
        <v>2.4080935748750143E-2</v>
      </c>
      <c r="D2195">
        <v>14.031294452347</v>
      </c>
      <c r="E2195">
        <v>0.21190822227899</v>
      </c>
      <c r="F2195">
        <v>21</v>
      </c>
    </row>
    <row r="2196" spans="1:9" x14ac:dyDescent="0.25">
      <c r="A2196">
        <v>1556.4155124654001</v>
      </c>
      <c r="B2196">
        <v>1606.6066481994999</v>
      </c>
      <c r="C2196" s="1">
        <f t="shared" si="640"/>
        <v>3.2247902524818572E-2</v>
      </c>
      <c r="D2196">
        <v>14.264580369843999</v>
      </c>
      <c r="E2196">
        <v>0.21743874585381001</v>
      </c>
      <c r="F2196">
        <v>20</v>
      </c>
    </row>
    <row r="2197" spans="1:9" x14ac:dyDescent="0.25">
      <c r="A2197">
        <v>1558.1301939058001</v>
      </c>
      <c r="B2197">
        <v>1610.0554016620999</v>
      </c>
      <c r="C2197" s="1">
        <f t="shared" si="640"/>
        <v>3.3325333120037826E-2</v>
      </c>
      <c r="D2197">
        <v>13.971550497866</v>
      </c>
      <c r="E2197">
        <v>0.2118175603495</v>
      </c>
      <c r="F2197">
        <v>21</v>
      </c>
    </row>
    <row r="2198" spans="1:9" x14ac:dyDescent="0.25">
      <c r="A2198">
        <v>1547.4958448753</v>
      </c>
      <c r="B2198">
        <v>1597.243767313</v>
      </c>
      <c r="C2198" s="1">
        <f t="shared" si="640"/>
        <v>3.2147370606806946E-2</v>
      </c>
      <c r="D2198">
        <v>14.130867709815</v>
      </c>
      <c r="E2198">
        <v>0.21638835977615001</v>
      </c>
      <c r="F2198">
        <v>20</v>
      </c>
    </row>
    <row r="2199" spans="1:9" x14ac:dyDescent="0.25">
      <c r="A2199">
        <v>1560.3656509694999</v>
      </c>
      <c r="B2199">
        <v>1610.4459833794999</v>
      </c>
      <c r="C2199" s="1">
        <f t="shared" si="640"/>
        <v>3.2095254326371281E-2</v>
      </c>
      <c r="D2199">
        <v>13.997155049787001</v>
      </c>
      <c r="E2199">
        <v>0.21197545902295001</v>
      </c>
      <c r="F2199">
        <v>20</v>
      </c>
    </row>
    <row r="2200" spans="1:9" x14ac:dyDescent="0.25">
      <c r="A2200">
        <v>1548.4072022160999</v>
      </c>
      <c r="B2200">
        <v>1594.4127423822999</v>
      </c>
      <c r="C2200" s="1">
        <f t="shared" si="640"/>
        <v>2.9711525560173202E-2</v>
      </c>
      <c r="D2200">
        <v>13.769559032717</v>
      </c>
      <c r="E2200">
        <v>0.20969040650796</v>
      </c>
      <c r="F2200">
        <v>21</v>
      </c>
      <c r="H2200" t="s">
        <v>17</v>
      </c>
      <c r="I2200">
        <f t="shared" ref="I2200" si="647">STDEVP(A2186:A2205)</f>
        <v>6.4432572099928018</v>
      </c>
    </row>
    <row r="2201" spans="1:9" x14ac:dyDescent="0.25">
      <c r="A2201">
        <v>1557.351800554</v>
      </c>
      <c r="B2201">
        <v>1599.4542936288001</v>
      </c>
      <c r="C2201" s="1">
        <f t="shared" si="640"/>
        <v>2.7034670688936835E-2</v>
      </c>
      <c r="D2201">
        <v>13.982930298719999</v>
      </c>
      <c r="E2201">
        <v>0.21211225758336999</v>
      </c>
      <c r="F2201">
        <v>20</v>
      </c>
      <c r="H2201" t="s">
        <v>18</v>
      </c>
      <c r="I2201">
        <f t="shared" ref="I2201" si="648">STDEVP(B2186:B2205)</f>
        <v>5.0986331236428439</v>
      </c>
    </row>
    <row r="2202" spans="1:9" x14ac:dyDescent="0.25">
      <c r="A2202">
        <v>1564.7839335179999</v>
      </c>
      <c r="B2202">
        <v>1614.1828254848001</v>
      </c>
      <c r="C2202" s="1">
        <f t="shared" si="640"/>
        <v>3.1569145687571076E-2</v>
      </c>
      <c r="D2202">
        <v>14.102418207681</v>
      </c>
      <c r="E2202">
        <v>0.21328775784590001</v>
      </c>
      <c r="F2202">
        <v>21</v>
      </c>
      <c r="H2202" t="s">
        <v>19</v>
      </c>
      <c r="I2202">
        <f t="shared" ref="I2202" si="649">STDEVP(C2186:C2205)</f>
        <v>3.7269937953752544E-3</v>
      </c>
    </row>
    <row r="2203" spans="1:9" x14ac:dyDescent="0.25">
      <c r="A2203">
        <v>1548.9113573407001</v>
      </c>
      <c r="B2203">
        <v>1608.0969529086001</v>
      </c>
      <c r="C2203" s="1">
        <f t="shared" si="640"/>
        <v>3.8211092770030985E-2</v>
      </c>
      <c r="D2203">
        <v>13.854907539118001</v>
      </c>
      <c r="E2203">
        <v>0.21102927451365</v>
      </c>
      <c r="F2203">
        <v>20</v>
      </c>
      <c r="H2203" t="s">
        <v>20</v>
      </c>
      <c r="I2203">
        <f t="shared" ref="I2203" si="650">STDEVP(D2186:D2205)</f>
        <v>0.12008344107384317</v>
      </c>
    </row>
    <row r="2204" spans="1:9" x14ac:dyDescent="0.25">
      <c r="A2204">
        <v>1561.5844875345999</v>
      </c>
      <c r="B2204">
        <v>1610.2216066481999</v>
      </c>
      <c r="C2204" s="1">
        <f t="shared" si="640"/>
        <v>3.1146005548753353E-2</v>
      </c>
      <c r="D2204">
        <v>14.005689900427001</v>
      </c>
      <c r="E2204">
        <v>0.21193016194848999</v>
      </c>
      <c r="F2204">
        <v>20</v>
      </c>
      <c r="H2204" t="s">
        <v>21</v>
      </c>
      <c r="I2204">
        <f t="shared" ref="I2204" si="651">STDEVP(E2186:E2205)</f>
        <v>2.2522388532879791E-3</v>
      </c>
    </row>
    <row r="2205" spans="1:9" x14ac:dyDescent="0.25">
      <c r="A2205">
        <v>1555.1274238226999</v>
      </c>
      <c r="B2205">
        <v>1602.8504155124999</v>
      </c>
      <c r="C2205" s="1">
        <f t="shared" si="640"/>
        <v>3.0687512134851769E-2</v>
      </c>
      <c r="D2205">
        <v>14.130867709815</v>
      </c>
      <c r="E2205">
        <v>0.21528445175281</v>
      </c>
      <c r="F2205">
        <v>21</v>
      </c>
      <c r="H2205" t="s">
        <v>22</v>
      </c>
      <c r="I2205">
        <f t="shared" ref="I2205" si="652">STDEVP(F2186:F2205)</f>
        <v>0.48989794855663565</v>
      </c>
    </row>
    <row r="2206" spans="1:9" x14ac:dyDescent="0.25">
      <c r="C2206" s="1" t="str">
        <f t="shared" si="640"/>
        <v/>
      </c>
    </row>
    <row r="2207" spans="1:9" x14ac:dyDescent="0.25">
      <c r="A2207">
        <v>1146.1447124304</v>
      </c>
      <c r="B2207">
        <v>1183.7915331422</v>
      </c>
      <c r="C2207" s="1">
        <f t="shared" si="640"/>
        <v>3.2846481167260189E-2</v>
      </c>
      <c r="D2207">
        <v>15.248120300751999</v>
      </c>
      <c r="E2207">
        <v>0.35773372129518999</v>
      </c>
      <c r="F2207">
        <v>62</v>
      </c>
    </row>
    <row r="2208" spans="1:9" x14ac:dyDescent="0.25">
      <c r="A2208">
        <v>1139.9112835216999</v>
      </c>
      <c r="B2208">
        <v>1166.9057176589999</v>
      </c>
      <c r="C2208" s="1">
        <f t="shared" si="640"/>
        <v>2.368117109421175E-2</v>
      </c>
      <c r="D2208">
        <v>15.546821599453001</v>
      </c>
      <c r="E2208">
        <v>0.36911102716628003</v>
      </c>
      <c r="F2208">
        <v>63</v>
      </c>
    </row>
    <row r="2209" spans="1:9" x14ac:dyDescent="0.25">
      <c r="A2209">
        <v>1142.8530949569999</v>
      </c>
      <c r="B2209">
        <v>1174.9576657109001</v>
      </c>
      <c r="C2209" s="1">
        <f t="shared" si="640"/>
        <v>2.8091598907651338E-2</v>
      </c>
      <c r="D2209">
        <v>15.415584415584</v>
      </c>
      <c r="E2209">
        <v>0.36388318206876002</v>
      </c>
      <c r="F2209">
        <v>61</v>
      </c>
    </row>
    <row r="2210" spans="1:9" x14ac:dyDescent="0.25">
      <c r="A2210">
        <v>1147.4876033057999</v>
      </c>
      <c r="B2210">
        <v>1176.2327542587</v>
      </c>
      <c r="C2210" s="1">
        <f t="shared" si="640"/>
        <v>2.5050511107996387E-2</v>
      </c>
      <c r="D2210">
        <v>15.483253588517</v>
      </c>
      <c r="E2210">
        <v>0.36384444773168001</v>
      </c>
      <c r="F2210">
        <v>77</v>
      </c>
    </row>
    <row r="2211" spans="1:9" x14ac:dyDescent="0.25">
      <c r="A2211">
        <v>1140.3653229887</v>
      </c>
      <c r="B2211">
        <v>1166.7346938776</v>
      </c>
      <c r="C2211" s="1">
        <f t="shared" si="640"/>
        <v>2.3123616929871638E-2</v>
      </c>
      <c r="D2211">
        <v>15.598769651401</v>
      </c>
      <c r="E2211">
        <v>0.37057152161336998</v>
      </c>
      <c r="F2211">
        <v>68</v>
      </c>
    </row>
    <row r="2212" spans="1:9" x14ac:dyDescent="0.25">
      <c r="A2212">
        <v>1139.4231742284001</v>
      </c>
      <c r="B2212">
        <v>1171.6066790353</v>
      </c>
      <c r="C2212" s="1">
        <f t="shared" si="640"/>
        <v>2.8245436405744506E-2</v>
      </c>
      <c r="D2212">
        <v>15.168147641832</v>
      </c>
      <c r="E2212">
        <v>0.35733192912768003</v>
      </c>
      <c r="F2212">
        <v>62</v>
      </c>
    </row>
    <row r="2213" spans="1:9" x14ac:dyDescent="0.25">
      <c r="A2213">
        <v>1154.8652386573999</v>
      </c>
      <c r="B2213">
        <v>1185.0038792376999</v>
      </c>
      <c r="C2213" s="1">
        <f t="shared" si="640"/>
        <v>2.6097106027139549E-2</v>
      </c>
      <c r="D2213">
        <v>15.642515379357</v>
      </c>
      <c r="E2213">
        <v>0.36606643099616998</v>
      </c>
      <c r="F2213">
        <v>64</v>
      </c>
    </row>
    <row r="2214" spans="1:9" x14ac:dyDescent="0.25">
      <c r="A2214">
        <v>1135.9544611233</v>
      </c>
      <c r="B2214">
        <v>1169.519649182</v>
      </c>
      <c r="C2214" s="1">
        <f t="shared" si="640"/>
        <v>2.9548004966245545E-2</v>
      </c>
      <c r="D2214">
        <v>14.938482570062</v>
      </c>
      <c r="E2214">
        <v>0.35155125984253</v>
      </c>
      <c r="F2214">
        <v>61</v>
      </c>
    </row>
    <row r="2215" spans="1:9" x14ac:dyDescent="0.25">
      <c r="A2215">
        <v>1141.1654579187</v>
      </c>
      <c r="B2215">
        <v>1169.9028503964</v>
      </c>
      <c r="C2215" s="1">
        <f t="shared" si="640"/>
        <v>2.5182494158307644E-2</v>
      </c>
      <c r="D2215">
        <v>15.381408065619</v>
      </c>
      <c r="E2215">
        <v>0.36328700238164002</v>
      </c>
      <c r="F2215">
        <v>53</v>
      </c>
    </row>
    <row r="2216" spans="1:9" x14ac:dyDescent="0.25">
      <c r="A2216">
        <v>1143.360769101</v>
      </c>
      <c r="B2216">
        <v>1177.1624219936</v>
      </c>
      <c r="C2216" s="1">
        <f t="shared" si="640"/>
        <v>2.9563418481795223E-2</v>
      </c>
      <c r="D2216">
        <v>15.276828434723001</v>
      </c>
      <c r="E2216">
        <v>0.35890869919453999</v>
      </c>
      <c r="F2216">
        <v>62</v>
      </c>
    </row>
    <row r="2217" spans="1:9" x14ac:dyDescent="0.25">
      <c r="A2217">
        <v>1137.0021926126001</v>
      </c>
      <c r="B2217">
        <v>1166.0920897285</v>
      </c>
      <c r="C2217" s="1">
        <f t="shared" si="640"/>
        <v>2.5584732645991926E-2</v>
      </c>
      <c r="D2217">
        <v>15.125768967874</v>
      </c>
      <c r="E2217">
        <v>0.35729044329692</v>
      </c>
      <c r="F2217">
        <v>63</v>
      </c>
    </row>
    <row r="2218" spans="1:9" x14ac:dyDescent="0.25">
      <c r="A2218">
        <v>1136.7997976050001</v>
      </c>
      <c r="B2218">
        <v>1169.3280485748001</v>
      </c>
      <c r="C2218" s="1">
        <f t="shared" si="640"/>
        <v>2.8613878220536515E-2</v>
      </c>
      <c r="D2218">
        <v>15.431305536569001</v>
      </c>
      <c r="E2218">
        <v>0.36691745665469999</v>
      </c>
      <c r="F2218">
        <v>63</v>
      </c>
    </row>
    <row r="2219" spans="1:9" x14ac:dyDescent="0.25">
      <c r="A2219">
        <v>1142.6618316747999</v>
      </c>
      <c r="B2219">
        <v>1174.0492494519001</v>
      </c>
      <c r="C2219" s="1">
        <f t="shared" si="640"/>
        <v>2.7468684878618532E-2</v>
      </c>
      <c r="D2219">
        <v>15.420369104580001</v>
      </c>
      <c r="E2219">
        <v>0.36386143945810001</v>
      </c>
      <c r="F2219">
        <v>62</v>
      </c>
    </row>
    <row r="2220" spans="1:9" x14ac:dyDescent="0.25">
      <c r="A2220">
        <v>1145.7615112161</v>
      </c>
      <c r="B2220">
        <v>1173.6350143362999</v>
      </c>
      <c r="C2220" s="1">
        <f t="shared" si="640"/>
        <v>2.4327491233856691E-2</v>
      </c>
      <c r="D2220">
        <v>15.186602870812999</v>
      </c>
      <c r="E2220">
        <v>0.35528221707044999</v>
      </c>
      <c r="F2220">
        <v>62</v>
      </c>
    </row>
    <row r="2221" spans="1:9" x14ac:dyDescent="0.25">
      <c r="A2221">
        <v>1148.2513071343999</v>
      </c>
      <c r="B2221">
        <v>1177.2696913476</v>
      </c>
      <c r="C2221" s="1">
        <f t="shared" si="640"/>
        <v>2.5271805947792991E-2</v>
      </c>
      <c r="D2221">
        <v>15.848257006152</v>
      </c>
      <c r="E2221">
        <v>0.37533384356448002</v>
      </c>
      <c r="F2221">
        <v>62</v>
      </c>
      <c r="H2221" t="s">
        <v>17</v>
      </c>
      <c r="I2221">
        <f t="shared" ref="I2221" si="653">STDEVP(A2207:A2226)</f>
        <v>6.0701600243638696</v>
      </c>
    </row>
    <row r="2222" spans="1:9" x14ac:dyDescent="0.25">
      <c r="A2222">
        <v>1130.0573452522001</v>
      </c>
      <c r="B2222">
        <v>1164.1669758813</v>
      </c>
      <c r="C2222" s="1">
        <f t="shared" si="640"/>
        <v>3.0183982054014624E-2</v>
      </c>
      <c r="D2222">
        <v>15.410799726589</v>
      </c>
      <c r="E2222">
        <v>0.36956148310416997</v>
      </c>
      <c r="F2222">
        <v>56</v>
      </c>
      <c r="H2222" t="s">
        <v>18</v>
      </c>
      <c r="I2222">
        <f t="shared" ref="I2222" si="654">STDEVP(B2207:B2226)</f>
        <v>5.7386034347067456</v>
      </c>
    </row>
    <row r="2223" spans="1:9" x14ac:dyDescent="0.25">
      <c r="A2223">
        <v>1142.1673132062999</v>
      </c>
      <c r="B2223">
        <v>1167.546972508</v>
      </c>
      <c r="C2223" s="1">
        <f t="shared" si="640"/>
        <v>2.2220614272749684E-2</v>
      </c>
      <c r="D2223">
        <v>15.313738892686001</v>
      </c>
      <c r="E2223">
        <v>0.36069231624307002</v>
      </c>
      <c r="F2223">
        <v>62</v>
      </c>
      <c r="H2223" t="s">
        <v>19</v>
      </c>
      <c r="I2223">
        <f t="shared" ref="I2223" si="655">STDEVP(C2207:C2226)</f>
        <v>2.8995471837061798E-3</v>
      </c>
    </row>
    <row r="2224" spans="1:9" x14ac:dyDescent="0.25">
      <c r="A2224">
        <v>1142.9306797099</v>
      </c>
      <c r="B2224">
        <v>1170.745825603</v>
      </c>
      <c r="C2224" s="1">
        <f t="shared" si="640"/>
        <v>2.4336686718533063E-2</v>
      </c>
      <c r="D2224">
        <v>15.222146274778</v>
      </c>
      <c r="E2224">
        <v>0.35735359823663998</v>
      </c>
      <c r="F2224">
        <v>60</v>
      </c>
      <c r="H2224" t="s">
        <v>20</v>
      </c>
      <c r="I2224">
        <f t="shared" ref="I2224" si="656">STDEVP(D2207:D2226)</f>
        <v>0.2091159533028904</v>
      </c>
    </row>
    <row r="2225" spans="1:9" x14ac:dyDescent="0.25">
      <c r="A2225">
        <v>1150.7444763029</v>
      </c>
      <c r="B2225">
        <v>1177.7405970653001</v>
      </c>
      <c r="C2225" s="1">
        <f t="shared" si="640"/>
        <v>2.3459700496788694E-2</v>
      </c>
      <c r="D2225">
        <v>15.496924128503</v>
      </c>
      <c r="E2225">
        <v>0.36282854640158002</v>
      </c>
      <c r="F2225">
        <v>58</v>
      </c>
      <c r="H2225" t="s">
        <v>21</v>
      </c>
      <c r="I2225">
        <f t="shared" ref="I2225" si="657">STDEVP(E2207:E2226)</f>
        <v>5.7695016821684561E-3</v>
      </c>
    </row>
    <row r="2226" spans="1:9" x14ac:dyDescent="0.25">
      <c r="A2226">
        <v>1155.0922583910001</v>
      </c>
      <c r="B2226">
        <v>1180.1059200540001</v>
      </c>
      <c r="C2226" s="1">
        <f t="shared" si="640"/>
        <v>2.1655120170091857E-2</v>
      </c>
      <c r="D2226">
        <v>15.668489405332</v>
      </c>
      <c r="E2226">
        <v>0.36646122988933</v>
      </c>
      <c r="F2226">
        <v>59</v>
      </c>
      <c r="H2226" t="s">
        <v>22</v>
      </c>
      <c r="I2226">
        <f t="shared" ref="I2226" si="658">STDEVP(F2207:F2226)</f>
        <v>4.5607017003965522</v>
      </c>
    </row>
    <row r="2227" spans="1:9" x14ac:dyDescent="0.25">
      <c r="C2227" s="1" t="str">
        <f t="shared" si="640"/>
        <v/>
      </c>
    </row>
    <row r="2228" spans="1:9" x14ac:dyDescent="0.25">
      <c r="A2228">
        <v>1839.3872576177</v>
      </c>
      <c r="B2228">
        <v>1870.9030470913001</v>
      </c>
      <c r="C2228" s="1">
        <f t="shared" si="640"/>
        <v>1.7133852234258784E-2</v>
      </c>
      <c r="D2228">
        <v>17.461590145576999</v>
      </c>
      <c r="E2228">
        <v>0.23156881014677</v>
      </c>
      <c r="F2228">
        <v>204</v>
      </c>
    </row>
    <row r="2229" spans="1:9" x14ac:dyDescent="0.25">
      <c r="A2229">
        <v>1838.1983379501</v>
      </c>
      <c r="B2229">
        <v>1873.7518005539</v>
      </c>
      <c r="C2229" s="1">
        <f t="shared" si="640"/>
        <v>1.9341472500431056E-2</v>
      </c>
      <c r="D2229">
        <v>17.430235162374</v>
      </c>
      <c r="E2229">
        <v>0.23128307804887999</v>
      </c>
      <c r="F2229">
        <v>196</v>
      </c>
    </row>
    <row r="2230" spans="1:9" x14ac:dyDescent="0.25">
      <c r="A2230">
        <v>1860.3313019391001</v>
      </c>
      <c r="B2230">
        <v>1889.8293628808001</v>
      </c>
      <c r="C2230" s="1">
        <f t="shared" si="640"/>
        <v>1.5856348227303974E-2</v>
      </c>
      <c r="D2230">
        <v>17.666741321389001</v>
      </c>
      <c r="E2230">
        <v>0.23164781488256</v>
      </c>
      <c r="F2230">
        <v>195</v>
      </c>
    </row>
    <row r="2231" spans="1:9" x14ac:dyDescent="0.25">
      <c r="A2231">
        <v>1850.8432132964001</v>
      </c>
      <c r="B2231">
        <v>1879.3783933517</v>
      </c>
      <c r="C2231" s="1">
        <f t="shared" si="640"/>
        <v>1.5417394542284413E-2</v>
      </c>
      <c r="D2231">
        <v>17.537290033594999</v>
      </c>
      <c r="E2231">
        <v>0.23112058022022</v>
      </c>
      <c r="F2231">
        <v>217</v>
      </c>
    </row>
    <row r="2232" spans="1:9" x14ac:dyDescent="0.25">
      <c r="A2232">
        <v>1851.4537396122</v>
      </c>
      <c r="B2232">
        <v>1879.7783933517001</v>
      </c>
      <c r="C2232" s="1">
        <f t="shared" si="640"/>
        <v>1.5298601922094424E-2</v>
      </c>
      <c r="D2232">
        <v>17.409630459127001</v>
      </c>
      <c r="E2232">
        <v>0.22890540561535</v>
      </c>
      <c r="F2232">
        <v>206</v>
      </c>
    </row>
    <row r="2233" spans="1:9" x14ac:dyDescent="0.25">
      <c r="A2233">
        <v>1845.2343490305</v>
      </c>
      <c r="B2233">
        <v>1874.9152354570001</v>
      </c>
      <c r="C2233" s="1">
        <f t="shared" si="640"/>
        <v>1.6085158203398287E-2</v>
      </c>
      <c r="D2233">
        <v>17.434714445689</v>
      </c>
      <c r="E2233">
        <v>0.2301870467057</v>
      </c>
      <c r="F2233">
        <v>203</v>
      </c>
    </row>
    <row r="2234" spans="1:9" x14ac:dyDescent="0.25">
      <c r="A2234">
        <v>1849.2819944598</v>
      </c>
      <c r="B2234">
        <v>1883.7529085872</v>
      </c>
      <c r="C2234" s="1">
        <f t="shared" si="640"/>
        <v>1.8640161008796952E-2</v>
      </c>
      <c r="D2234">
        <v>17.461590145576999</v>
      </c>
      <c r="E2234">
        <v>0.22989589041281999</v>
      </c>
      <c r="F2234">
        <v>176</v>
      </c>
    </row>
    <row r="2235" spans="1:9" x14ac:dyDescent="0.25">
      <c r="A2235">
        <v>1838.5706371191</v>
      </c>
      <c r="B2235">
        <v>1874.0952908587001</v>
      </c>
      <c r="C2235" s="1">
        <f t="shared" si="640"/>
        <v>1.9321886808365774E-2</v>
      </c>
      <c r="D2235">
        <v>17.389473684211001</v>
      </c>
      <c r="E2235">
        <v>0.23041923996121</v>
      </c>
      <c r="F2235">
        <v>194</v>
      </c>
    </row>
    <row r="2236" spans="1:9" x14ac:dyDescent="0.25">
      <c r="A2236">
        <v>1846.1994459834</v>
      </c>
      <c r="B2236">
        <v>1875.1490304709</v>
      </c>
      <c r="C2236" s="1">
        <f t="shared" si="640"/>
        <v>1.5680637620427706E-2</v>
      </c>
      <c r="D2236">
        <v>17.418589025755999</v>
      </c>
      <c r="E2236">
        <v>0.22981657806238001</v>
      </c>
      <c r="F2236">
        <v>178</v>
      </c>
    </row>
    <row r="2237" spans="1:9" x14ac:dyDescent="0.25">
      <c r="A2237">
        <v>1846.7811634349</v>
      </c>
      <c r="B2237">
        <v>1877.9623268697001</v>
      </c>
      <c r="C2237" s="1">
        <f t="shared" si="640"/>
        <v>1.6884059710033483E-2</v>
      </c>
      <c r="D2237">
        <v>17.619260918253001</v>
      </c>
      <c r="E2237">
        <v>0.23297498214724999</v>
      </c>
      <c r="F2237">
        <v>220</v>
      </c>
    </row>
    <row r="2238" spans="1:9" x14ac:dyDescent="0.25">
      <c r="A2238">
        <v>1847.287534626</v>
      </c>
      <c r="B2238">
        <v>1877.1944598337</v>
      </c>
      <c r="C2238" s="1">
        <f t="shared" si="640"/>
        <v>1.6189642731365472E-2</v>
      </c>
      <c r="D2238">
        <v>17.471444568869</v>
      </c>
      <c r="E2238">
        <v>0.23047280810793</v>
      </c>
      <c r="F2238">
        <v>195</v>
      </c>
    </row>
    <row r="2239" spans="1:9" x14ac:dyDescent="0.25">
      <c r="A2239">
        <v>1850.0509695291</v>
      </c>
      <c r="B2239">
        <v>1884.9207756231999</v>
      </c>
      <c r="C2239" s="1">
        <f t="shared" si="640"/>
        <v>1.8848024550899511E-2</v>
      </c>
      <c r="D2239">
        <v>17.787681970885</v>
      </c>
      <c r="E2239">
        <v>0.2351978768595</v>
      </c>
      <c r="F2239">
        <v>186</v>
      </c>
    </row>
    <row r="2240" spans="1:9" x14ac:dyDescent="0.25">
      <c r="A2240">
        <v>1844.6049861496001</v>
      </c>
      <c r="B2240">
        <v>1878.9916897506</v>
      </c>
      <c r="C2240" s="1">
        <f t="shared" si="640"/>
        <v>1.8641770926131063E-2</v>
      </c>
      <c r="D2240">
        <v>17.462486002239999</v>
      </c>
      <c r="E2240">
        <v>0.23074178321704</v>
      </c>
      <c r="F2240">
        <v>196</v>
      </c>
    </row>
    <row r="2241" spans="1:9" x14ac:dyDescent="0.25">
      <c r="A2241">
        <v>1846.1927977839</v>
      </c>
      <c r="B2241">
        <v>1877.4814404432</v>
      </c>
      <c r="C2241" s="1">
        <f t="shared" si="640"/>
        <v>1.6947657198564281E-2</v>
      </c>
      <c r="D2241">
        <v>17.241657334826002</v>
      </c>
      <c r="E2241">
        <v>0.22699702214661999</v>
      </c>
      <c r="F2241">
        <v>188</v>
      </c>
    </row>
    <row r="2242" spans="1:9" x14ac:dyDescent="0.25">
      <c r="A2242">
        <v>1835.5124653739999</v>
      </c>
      <c r="B2242">
        <v>1866.5817174515</v>
      </c>
      <c r="C2242" s="1">
        <f t="shared" ref="C2242:C2305" si="659">IFERROR((B2242/A2242)-1,"")</f>
        <v>1.6926745344205241E-2</v>
      </c>
      <c r="D2242">
        <v>17.234938409853999</v>
      </c>
      <c r="E2242">
        <v>0.22840796849902001</v>
      </c>
      <c r="F2242">
        <v>191</v>
      </c>
      <c r="H2242" t="s">
        <v>17</v>
      </c>
      <c r="I2242">
        <f t="shared" ref="I2242" si="660">STDEVP(A2228:A2247)</f>
        <v>5.6223605098815721</v>
      </c>
    </row>
    <row r="2243" spans="1:9" x14ac:dyDescent="0.25">
      <c r="A2243">
        <v>1844.2016620499001</v>
      </c>
      <c r="B2243">
        <v>1869.0470914127</v>
      </c>
      <c r="C2243" s="1">
        <f t="shared" si="659"/>
        <v>1.3472186840555844E-2</v>
      </c>
      <c r="D2243">
        <v>17.582530795073001</v>
      </c>
      <c r="E2243">
        <v>0.23277953316708</v>
      </c>
      <c r="F2243">
        <v>200</v>
      </c>
      <c r="H2243" t="s">
        <v>18</v>
      </c>
      <c r="I2243">
        <f t="shared" ref="I2243" si="661">STDEVP(B2228:B2247)</f>
        <v>5.8334259050313086</v>
      </c>
    </row>
    <row r="2244" spans="1:9" x14ac:dyDescent="0.25">
      <c r="A2244">
        <v>1843.1290858725999</v>
      </c>
      <c r="B2244">
        <v>1874.2858725761</v>
      </c>
      <c r="C2244" s="1">
        <f t="shared" si="659"/>
        <v>1.6904288984593396E-2</v>
      </c>
      <c r="D2244">
        <v>17.451735722283999</v>
      </c>
      <c r="E2244">
        <v>0.23080762609205999</v>
      </c>
      <c r="F2244">
        <v>184</v>
      </c>
      <c r="H2244" t="s">
        <v>19</v>
      </c>
      <c r="I2244">
        <f t="shared" ref="I2244" si="662">STDEVP(C2228:C2247)</f>
        <v>1.755443325428434E-3</v>
      </c>
    </row>
    <row r="2245" spans="1:9" x14ac:dyDescent="0.25">
      <c r="A2245">
        <v>1850.4631578947001</v>
      </c>
      <c r="B2245">
        <v>1876.9152354570001</v>
      </c>
      <c r="C2245" s="1">
        <f t="shared" si="659"/>
        <v>1.4294841510054779E-2</v>
      </c>
      <c r="D2245">
        <v>17.421276595744999</v>
      </c>
      <c r="E2245">
        <v>0.22913160157872001</v>
      </c>
      <c r="F2245">
        <v>174</v>
      </c>
      <c r="H2245" t="s">
        <v>20</v>
      </c>
      <c r="I2245">
        <f t="shared" ref="I2245" si="663">STDEVP(D2228:D2247)</f>
        <v>0.12955247965873956</v>
      </c>
    </row>
    <row r="2246" spans="1:9" x14ac:dyDescent="0.25">
      <c r="A2246">
        <v>1840.8797783934001</v>
      </c>
      <c r="B2246">
        <v>1864.9551246537001</v>
      </c>
      <c r="C2246" s="1">
        <f t="shared" si="659"/>
        <v>1.3078174111571528E-2</v>
      </c>
      <c r="D2246">
        <v>17.476371780514999</v>
      </c>
      <c r="E2246">
        <v>0.23148799786738999</v>
      </c>
      <c r="F2246">
        <v>192</v>
      </c>
      <c r="H2246" t="s">
        <v>21</v>
      </c>
      <c r="I2246">
        <f t="shared" ref="I2246" si="664">STDEVP(E2228:E2247)</f>
        <v>1.7881637890384508E-3</v>
      </c>
    </row>
    <row r="2247" spans="1:9" x14ac:dyDescent="0.25">
      <c r="A2247">
        <v>1841.6487534626001</v>
      </c>
      <c r="B2247">
        <v>1873.0692520775001</v>
      </c>
      <c r="C2247" s="1">
        <f t="shared" si="659"/>
        <v>1.7061070171944692E-2</v>
      </c>
      <c r="D2247">
        <v>17.291825307951001</v>
      </c>
      <c r="E2247">
        <v>0.22844262714509</v>
      </c>
      <c r="F2247">
        <v>198</v>
      </c>
      <c r="H2247" t="s">
        <v>22</v>
      </c>
      <c r="I2247">
        <f t="shared" ref="I2247" si="665">STDEVP(F2228:F2247)</f>
        <v>11.782508221936448</v>
      </c>
    </row>
    <row r="2248" spans="1:9" x14ac:dyDescent="0.25">
      <c r="C2248" s="1" t="str">
        <f t="shared" si="659"/>
        <v/>
      </c>
    </row>
    <row r="2249" spans="1:9" x14ac:dyDescent="0.25">
      <c r="A2249">
        <v>2170.2990397805002</v>
      </c>
      <c r="B2249">
        <v>2263.0919067216</v>
      </c>
      <c r="C2249" s="1">
        <f t="shared" si="659"/>
        <v>4.2755797814150398E-2</v>
      </c>
      <c r="D2249">
        <v>18.296296296295999</v>
      </c>
      <c r="E2249">
        <v>0.19418044421641001</v>
      </c>
      <c r="F2249">
        <v>28</v>
      </c>
    </row>
    <row r="2250" spans="1:9" x14ac:dyDescent="0.25">
      <c r="A2250">
        <v>2178.8367626886002</v>
      </c>
      <c r="B2250">
        <v>2263.3333333332998</v>
      </c>
      <c r="C2250" s="1">
        <f t="shared" si="659"/>
        <v>3.8780587922719878E-2</v>
      </c>
      <c r="D2250">
        <v>18.370370370370001</v>
      </c>
      <c r="E2250">
        <v>0.19405789151794001</v>
      </c>
      <c r="F2250">
        <v>28</v>
      </c>
    </row>
    <row r="2251" spans="1:9" x14ac:dyDescent="0.25">
      <c r="A2251">
        <v>2192.1179698217002</v>
      </c>
      <c r="B2251">
        <v>2266.3566529493</v>
      </c>
      <c r="C2251" s="1">
        <f t="shared" si="659"/>
        <v>3.3866189753299691E-2</v>
      </c>
      <c r="D2251">
        <v>18.279202279202</v>
      </c>
      <c r="E2251">
        <v>0.19143782419232999</v>
      </c>
      <c r="F2251">
        <v>28</v>
      </c>
    </row>
    <row r="2252" spans="1:9" x14ac:dyDescent="0.25">
      <c r="A2252">
        <v>2200.0932784636002</v>
      </c>
      <c r="B2252">
        <v>2286.4993141290001</v>
      </c>
      <c r="C2252" s="1">
        <f t="shared" si="659"/>
        <v>3.9273805575070986E-2</v>
      </c>
      <c r="D2252">
        <v>18.227920227919999</v>
      </c>
      <c r="E2252">
        <v>0.19028930587592999</v>
      </c>
      <c r="F2252">
        <v>28</v>
      </c>
    </row>
    <row r="2253" spans="1:9" x14ac:dyDescent="0.25">
      <c r="A2253">
        <v>2187.5555555556002</v>
      </c>
      <c r="B2253">
        <v>2281.2976680383999</v>
      </c>
      <c r="C2253" s="1">
        <f t="shared" si="659"/>
        <v>4.2852448818832878E-2</v>
      </c>
      <c r="D2253">
        <v>18.153846153846001</v>
      </c>
      <c r="E2253">
        <v>0.19050236896207001</v>
      </c>
      <c r="F2253">
        <v>28</v>
      </c>
    </row>
    <row r="2254" spans="1:9" x14ac:dyDescent="0.25">
      <c r="A2254">
        <v>2188.8038408778998</v>
      </c>
      <c r="B2254">
        <v>2259.7366255144002</v>
      </c>
      <c r="C2254" s="1">
        <f t="shared" si="659"/>
        <v>3.2407099855987997E-2</v>
      </c>
      <c r="D2254">
        <v>18.507122507123</v>
      </c>
      <c r="E2254">
        <v>0.19482247532156</v>
      </c>
      <c r="F2254">
        <v>28</v>
      </c>
    </row>
    <row r="2255" spans="1:9" x14ac:dyDescent="0.25">
      <c r="A2255">
        <v>2197.4375857339001</v>
      </c>
      <c r="B2255">
        <v>2254.9711934156999</v>
      </c>
      <c r="C2255" s="1">
        <f t="shared" si="659"/>
        <v>2.6182135071920465E-2</v>
      </c>
      <c r="D2255">
        <v>18.643874643875002</v>
      </c>
      <c r="E2255">
        <v>0.19541965510522999</v>
      </c>
      <c r="F2255">
        <v>29</v>
      </c>
    </row>
    <row r="2256" spans="1:9" x14ac:dyDescent="0.25">
      <c r="A2256">
        <v>2182.3209876543001</v>
      </c>
      <c r="B2256">
        <v>2263.0260631002002</v>
      </c>
      <c r="C2256" s="1">
        <f t="shared" si="659"/>
        <v>3.6981303805654786E-2</v>
      </c>
      <c r="D2256">
        <v>18.358974358973999</v>
      </c>
      <c r="E2256">
        <v>0.19358548715127999</v>
      </c>
      <c r="F2256">
        <v>28</v>
      </c>
    </row>
    <row r="2257" spans="1:9" x14ac:dyDescent="0.25">
      <c r="A2257">
        <v>2187.9067215363998</v>
      </c>
      <c r="B2257">
        <v>2265.7283950617002</v>
      </c>
      <c r="C2257" s="1">
        <f t="shared" si="659"/>
        <v>3.5569008842686101E-2</v>
      </c>
      <c r="D2257">
        <v>18.387464387464</v>
      </c>
      <c r="E2257">
        <v>0.19330986106928</v>
      </c>
      <c r="F2257">
        <v>28</v>
      </c>
    </row>
    <row r="2258" spans="1:9" x14ac:dyDescent="0.25">
      <c r="A2258">
        <v>2194.2633744855998</v>
      </c>
      <c r="B2258">
        <v>2264.1975308642</v>
      </c>
      <c r="C2258" s="1">
        <f t="shared" si="659"/>
        <v>3.1871359287029444E-2</v>
      </c>
      <c r="D2258">
        <v>18.444444444443999</v>
      </c>
      <c r="E2258">
        <v>0.19341749710728001</v>
      </c>
      <c r="F2258">
        <v>28</v>
      </c>
    </row>
    <row r="2259" spans="1:9" x14ac:dyDescent="0.25">
      <c r="A2259">
        <v>2189.6927297667999</v>
      </c>
      <c r="B2259">
        <v>2266.9410150891999</v>
      </c>
      <c r="C2259" s="1">
        <f t="shared" si="659"/>
        <v>3.5278139381056839E-2</v>
      </c>
      <c r="D2259">
        <v>18.199430199430001</v>
      </c>
      <c r="E2259">
        <v>0.19085672963895001</v>
      </c>
      <c r="F2259">
        <v>28</v>
      </c>
    </row>
    <row r="2260" spans="1:9" x14ac:dyDescent="0.25">
      <c r="A2260">
        <v>2187.1111111110999</v>
      </c>
      <c r="B2260">
        <v>2247.1111111110999</v>
      </c>
      <c r="C2260" s="1">
        <f t="shared" si="659"/>
        <v>2.7433448486080314E-2</v>
      </c>
      <c r="D2260">
        <v>17.846153846153999</v>
      </c>
      <c r="E2260">
        <v>0.18664255634856</v>
      </c>
      <c r="F2260">
        <v>28</v>
      </c>
    </row>
    <row r="2261" spans="1:9" x14ac:dyDescent="0.25">
      <c r="A2261">
        <v>2178.8449931413002</v>
      </c>
      <c r="B2261">
        <v>2254.7379972565</v>
      </c>
      <c r="C2261" s="1">
        <f t="shared" si="659"/>
        <v>3.4831759190810052E-2</v>
      </c>
      <c r="D2261">
        <v>18.490028490027999</v>
      </c>
      <c r="E2261">
        <v>0.19550933180548999</v>
      </c>
      <c r="F2261">
        <v>29</v>
      </c>
    </row>
    <row r="2262" spans="1:9" x14ac:dyDescent="0.25">
      <c r="A2262">
        <v>2202.4636488340002</v>
      </c>
      <c r="B2262">
        <v>2266.7215363512</v>
      </c>
      <c r="C2262" s="1">
        <f t="shared" si="659"/>
        <v>2.9175458832756851E-2</v>
      </c>
      <c r="D2262">
        <v>18.381766381765999</v>
      </c>
      <c r="E2262">
        <v>0.19177385570462999</v>
      </c>
      <c r="F2262">
        <v>28</v>
      </c>
    </row>
    <row r="2263" spans="1:9" x14ac:dyDescent="0.25">
      <c r="A2263">
        <v>2203.9396433471002</v>
      </c>
      <c r="B2263">
        <v>2290.0438957475999</v>
      </c>
      <c r="C2263" s="1">
        <f t="shared" si="659"/>
        <v>3.9068335042848235E-2</v>
      </c>
      <c r="D2263">
        <v>18.250712250711999</v>
      </c>
      <c r="E2263">
        <v>0.18998586766132999</v>
      </c>
      <c r="F2263">
        <v>28</v>
      </c>
      <c r="H2263" t="s">
        <v>17</v>
      </c>
      <c r="I2263">
        <f t="shared" ref="I2263" si="666">STDEVP(A2249:A2268)</f>
        <v>9.9558856784510326</v>
      </c>
    </row>
    <row r="2264" spans="1:9" x14ac:dyDescent="0.25">
      <c r="A2264">
        <v>2186.8312757202002</v>
      </c>
      <c r="B2264">
        <v>2249.3168724279999</v>
      </c>
      <c r="C2264" s="1">
        <f t="shared" si="659"/>
        <v>2.8573579224680179E-2</v>
      </c>
      <c r="D2264">
        <v>18.239316239316</v>
      </c>
      <c r="E2264">
        <v>0.19160719124343001</v>
      </c>
      <c r="F2264">
        <v>28</v>
      </c>
      <c r="H2264" t="s">
        <v>18</v>
      </c>
      <c r="I2264">
        <f t="shared" ref="I2264" si="667">STDEVP(B2249:B2268)</f>
        <v>11.289973344987454</v>
      </c>
    </row>
    <row r="2265" spans="1:9" x14ac:dyDescent="0.25">
      <c r="A2265">
        <v>2177.4842249656999</v>
      </c>
      <c r="B2265">
        <v>2250.0054869685</v>
      </c>
      <c r="C2265" s="1">
        <f t="shared" si="659"/>
        <v>3.3305068836465335E-2</v>
      </c>
      <c r="D2265">
        <v>18.296296296295999</v>
      </c>
      <c r="E2265">
        <v>0.19329212121038999</v>
      </c>
      <c r="F2265">
        <v>28</v>
      </c>
      <c r="H2265" t="s">
        <v>19</v>
      </c>
      <c r="I2265">
        <f t="shared" ref="I2265" si="668">STDEVP(C2249:C2268)</f>
        <v>4.9324208377250281E-3</v>
      </c>
    </row>
    <row r="2266" spans="1:9" x14ac:dyDescent="0.25">
      <c r="A2266">
        <v>2197.8134430727</v>
      </c>
      <c r="B2266">
        <v>2273.7805212620001</v>
      </c>
      <c r="C2266" s="1">
        <f t="shared" si="659"/>
        <v>3.456484372171853E-2</v>
      </c>
      <c r="D2266">
        <v>18.621082621083001</v>
      </c>
      <c r="E2266">
        <v>0.19536239926623</v>
      </c>
      <c r="F2266">
        <v>28</v>
      </c>
      <c r="H2266" t="s">
        <v>20</v>
      </c>
      <c r="I2266">
        <f t="shared" ref="I2266" si="669">STDEVP(D2249:D2268)</f>
        <v>0.20979883655973003</v>
      </c>
    </row>
    <row r="2267" spans="1:9" x14ac:dyDescent="0.25">
      <c r="A2267">
        <v>2167.0178326475002</v>
      </c>
      <c r="B2267">
        <v>2257.5034293552999</v>
      </c>
      <c r="C2267" s="1">
        <f t="shared" si="659"/>
        <v>4.1755815455035261E-2</v>
      </c>
      <c r="D2267">
        <v>17.772079772080001</v>
      </c>
      <c r="E2267">
        <v>0.18773563645919</v>
      </c>
      <c r="F2267">
        <v>29</v>
      </c>
      <c r="H2267" t="s">
        <v>21</v>
      </c>
      <c r="I2267">
        <f t="shared" ref="I2267" si="670">STDEVP(E2249:E2268)</f>
        <v>2.4498720520116312E-3</v>
      </c>
    </row>
    <row r="2268" spans="1:9" x14ac:dyDescent="0.25">
      <c r="A2268">
        <v>2179.9039780520998</v>
      </c>
      <c r="B2268">
        <v>2269.2976680383999</v>
      </c>
      <c r="C2268" s="1">
        <f t="shared" si="659"/>
        <v>4.100808608376405E-2</v>
      </c>
      <c r="D2268">
        <v>18.398860398859998</v>
      </c>
      <c r="E2268">
        <v>0.19427286357845</v>
      </c>
      <c r="F2268">
        <v>28</v>
      </c>
      <c r="H2268" t="s">
        <v>22</v>
      </c>
      <c r="I2268">
        <f t="shared" ref="I2268" si="671">STDEVP(F2249:F2268)</f>
        <v>0.35707142142714249</v>
      </c>
    </row>
    <row r="2269" spans="1:9" x14ac:dyDescent="0.25">
      <c r="C2269" s="1" t="str">
        <f t="shared" si="659"/>
        <v/>
      </c>
    </row>
    <row r="2270" spans="1:9" x14ac:dyDescent="0.25">
      <c r="A2270">
        <v>737.44004503659005</v>
      </c>
      <c r="B2270">
        <v>767.32933008069006</v>
      </c>
      <c r="C2270" s="1">
        <f t="shared" si="659"/>
        <v>4.0531139101100733E-2</v>
      </c>
      <c r="D2270">
        <v>12.643835616438</v>
      </c>
      <c r="E2270">
        <v>0.51283429818121995</v>
      </c>
      <c r="F2270">
        <v>12</v>
      </c>
    </row>
    <row r="2271" spans="1:9" x14ac:dyDescent="0.25">
      <c r="A2271">
        <v>730.47100769375004</v>
      </c>
      <c r="B2271">
        <v>751.61493713642005</v>
      </c>
      <c r="C2271" s="1">
        <f t="shared" si="659"/>
        <v>2.8945610736045291E-2</v>
      </c>
      <c r="D2271">
        <v>12.614155251142</v>
      </c>
      <c r="E2271">
        <v>0.51820668970559003</v>
      </c>
      <c r="F2271">
        <v>12</v>
      </c>
    </row>
    <row r="2272" spans="1:9" x14ac:dyDescent="0.25">
      <c r="A2272">
        <v>731.95083505347998</v>
      </c>
      <c r="B2272">
        <v>753.22649652842995</v>
      </c>
      <c r="C2272" s="1">
        <f t="shared" si="659"/>
        <v>2.9067063600515475E-2</v>
      </c>
      <c r="D2272">
        <v>12.479452054795001</v>
      </c>
      <c r="E2272">
        <v>0.50870981299898999</v>
      </c>
      <c r="F2272">
        <v>12</v>
      </c>
    </row>
    <row r="2273" spans="1:9" x14ac:dyDescent="0.25">
      <c r="A2273">
        <v>737.84424845187004</v>
      </c>
      <c r="B2273">
        <v>758.46275098517003</v>
      </c>
      <c r="C2273" s="1">
        <f t="shared" si="659"/>
        <v>2.7944247822709656E-2</v>
      </c>
      <c r="D2273">
        <v>12.62404870624</v>
      </c>
      <c r="E2273">
        <v>0.51161973904974001</v>
      </c>
      <c r="F2273">
        <v>13</v>
      </c>
    </row>
    <row r="2274" spans="1:9" x14ac:dyDescent="0.25">
      <c r="A2274">
        <v>735.05460686807999</v>
      </c>
      <c r="B2274">
        <v>757.58115969225003</v>
      </c>
      <c r="C2274" s="1">
        <f t="shared" si="659"/>
        <v>3.0646094335972096E-2</v>
      </c>
      <c r="D2274">
        <v>12.428462709285</v>
      </c>
      <c r="E2274">
        <v>0.50235090977262997</v>
      </c>
      <c r="F2274">
        <v>12</v>
      </c>
    </row>
    <row r="2275" spans="1:9" x14ac:dyDescent="0.25">
      <c r="A2275">
        <v>741.65359354476004</v>
      </c>
      <c r="B2275">
        <v>764.46913116907001</v>
      </c>
      <c r="C2275" s="1">
        <f t="shared" si="659"/>
        <v>3.0763064890257263E-2</v>
      </c>
      <c r="D2275">
        <v>12.831050228311</v>
      </c>
      <c r="E2275">
        <v>0.51989697380933997</v>
      </c>
      <c r="F2275">
        <v>12</v>
      </c>
    </row>
    <row r="2276" spans="1:9" x14ac:dyDescent="0.25">
      <c r="A2276">
        <v>733.69600300243997</v>
      </c>
      <c r="B2276">
        <v>757.98273597296998</v>
      </c>
      <c r="C2276" s="1">
        <f t="shared" si="659"/>
        <v>3.3101901701990455E-2</v>
      </c>
      <c r="D2276">
        <v>12.720700152207</v>
      </c>
      <c r="E2276">
        <v>0.52207682889011997</v>
      </c>
      <c r="F2276">
        <v>13</v>
      </c>
    </row>
    <row r="2277" spans="1:9" x14ac:dyDescent="0.25">
      <c r="A2277">
        <v>738.68568211672005</v>
      </c>
      <c r="B2277">
        <v>763.64796397071996</v>
      </c>
      <c r="C2277" s="1">
        <f t="shared" si="659"/>
        <v>3.3792832944141926E-2</v>
      </c>
      <c r="D2277">
        <v>12.619482496194999</v>
      </c>
      <c r="E2277">
        <v>0.50994360081148005</v>
      </c>
      <c r="F2277">
        <v>12</v>
      </c>
    </row>
    <row r="2278" spans="1:9" x14ac:dyDescent="0.25">
      <c r="A2278">
        <v>737.58453743666996</v>
      </c>
      <c r="B2278">
        <v>765.33120660535997</v>
      </c>
      <c r="C2278" s="1">
        <f t="shared" si="659"/>
        <v>3.7618290189648018E-2</v>
      </c>
      <c r="D2278">
        <v>12.560882800609001</v>
      </c>
      <c r="E2278">
        <v>0.50834467287683005</v>
      </c>
      <c r="F2278">
        <v>12</v>
      </c>
    </row>
    <row r="2279" spans="1:9" x14ac:dyDescent="0.25">
      <c r="A2279">
        <v>736.21017076375006</v>
      </c>
      <c r="B2279">
        <v>760.93413398385997</v>
      </c>
      <c r="C2279" s="1">
        <f t="shared" si="659"/>
        <v>3.3582751504860564E-2</v>
      </c>
      <c r="D2279">
        <v>12.732876712329</v>
      </c>
      <c r="E2279">
        <v>0.51946371894128995</v>
      </c>
      <c r="F2279">
        <v>13</v>
      </c>
    </row>
    <row r="2280" spans="1:9" x14ac:dyDescent="0.25">
      <c r="A2280">
        <v>736.99680990804995</v>
      </c>
      <c r="B2280">
        <v>758.39256896228005</v>
      </c>
      <c r="C2280" s="1">
        <f t="shared" si="659"/>
        <v>2.903100633081368E-2</v>
      </c>
      <c r="D2280">
        <v>12.672754946728</v>
      </c>
      <c r="E2280">
        <v>0.51521998119920998</v>
      </c>
      <c r="F2280">
        <v>12</v>
      </c>
    </row>
    <row r="2281" spans="1:9" x14ac:dyDescent="0.25">
      <c r="A2281">
        <v>733.77932069807002</v>
      </c>
      <c r="B2281">
        <v>756.63276412084997</v>
      </c>
      <c r="C2281" s="1">
        <f t="shared" si="659"/>
        <v>3.114484529359407E-2</v>
      </c>
      <c r="D2281">
        <v>12.316590563166001</v>
      </c>
      <c r="E2281">
        <v>0.49665619963772001</v>
      </c>
      <c r="F2281">
        <v>12</v>
      </c>
    </row>
    <row r="2282" spans="1:9" x14ac:dyDescent="0.25">
      <c r="A2282">
        <v>739.97898292363004</v>
      </c>
      <c r="B2282">
        <v>761.07074498028999</v>
      </c>
      <c r="C2282" s="1">
        <f t="shared" si="659"/>
        <v>2.8503190689723512E-2</v>
      </c>
      <c r="D2282">
        <v>12.598934550989</v>
      </c>
      <c r="E2282">
        <v>0.50711946578875999</v>
      </c>
      <c r="F2282">
        <v>13</v>
      </c>
    </row>
    <row r="2283" spans="1:9" x14ac:dyDescent="0.25">
      <c r="A2283">
        <v>737.29179958716998</v>
      </c>
      <c r="B2283">
        <v>761.13417151434999</v>
      </c>
      <c r="C2283" s="1">
        <f t="shared" si="659"/>
        <v>3.2337769035990949E-2</v>
      </c>
      <c r="D2283">
        <v>12.573820395738</v>
      </c>
      <c r="E2283">
        <v>0.50880724817324996</v>
      </c>
      <c r="F2283">
        <v>12</v>
      </c>
    </row>
    <row r="2284" spans="1:9" x14ac:dyDescent="0.25">
      <c r="A2284">
        <v>739.99512103584004</v>
      </c>
      <c r="B2284">
        <v>763.84349784199003</v>
      </c>
      <c r="C2284" s="1">
        <f t="shared" si="659"/>
        <v>3.2227748708352655E-2</v>
      </c>
      <c r="D2284">
        <v>12.584474885844999</v>
      </c>
      <c r="E2284">
        <v>0.50651336168398997</v>
      </c>
      <c r="F2284">
        <v>12</v>
      </c>
      <c r="H2284" t="s">
        <v>17</v>
      </c>
      <c r="I2284">
        <f t="shared" ref="I2284" si="672">STDEVP(A2270:A2289)</f>
        <v>3.8110337617735555</v>
      </c>
    </row>
    <row r="2285" spans="1:9" x14ac:dyDescent="0.25">
      <c r="A2285">
        <v>743.99549634078005</v>
      </c>
      <c r="B2285">
        <v>764.05817226496004</v>
      </c>
      <c r="C2285" s="1">
        <f t="shared" si="659"/>
        <v>2.6966125497875915E-2</v>
      </c>
      <c r="D2285">
        <v>12.67199391172</v>
      </c>
      <c r="E2285">
        <v>0.50796838093178998</v>
      </c>
      <c r="F2285">
        <v>13</v>
      </c>
      <c r="H2285" t="s">
        <v>18</v>
      </c>
      <c r="I2285">
        <f t="shared" ref="I2285" si="673">STDEVP(B2270:B2289)</f>
        <v>4.4096007682906748</v>
      </c>
    </row>
    <row r="2286" spans="1:9" x14ac:dyDescent="0.25">
      <c r="A2286">
        <v>736.33214486770999</v>
      </c>
      <c r="B2286">
        <v>758.46200037530002</v>
      </c>
      <c r="C2286" s="1">
        <f t="shared" si="659"/>
        <v>3.0054175499245606E-2</v>
      </c>
      <c r="D2286">
        <v>12.676560121766</v>
      </c>
      <c r="E2286">
        <v>0.51634367238856005</v>
      </c>
      <c r="F2286">
        <v>12</v>
      </c>
      <c r="H2286" t="s">
        <v>19</v>
      </c>
      <c r="I2286">
        <f t="shared" ref="I2286" si="674">STDEVP(C2270:C2289)</f>
        <v>3.1560685579575852E-3</v>
      </c>
    </row>
    <row r="2287" spans="1:9" x14ac:dyDescent="0.25">
      <c r="A2287">
        <v>744.52017264026995</v>
      </c>
      <c r="B2287">
        <v>767.30718708950997</v>
      </c>
      <c r="C2287" s="1">
        <f t="shared" si="659"/>
        <v>3.0606308984793662E-2</v>
      </c>
      <c r="D2287">
        <v>12.801369863013999</v>
      </c>
      <c r="E2287">
        <v>0.51550756794705999</v>
      </c>
      <c r="F2287">
        <v>12</v>
      </c>
      <c r="H2287" t="s">
        <v>20</v>
      </c>
      <c r="I2287">
        <f t="shared" ref="I2287" si="675">STDEVP(D2270:D2289)</f>
        <v>0.12396287919015257</v>
      </c>
    </row>
    <row r="2288" spans="1:9" x14ac:dyDescent="0.25">
      <c r="A2288">
        <v>735.15556389566996</v>
      </c>
      <c r="B2288">
        <v>759.31807093263001</v>
      </c>
      <c r="C2288" s="1">
        <f t="shared" si="659"/>
        <v>3.2867202839247156E-2</v>
      </c>
      <c r="D2288">
        <v>12.582191780822001</v>
      </c>
      <c r="E2288">
        <v>0.51198459479574998</v>
      </c>
      <c r="F2288">
        <v>13</v>
      </c>
      <c r="H2288" t="s">
        <v>21</v>
      </c>
      <c r="I2288">
        <f t="shared" ref="I2288" si="676">STDEVP(E2270:E2289)</f>
        <v>6.1850644398603457E-3</v>
      </c>
    </row>
    <row r="2289" spans="1:9" x14ac:dyDescent="0.25">
      <c r="A2289">
        <v>744.20341527490996</v>
      </c>
      <c r="B2289">
        <v>767.56014261586995</v>
      </c>
      <c r="C2289" s="1">
        <f t="shared" si="659"/>
        <v>3.1384869864285569E-2</v>
      </c>
      <c r="D2289">
        <v>12.824200913242001</v>
      </c>
      <c r="E2289">
        <v>0.51726907629183005</v>
      </c>
      <c r="F2289">
        <v>12</v>
      </c>
      <c r="H2289" t="s">
        <v>22</v>
      </c>
      <c r="I2289">
        <f t="shared" ref="I2289" si="677">STDEVP(F2270:F2289)</f>
        <v>0.45825756949558394</v>
      </c>
    </row>
    <row r="2290" spans="1:9" x14ac:dyDescent="0.25">
      <c r="C2290" s="1" t="str">
        <f t="shared" si="659"/>
        <v/>
      </c>
    </row>
    <row r="2291" spans="1:9" x14ac:dyDescent="0.25">
      <c r="A2291">
        <v>2092.5907029477999</v>
      </c>
      <c r="B2291">
        <v>2130.1145124715999</v>
      </c>
      <c r="C2291" s="1">
        <f t="shared" si="659"/>
        <v>1.793174817748211E-2</v>
      </c>
      <c r="D2291">
        <v>19.896156052782999</v>
      </c>
      <c r="E2291">
        <v>0.23176853470996001</v>
      </c>
      <c r="F2291">
        <v>84</v>
      </c>
    </row>
    <row r="2292" spans="1:9" x14ac:dyDescent="0.25">
      <c r="A2292">
        <v>2088.8594104307999</v>
      </c>
      <c r="B2292">
        <v>2139.8117913832002</v>
      </c>
      <c r="C2292" s="1">
        <f t="shared" si="659"/>
        <v>2.439244149125952E-2</v>
      </c>
      <c r="D2292">
        <v>19.877223178428</v>
      </c>
      <c r="E2292">
        <v>0.23209957048454999</v>
      </c>
      <c r="F2292">
        <v>87</v>
      </c>
    </row>
    <row r="2293" spans="1:9" x14ac:dyDescent="0.25">
      <c r="A2293">
        <v>2113.0634920634998</v>
      </c>
      <c r="B2293">
        <v>2151.753968254</v>
      </c>
      <c r="C2293" s="1">
        <f t="shared" si="659"/>
        <v>1.8310134236769748E-2</v>
      </c>
      <c r="D2293">
        <v>20.152610441766999</v>
      </c>
      <c r="E2293">
        <v>0.23262469491967</v>
      </c>
      <c r="F2293">
        <v>81</v>
      </c>
    </row>
    <row r="2294" spans="1:9" x14ac:dyDescent="0.25">
      <c r="A2294">
        <v>2099.9263038549002</v>
      </c>
      <c r="B2294">
        <v>2134.1111111110999</v>
      </c>
      <c r="C2294" s="1">
        <f t="shared" si="659"/>
        <v>1.6279050933095007E-2</v>
      </c>
      <c r="D2294">
        <v>19.990246701090001</v>
      </c>
      <c r="E2294">
        <v>0.23199218378054001</v>
      </c>
      <c r="F2294">
        <v>78</v>
      </c>
    </row>
    <row r="2295" spans="1:9" x14ac:dyDescent="0.25">
      <c r="A2295">
        <v>2085.5748299319998</v>
      </c>
      <c r="B2295">
        <v>2128.1394557823</v>
      </c>
      <c r="C2295" s="1">
        <f t="shared" si="659"/>
        <v>2.0409061923559957E-2</v>
      </c>
      <c r="D2295">
        <v>20.12908777969</v>
      </c>
      <c r="E2295">
        <v>0.23601422005768999</v>
      </c>
      <c r="F2295">
        <v>85</v>
      </c>
    </row>
    <row r="2296" spans="1:9" x14ac:dyDescent="0.25">
      <c r="A2296">
        <v>2089.5453514739002</v>
      </c>
      <c r="B2296">
        <v>2131.6179138322</v>
      </c>
      <c r="C2296" s="1">
        <f t="shared" si="659"/>
        <v>2.0134792637366283E-2</v>
      </c>
      <c r="D2296">
        <v>19.580608146873001</v>
      </c>
      <c r="E2296">
        <v>0.22759660333632001</v>
      </c>
      <c r="F2296">
        <v>82</v>
      </c>
    </row>
    <row r="2297" spans="1:9" x14ac:dyDescent="0.25">
      <c r="A2297">
        <v>2082.3299319727998</v>
      </c>
      <c r="B2297">
        <v>2140.8469387754999</v>
      </c>
      <c r="C2297" s="1">
        <f t="shared" si="659"/>
        <v>2.8101697960640104E-2</v>
      </c>
      <c r="D2297">
        <v>19.907056798623</v>
      </c>
      <c r="E2297">
        <v>0.2333562153422</v>
      </c>
      <c r="F2297">
        <v>83</v>
      </c>
    </row>
    <row r="2298" spans="1:9" x14ac:dyDescent="0.25">
      <c r="A2298">
        <v>2102.0068027211</v>
      </c>
      <c r="B2298">
        <v>2138.0816326530999</v>
      </c>
      <c r="C2298" s="1">
        <f t="shared" si="659"/>
        <v>1.7162090001469066E-2</v>
      </c>
      <c r="D2298">
        <v>20.246127366608999</v>
      </c>
      <c r="E2298">
        <v>0.23553265704781001</v>
      </c>
      <c r="F2298">
        <v>86</v>
      </c>
    </row>
    <row r="2299" spans="1:9" x14ac:dyDescent="0.25">
      <c r="A2299">
        <v>2092.9920634921</v>
      </c>
      <c r="B2299">
        <v>2134.5748299319998</v>
      </c>
      <c r="C2299" s="1">
        <f t="shared" si="659"/>
        <v>1.9867617830580775E-2</v>
      </c>
      <c r="D2299">
        <v>20.044176706826999</v>
      </c>
      <c r="E2299">
        <v>0.23386352600801</v>
      </c>
      <c r="F2299">
        <v>86</v>
      </c>
    </row>
    <row r="2300" spans="1:9" x14ac:dyDescent="0.25">
      <c r="A2300">
        <v>2093.4784580498999</v>
      </c>
      <c r="B2300">
        <v>2143.0204081633001</v>
      </c>
      <c r="C2300" s="1">
        <f t="shared" si="659"/>
        <v>2.3664896059904628E-2</v>
      </c>
      <c r="D2300">
        <v>20.033849684452001</v>
      </c>
      <c r="E2300">
        <v>0.23365899625021999</v>
      </c>
      <c r="F2300">
        <v>82</v>
      </c>
    </row>
    <row r="2301" spans="1:9" x14ac:dyDescent="0.25">
      <c r="A2301">
        <v>2088.9297052154002</v>
      </c>
      <c r="B2301">
        <v>2131.6428571429001</v>
      </c>
      <c r="C2301" s="1">
        <f t="shared" si="659"/>
        <v>2.0447385960790543E-2</v>
      </c>
      <c r="D2301">
        <v>19.589213998853001</v>
      </c>
      <c r="E2301">
        <v>0.22777611876598</v>
      </c>
      <c r="F2301">
        <v>96</v>
      </c>
    </row>
    <row r="2302" spans="1:9" x14ac:dyDescent="0.25">
      <c r="A2302">
        <v>2090.1632653061001</v>
      </c>
      <c r="B2302">
        <v>2141.1428571429001</v>
      </c>
      <c r="C2302" s="1">
        <f t="shared" si="659"/>
        <v>2.4390243902470576E-2</v>
      </c>
      <c r="D2302">
        <v>19.690189328744001</v>
      </c>
      <c r="E2302">
        <v>0.22925342522861999</v>
      </c>
      <c r="F2302">
        <v>85</v>
      </c>
    </row>
    <row r="2303" spans="1:9" x14ac:dyDescent="0.25">
      <c r="A2303">
        <v>2092.9365079365002</v>
      </c>
      <c r="B2303">
        <v>2137.1632653061001</v>
      </c>
      <c r="C2303" s="1">
        <f t="shared" si="659"/>
        <v>2.1131437672327946E-2</v>
      </c>
      <c r="D2303">
        <v>19.775100401606</v>
      </c>
      <c r="E2303">
        <v>0.23007160487875999</v>
      </c>
      <c r="F2303">
        <v>92</v>
      </c>
    </row>
    <row r="2304" spans="1:9" x14ac:dyDescent="0.25">
      <c r="A2304">
        <v>2103.5317460317001</v>
      </c>
      <c r="B2304">
        <v>2154.8548752835</v>
      </c>
      <c r="C2304" s="1">
        <f t="shared" si="659"/>
        <v>2.4398552267452356E-2</v>
      </c>
      <c r="D2304">
        <v>20.100401606426001</v>
      </c>
      <c r="E2304">
        <v>0.23311238310512</v>
      </c>
      <c r="F2304">
        <v>91</v>
      </c>
    </row>
    <row r="2305" spans="1:9" x14ac:dyDescent="0.25">
      <c r="A2305">
        <v>2093.0113378685</v>
      </c>
      <c r="B2305">
        <v>2142.7834467120001</v>
      </c>
      <c r="C2305" s="1">
        <f t="shared" si="659"/>
        <v>2.3780142965774687E-2</v>
      </c>
      <c r="D2305">
        <v>20.109007458404999</v>
      </c>
      <c r="E2305">
        <v>0.23472012200096001</v>
      </c>
      <c r="F2305">
        <v>88</v>
      </c>
      <c r="H2305" t="s">
        <v>17</v>
      </c>
      <c r="I2305">
        <f t="shared" ref="I2305" si="678">STDEVP(A2291:A2310)</f>
        <v>7.8147474989251124</v>
      </c>
    </row>
    <row r="2306" spans="1:9" x14ac:dyDescent="0.25">
      <c r="A2306">
        <v>2094.8752834467</v>
      </c>
      <c r="B2306">
        <v>2141.5873015872999</v>
      </c>
      <c r="C2306" s="1">
        <f t="shared" ref="C2306:C2369" si="679">IFERROR((B2306/A2306)-1,"")</f>
        <v>2.2298233460344541E-2</v>
      </c>
      <c r="D2306">
        <v>19.680436029833999</v>
      </c>
      <c r="E2306">
        <v>0.22849854610546</v>
      </c>
      <c r="F2306">
        <v>89</v>
      </c>
      <c r="H2306" t="s">
        <v>18</v>
      </c>
      <c r="I2306">
        <f t="shared" ref="I2306" si="680">STDEVP(B2291:B2310)</f>
        <v>7.0710108321760048</v>
      </c>
    </row>
    <row r="2307" spans="1:9" x14ac:dyDescent="0.25">
      <c r="A2307">
        <v>2107.1609977324001</v>
      </c>
      <c r="B2307">
        <v>2149.2981859410002</v>
      </c>
      <c r="C2307" s="1">
        <f t="shared" si="679"/>
        <v>1.9997137501095441E-2</v>
      </c>
      <c r="D2307">
        <v>20.343086632243001</v>
      </c>
      <c r="E2307">
        <v>0.23607322961818</v>
      </c>
      <c r="F2307">
        <v>82</v>
      </c>
      <c r="H2307" t="s">
        <v>19</v>
      </c>
      <c r="I2307">
        <f t="shared" ref="I2307" si="681">STDEVP(C2291:C2310)</f>
        <v>3.3666779452145687E-3</v>
      </c>
    </row>
    <row r="2308" spans="1:9" x14ac:dyDescent="0.25">
      <c r="A2308">
        <v>2081.6938775509998</v>
      </c>
      <c r="B2308">
        <v>2136.2120181405999</v>
      </c>
      <c r="C2308" s="1">
        <f t="shared" si="679"/>
        <v>2.6189316871958912E-2</v>
      </c>
      <c r="D2308">
        <v>19.671256454388999</v>
      </c>
      <c r="E2308">
        <v>0.23004002869373</v>
      </c>
      <c r="F2308">
        <v>82</v>
      </c>
      <c r="H2308" t="s">
        <v>20</v>
      </c>
      <c r="I2308">
        <f t="shared" ref="I2308" si="682">STDEVP(D2291:D2310)</f>
        <v>0.2237704271188522</v>
      </c>
    </row>
    <row r="2309" spans="1:9" x14ac:dyDescent="0.25">
      <c r="A2309">
        <v>2096.5702947845998</v>
      </c>
      <c r="B2309">
        <v>2131.4603174602998</v>
      </c>
      <c r="C2309" s="1">
        <f t="shared" si="679"/>
        <v>1.6641475252459736E-2</v>
      </c>
      <c r="D2309">
        <v>19.699942627653002</v>
      </c>
      <c r="E2309">
        <v>0.22833593618709999</v>
      </c>
      <c r="F2309">
        <v>103</v>
      </c>
      <c r="H2309" t="s">
        <v>21</v>
      </c>
      <c r="I2309">
        <f t="shared" ref="I2309" si="683">STDEVP(E2291:E2310)</f>
        <v>2.6948405580763048E-3</v>
      </c>
    </row>
    <row r="2310" spans="1:9" x14ac:dyDescent="0.25">
      <c r="A2310">
        <v>2100.4263038549002</v>
      </c>
      <c r="B2310">
        <v>2134.6712018141002</v>
      </c>
      <c r="C2310" s="1">
        <f t="shared" si="679"/>
        <v>1.6303784568090007E-2</v>
      </c>
      <c r="D2310">
        <v>20.146873207114002</v>
      </c>
      <c r="E2310">
        <v>0.23421395094049</v>
      </c>
      <c r="F2310">
        <v>85</v>
      </c>
      <c r="H2310" t="s">
        <v>22</v>
      </c>
      <c r="I2310">
        <f t="shared" ref="I2310" si="684">STDEVP(F2291:F2310)</f>
        <v>5.6149354404124718</v>
      </c>
    </row>
    <row r="2311" spans="1:9" x14ac:dyDescent="0.25">
      <c r="C2311" s="1" t="str">
        <f t="shared" si="679"/>
        <v/>
      </c>
    </row>
    <row r="2312" spans="1:9" x14ac:dyDescent="0.25">
      <c r="A2312">
        <v>412.89422222221998</v>
      </c>
      <c r="B2312">
        <v>426.88533333332998</v>
      </c>
      <c r="C2312" s="1">
        <f t="shared" si="679"/>
        <v>3.388546111352464E-2</v>
      </c>
      <c r="D2312">
        <v>9.2223423423422997</v>
      </c>
      <c r="E2312">
        <v>0.79348251898277999</v>
      </c>
      <c r="F2312">
        <v>12</v>
      </c>
    </row>
    <row r="2313" spans="1:9" x14ac:dyDescent="0.25">
      <c r="A2313">
        <v>419.50755555555997</v>
      </c>
      <c r="B2313">
        <v>432.76622222221999</v>
      </c>
      <c r="C2313" s="1">
        <f t="shared" si="679"/>
        <v>3.1605310777064188E-2</v>
      </c>
      <c r="D2313">
        <v>9.1899099099099004</v>
      </c>
      <c r="E2313">
        <v>0.76895592523163003</v>
      </c>
      <c r="F2313">
        <v>12</v>
      </c>
    </row>
    <row r="2314" spans="1:9" x14ac:dyDescent="0.25">
      <c r="A2314">
        <v>416.23822222221997</v>
      </c>
      <c r="B2314">
        <v>429.00977777777001</v>
      </c>
      <c r="C2314" s="1">
        <f t="shared" si="679"/>
        <v>3.0683283931410843E-2</v>
      </c>
      <c r="D2314">
        <v>9.1769369369368992</v>
      </c>
      <c r="E2314">
        <v>0.77635346657459003</v>
      </c>
      <c r="F2314">
        <v>12</v>
      </c>
    </row>
    <row r="2315" spans="1:9" x14ac:dyDescent="0.25">
      <c r="A2315">
        <v>409.47555555555999</v>
      </c>
      <c r="B2315">
        <v>424.77155555554998</v>
      </c>
      <c r="C2315" s="1">
        <f t="shared" si="679"/>
        <v>3.7355099205462983E-2</v>
      </c>
      <c r="D2315">
        <v>9.1099099099099003</v>
      </c>
      <c r="E2315">
        <v>0.78823716588324999</v>
      </c>
      <c r="F2315">
        <v>12</v>
      </c>
    </row>
    <row r="2316" spans="1:9" x14ac:dyDescent="0.25">
      <c r="A2316">
        <v>415.03288888889</v>
      </c>
      <c r="B2316">
        <v>428.63288888889002</v>
      </c>
      <c r="C2316" s="1">
        <f t="shared" si="679"/>
        <v>3.2768487423754378E-2</v>
      </c>
      <c r="D2316">
        <v>9.2699099099099005</v>
      </c>
      <c r="E2316">
        <v>0.79344129523870999</v>
      </c>
      <c r="F2316">
        <v>12</v>
      </c>
    </row>
    <row r="2317" spans="1:9" x14ac:dyDescent="0.25">
      <c r="A2317">
        <v>411.86311111111002</v>
      </c>
      <c r="B2317">
        <v>429.536</v>
      </c>
      <c r="C2317" s="1">
        <f t="shared" si="679"/>
        <v>4.2909618298207608E-2</v>
      </c>
      <c r="D2317">
        <v>9.1971171171171004</v>
      </c>
      <c r="E2317">
        <v>0.79312433435143004</v>
      </c>
      <c r="F2317">
        <v>13</v>
      </c>
    </row>
    <row r="2318" spans="1:9" x14ac:dyDescent="0.25">
      <c r="A2318">
        <v>420.50844444443999</v>
      </c>
      <c r="B2318">
        <v>434.96355555554999</v>
      </c>
      <c r="C2318" s="1">
        <f t="shared" si="679"/>
        <v>3.4375317076468015E-2</v>
      </c>
      <c r="D2318">
        <v>9.3203603603604002</v>
      </c>
      <c r="E2318">
        <v>0.78260817889698997</v>
      </c>
      <c r="F2318">
        <v>12</v>
      </c>
    </row>
    <row r="2319" spans="1:9" x14ac:dyDescent="0.25">
      <c r="A2319">
        <v>410.47822222221998</v>
      </c>
      <c r="B2319">
        <v>429.37244444444002</v>
      </c>
      <c r="C2319" s="1">
        <f t="shared" si="679"/>
        <v>4.6029779898996148E-2</v>
      </c>
      <c r="D2319">
        <v>9.1120720720721007</v>
      </c>
      <c r="E2319">
        <v>0.78662501858762002</v>
      </c>
      <c r="F2319">
        <v>12</v>
      </c>
    </row>
    <row r="2320" spans="1:9" x14ac:dyDescent="0.25">
      <c r="A2320">
        <v>411.56622222222001</v>
      </c>
      <c r="B2320">
        <v>424.02311111110998</v>
      </c>
      <c r="C2320" s="1">
        <f t="shared" si="679"/>
        <v>3.0267034115749158E-2</v>
      </c>
      <c r="D2320">
        <v>9.1509909909909997</v>
      </c>
      <c r="E2320">
        <v>0.78752370158276996</v>
      </c>
      <c r="F2320">
        <v>12</v>
      </c>
    </row>
    <row r="2321" spans="1:9" x14ac:dyDescent="0.25">
      <c r="A2321">
        <v>411.86666666667003</v>
      </c>
      <c r="B2321">
        <v>427.22844444444002</v>
      </c>
      <c r="C2321" s="1">
        <f t="shared" si="679"/>
        <v>3.7297938923041007E-2</v>
      </c>
      <c r="D2321">
        <v>9.1135135135134995</v>
      </c>
      <c r="E2321">
        <v>0.78141916453932003</v>
      </c>
      <c r="F2321">
        <v>12</v>
      </c>
    </row>
    <row r="2322" spans="1:9" x14ac:dyDescent="0.25">
      <c r="A2322">
        <v>410.41955555556001</v>
      </c>
      <c r="B2322">
        <v>426.16888888889002</v>
      </c>
      <c r="C2322" s="1">
        <f t="shared" si="679"/>
        <v>3.837374004270111E-2</v>
      </c>
      <c r="D2322">
        <v>9.1293693693693996</v>
      </c>
      <c r="E2322">
        <v>0.78877790378641</v>
      </c>
      <c r="F2322">
        <v>12</v>
      </c>
    </row>
    <row r="2323" spans="1:9" x14ac:dyDescent="0.25">
      <c r="A2323">
        <v>414.18844444443999</v>
      </c>
      <c r="B2323">
        <v>433.40088888887999</v>
      </c>
      <c r="C2323" s="1">
        <f t="shared" si="679"/>
        <v>4.6385756778439591E-2</v>
      </c>
      <c r="D2323">
        <v>9.1365765765765996</v>
      </c>
      <c r="E2323">
        <v>0.77750887208320996</v>
      </c>
      <c r="F2323">
        <v>13</v>
      </c>
    </row>
    <row r="2324" spans="1:9" x14ac:dyDescent="0.25">
      <c r="A2324">
        <v>410.68266666667</v>
      </c>
      <c r="B2324">
        <v>430.54933333333003</v>
      </c>
      <c r="C2324" s="1">
        <f t="shared" si="679"/>
        <v>4.8374738646529636E-2</v>
      </c>
      <c r="D2324">
        <v>9.1697297297296991</v>
      </c>
      <c r="E2324">
        <v>0.79527826565426996</v>
      </c>
      <c r="F2324">
        <v>12</v>
      </c>
    </row>
    <row r="2325" spans="1:9" x14ac:dyDescent="0.25">
      <c r="A2325">
        <v>412.13511111111001</v>
      </c>
      <c r="B2325">
        <v>428.61155555555001</v>
      </c>
      <c r="C2325" s="1">
        <f t="shared" si="679"/>
        <v>3.9978259556725959E-2</v>
      </c>
      <c r="D2325">
        <v>9.1798198198197998</v>
      </c>
      <c r="E2325">
        <v>0.79009874126396995</v>
      </c>
      <c r="F2325">
        <v>12</v>
      </c>
    </row>
    <row r="2326" spans="1:9" x14ac:dyDescent="0.25">
      <c r="A2326">
        <v>410.19911111111003</v>
      </c>
      <c r="B2326">
        <v>427.53777777776997</v>
      </c>
      <c r="C2326" s="1">
        <f t="shared" si="679"/>
        <v>4.2268903556847093E-2</v>
      </c>
      <c r="D2326">
        <v>9.1668468468468003</v>
      </c>
      <c r="E2326">
        <v>0.79578718121372005</v>
      </c>
      <c r="F2326">
        <v>12</v>
      </c>
      <c r="H2326" t="s">
        <v>17</v>
      </c>
      <c r="I2326">
        <f t="shared" ref="I2326" si="685">STDEVP(A2312:A2331)</f>
        <v>2.9291059963364523</v>
      </c>
    </row>
    <row r="2327" spans="1:9" x14ac:dyDescent="0.25">
      <c r="A2327">
        <v>412.77866666667001</v>
      </c>
      <c r="B2327">
        <v>426.65066666666002</v>
      </c>
      <c r="C2327" s="1">
        <f t="shared" si="679"/>
        <v>3.3606387927000103E-2</v>
      </c>
      <c r="D2327">
        <v>9.1286486486486993</v>
      </c>
      <c r="E2327">
        <v>0.78232729650758004</v>
      </c>
      <c r="F2327">
        <v>12</v>
      </c>
      <c r="H2327" t="s">
        <v>18</v>
      </c>
      <c r="I2327">
        <f t="shared" ref="I2327" si="686">STDEVP(B2312:B2331)</f>
        <v>2.8491388484545603</v>
      </c>
    </row>
    <row r="2328" spans="1:9" x14ac:dyDescent="0.25">
      <c r="A2328">
        <v>412.57422222221999</v>
      </c>
      <c r="B2328">
        <v>425.67466666666002</v>
      </c>
      <c r="C2328" s="1">
        <f t="shared" si="679"/>
        <v>3.1752939807722314E-2</v>
      </c>
      <c r="D2328">
        <v>9.1466666666667003</v>
      </c>
      <c r="E2328">
        <v>0.78523712205444995</v>
      </c>
      <c r="F2328">
        <v>12</v>
      </c>
      <c r="H2328" t="s">
        <v>19</v>
      </c>
      <c r="I2328">
        <f t="shared" ref="I2328" si="687">STDEVP(C2312:C2331)</f>
        <v>5.9107350158535236E-3</v>
      </c>
    </row>
    <row r="2329" spans="1:9" x14ac:dyDescent="0.25">
      <c r="A2329">
        <v>415.15733333332997</v>
      </c>
      <c r="B2329">
        <v>429.61955555554999</v>
      </c>
      <c r="C2329" s="1">
        <f t="shared" si="679"/>
        <v>3.483552152650593E-2</v>
      </c>
      <c r="D2329">
        <v>9.1654054054053997</v>
      </c>
      <c r="E2329">
        <v>0.77973676958988003</v>
      </c>
      <c r="F2329">
        <v>13</v>
      </c>
      <c r="H2329" t="s">
        <v>20</v>
      </c>
      <c r="I2329">
        <f t="shared" ref="I2329" si="688">STDEVP(D2312:D2331)</f>
        <v>5.3222321768722707E-2</v>
      </c>
    </row>
    <row r="2330" spans="1:9" x14ac:dyDescent="0.25">
      <c r="A2330">
        <v>416.20266666666998</v>
      </c>
      <c r="B2330">
        <v>428.49777777777001</v>
      </c>
      <c r="C2330" s="1">
        <f t="shared" si="679"/>
        <v>2.9541163706543472E-2</v>
      </c>
      <c r="D2330">
        <v>9.2021621621621996</v>
      </c>
      <c r="E2330">
        <v>0.78000842473531995</v>
      </c>
      <c r="F2330">
        <v>12</v>
      </c>
      <c r="H2330" t="s">
        <v>21</v>
      </c>
      <c r="I2330">
        <f t="shared" ref="I2330" si="689">STDEVP(E2312:E2331)</f>
        <v>7.1951275031575616E-3</v>
      </c>
    </row>
    <row r="2331" spans="1:9" x14ac:dyDescent="0.25">
      <c r="A2331">
        <v>413.10399999999998</v>
      </c>
      <c r="B2331">
        <v>424.63288888889002</v>
      </c>
      <c r="C2331" s="1">
        <f t="shared" si="679"/>
        <v>2.7907957533430006E-2</v>
      </c>
      <c r="D2331">
        <v>9.1113513513512991</v>
      </c>
      <c r="E2331">
        <v>0.77616091555317002</v>
      </c>
      <c r="F2331">
        <v>12</v>
      </c>
      <c r="H2331" t="s">
        <v>22</v>
      </c>
      <c r="I2331">
        <f t="shared" ref="I2331" si="690">STDEVP(F2312:F2331)</f>
        <v>0.35707142142714249</v>
      </c>
    </row>
    <row r="2332" spans="1:9" x14ac:dyDescent="0.25">
      <c r="C2332" s="1" t="str">
        <f t="shared" si="679"/>
        <v/>
      </c>
    </row>
    <row r="2333" spans="1:9" x14ac:dyDescent="0.25">
      <c r="A2333">
        <v>1376.9387755102</v>
      </c>
      <c r="B2333">
        <v>1425.1224489796</v>
      </c>
      <c r="C2333" s="1">
        <f t="shared" si="679"/>
        <v>3.4993330369061937E-2</v>
      </c>
      <c r="D2333">
        <v>11.142857142857</v>
      </c>
      <c r="E2333">
        <v>0.17704770777577999</v>
      </c>
      <c r="F2333">
        <v>12</v>
      </c>
    </row>
    <row r="2334" spans="1:9" x14ac:dyDescent="0.25">
      <c r="A2334">
        <v>1366.9591836735001</v>
      </c>
      <c r="B2334">
        <v>1429.5918367347001</v>
      </c>
      <c r="C2334" s="1">
        <f t="shared" si="679"/>
        <v>4.5818963586669925E-2</v>
      </c>
      <c r="D2334">
        <v>10.967032967032999</v>
      </c>
      <c r="E2334">
        <v>0.17533998728915001</v>
      </c>
      <c r="F2334">
        <v>13</v>
      </c>
    </row>
    <row r="2335" spans="1:9" x14ac:dyDescent="0.25">
      <c r="A2335">
        <v>1362.1836734694</v>
      </c>
      <c r="B2335">
        <v>1415.2857142856999</v>
      </c>
      <c r="C2335" s="1">
        <f t="shared" si="679"/>
        <v>3.8983025454307541E-2</v>
      </c>
      <c r="D2335">
        <v>10.417582417582</v>
      </c>
      <c r="E2335">
        <v>0.16570109030774999</v>
      </c>
      <c r="F2335">
        <v>12</v>
      </c>
    </row>
    <row r="2336" spans="1:9" x14ac:dyDescent="0.25">
      <c r="A2336">
        <v>1370.7142857143001</v>
      </c>
      <c r="B2336">
        <v>1442.8775510204</v>
      </c>
      <c r="C2336" s="1">
        <f t="shared" si="679"/>
        <v>5.2646467654267282E-2</v>
      </c>
      <c r="D2336">
        <v>11.384615384615</v>
      </c>
      <c r="E2336">
        <v>0.18267129620561001</v>
      </c>
      <c r="F2336">
        <v>13</v>
      </c>
    </row>
    <row r="2337" spans="1:9" x14ac:dyDescent="0.25">
      <c r="A2337">
        <v>1351.7142857143001</v>
      </c>
      <c r="B2337">
        <v>1433.5918367347001</v>
      </c>
      <c r="C2337" s="1">
        <f t="shared" si="679"/>
        <v>6.0573119545845877E-2</v>
      </c>
      <c r="D2337">
        <v>11.384615384615</v>
      </c>
      <c r="E2337">
        <v>0.18544522016734999</v>
      </c>
      <c r="F2337">
        <v>12</v>
      </c>
    </row>
    <row r="2338" spans="1:9" x14ac:dyDescent="0.25">
      <c r="A2338">
        <v>1389</v>
      </c>
      <c r="B2338">
        <v>1449.081632653</v>
      </c>
      <c r="C2338" s="1">
        <f t="shared" si="679"/>
        <v>4.3255315084953283E-2</v>
      </c>
      <c r="D2338">
        <v>11.076923076923</v>
      </c>
      <c r="E2338">
        <v>0.17422084346002001</v>
      </c>
      <c r="F2338">
        <v>13</v>
      </c>
    </row>
    <row r="2339" spans="1:9" x14ac:dyDescent="0.25">
      <c r="A2339">
        <v>1345</v>
      </c>
      <c r="B2339">
        <v>1450</v>
      </c>
      <c r="C2339" s="1">
        <f t="shared" si="679"/>
        <v>7.8066914498141182E-2</v>
      </c>
      <c r="D2339">
        <v>10.461538461538</v>
      </c>
      <c r="E2339">
        <v>0.16917654449357</v>
      </c>
      <c r="F2339">
        <v>12</v>
      </c>
    </row>
    <row r="2340" spans="1:9" x14ac:dyDescent="0.25">
      <c r="A2340">
        <v>1381.5714285714</v>
      </c>
      <c r="B2340">
        <v>1446.1836734694</v>
      </c>
      <c r="C2340" s="1">
        <f t="shared" si="679"/>
        <v>4.6767212727329976E-2</v>
      </c>
      <c r="D2340">
        <v>11.384615384615</v>
      </c>
      <c r="E2340">
        <v>0.18113014877837999</v>
      </c>
      <c r="F2340">
        <v>13</v>
      </c>
    </row>
    <row r="2341" spans="1:9" x14ac:dyDescent="0.25">
      <c r="A2341">
        <v>1356.4489795918</v>
      </c>
      <c r="B2341">
        <v>1442.3469387754999</v>
      </c>
      <c r="C2341" s="1">
        <f t="shared" si="679"/>
        <v>6.3325610086381046E-2</v>
      </c>
      <c r="D2341">
        <v>10.285714285714</v>
      </c>
      <c r="E2341">
        <v>0.1640884251586</v>
      </c>
      <c r="F2341">
        <v>12</v>
      </c>
    </row>
    <row r="2342" spans="1:9" x14ac:dyDescent="0.25">
      <c r="A2342">
        <v>1367.1020408162999</v>
      </c>
      <c r="B2342">
        <v>1448.9183673468999</v>
      </c>
      <c r="C2342" s="1">
        <f t="shared" si="679"/>
        <v>5.9846539678740651E-2</v>
      </c>
      <c r="D2342">
        <v>11.274725274725</v>
      </c>
      <c r="E2342">
        <v>0.18101150457217</v>
      </c>
      <c r="F2342">
        <v>13</v>
      </c>
    </row>
    <row r="2343" spans="1:9" x14ac:dyDescent="0.25">
      <c r="A2343">
        <v>1382.5714285714</v>
      </c>
      <c r="B2343">
        <v>1449.1224489796</v>
      </c>
      <c r="C2343" s="1">
        <f t="shared" si="679"/>
        <v>4.8135683287601649E-2</v>
      </c>
      <c r="D2343">
        <v>11.076923076923</v>
      </c>
      <c r="E2343">
        <v>0.17538649910525</v>
      </c>
      <c r="F2343">
        <v>13</v>
      </c>
    </row>
    <row r="2344" spans="1:9" x14ac:dyDescent="0.25">
      <c r="A2344">
        <v>1386.8367346939001</v>
      </c>
      <c r="B2344">
        <v>1439.9387755102</v>
      </c>
      <c r="C2344" s="1">
        <f t="shared" si="679"/>
        <v>3.8290044882623109E-2</v>
      </c>
      <c r="D2344">
        <v>10.945054945055</v>
      </c>
      <c r="E2344">
        <v>0.17185033834189001</v>
      </c>
      <c r="F2344">
        <v>12</v>
      </c>
    </row>
    <row r="2345" spans="1:9" x14ac:dyDescent="0.25">
      <c r="A2345">
        <v>1390.1224489796</v>
      </c>
      <c r="B2345">
        <v>1440.4693877550999</v>
      </c>
      <c r="C2345" s="1">
        <f t="shared" si="679"/>
        <v>3.6217628750946584E-2</v>
      </c>
      <c r="D2345">
        <v>11.098901098901001</v>
      </c>
      <c r="E2345">
        <v>0.17436052908498001</v>
      </c>
      <c r="F2345">
        <v>13</v>
      </c>
    </row>
    <row r="2346" spans="1:9" x14ac:dyDescent="0.25">
      <c r="A2346">
        <v>1366.5306122449001</v>
      </c>
      <c r="B2346">
        <v>1452.9795918366999</v>
      </c>
      <c r="C2346" s="1">
        <f t="shared" si="679"/>
        <v>6.3261648745492671E-2</v>
      </c>
      <c r="D2346">
        <v>10.813186813187</v>
      </c>
      <c r="E2346">
        <v>0.17258622165452001</v>
      </c>
      <c r="F2346">
        <v>12</v>
      </c>
    </row>
    <row r="2347" spans="1:9" x14ac:dyDescent="0.25">
      <c r="A2347">
        <v>1361.7551020408</v>
      </c>
      <c r="B2347">
        <v>1430.1428571428</v>
      </c>
      <c r="C2347" s="1">
        <f t="shared" si="679"/>
        <v>5.0220303929473298E-2</v>
      </c>
      <c r="D2347">
        <v>10.879120879121</v>
      </c>
      <c r="E2347">
        <v>0.17428090236482999</v>
      </c>
      <c r="F2347">
        <v>13</v>
      </c>
      <c r="H2347" t="s">
        <v>17</v>
      </c>
      <c r="I2347">
        <f t="shared" ref="I2347" si="691">STDEVP(A2333:A2352)</f>
        <v>12.132987585715457</v>
      </c>
    </row>
    <row r="2348" spans="1:9" x14ac:dyDescent="0.25">
      <c r="A2348">
        <v>1366.387755102</v>
      </c>
      <c r="B2348">
        <v>1435.7755102041001</v>
      </c>
      <c r="C2348" s="1">
        <f t="shared" si="679"/>
        <v>5.0781891774871912E-2</v>
      </c>
      <c r="D2348">
        <v>11.120879120879</v>
      </c>
      <c r="E2348">
        <v>0.17841349344231</v>
      </c>
      <c r="F2348">
        <v>12</v>
      </c>
      <c r="H2348" t="s">
        <v>18</v>
      </c>
      <c r="I2348">
        <f t="shared" ref="I2348" si="692">STDEVP(B2333:B2352)</f>
        <v>10.054224082812638</v>
      </c>
    </row>
    <row r="2349" spans="1:9" x14ac:dyDescent="0.25">
      <c r="A2349">
        <v>1377.4081632652999</v>
      </c>
      <c r="B2349">
        <v>1447.9387755102</v>
      </c>
      <c r="C2349" s="1">
        <f t="shared" si="679"/>
        <v>5.120531018031671E-2</v>
      </c>
      <c r="D2349">
        <v>11.098901098901001</v>
      </c>
      <c r="E2349">
        <v>0.17622631794513</v>
      </c>
      <c r="F2349">
        <v>13</v>
      </c>
      <c r="H2349" t="s">
        <v>19</v>
      </c>
      <c r="I2349">
        <f t="shared" ref="I2349" si="693">STDEVP(C2333:C2352)</f>
        <v>1.0277133415055754E-2</v>
      </c>
    </row>
    <row r="2350" spans="1:9" x14ac:dyDescent="0.25">
      <c r="A2350">
        <v>1360.7755102041001</v>
      </c>
      <c r="B2350">
        <v>1425.9387755102</v>
      </c>
      <c r="C2350" s="1">
        <f t="shared" si="679"/>
        <v>4.7886859233913004E-2</v>
      </c>
      <c r="D2350">
        <v>11.472527472527</v>
      </c>
      <c r="E2350">
        <v>0.18577314510392001</v>
      </c>
      <c r="F2350">
        <v>13</v>
      </c>
      <c r="H2350" t="s">
        <v>20</v>
      </c>
      <c r="I2350">
        <f t="shared" ref="I2350" si="694">STDEVP(D2333:D2352)</f>
        <v>0.31706867454651877</v>
      </c>
    </row>
    <row r="2351" spans="1:9" x14ac:dyDescent="0.25">
      <c r="A2351">
        <v>1365.9591836735001</v>
      </c>
      <c r="B2351">
        <v>1432.4897959184</v>
      </c>
      <c r="C2351" s="1">
        <f t="shared" si="679"/>
        <v>4.8706149524891273E-2</v>
      </c>
      <c r="D2351">
        <v>10.967032967032999</v>
      </c>
      <c r="E2351">
        <v>0.17571956069642999</v>
      </c>
      <c r="F2351">
        <v>12</v>
      </c>
      <c r="H2351" t="s">
        <v>21</v>
      </c>
      <c r="I2351">
        <f t="shared" ref="I2351" si="695">STDEVP(E2333:E2352)</f>
        <v>5.617325994340879E-3</v>
      </c>
    </row>
    <row r="2352" spans="1:9" x14ac:dyDescent="0.25">
      <c r="A2352">
        <v>1360.387755102</v>
      </c>
      <c r="B2352">
        <v>1430.3673469388</v>
      </c>
      <c r="C2352" s="1">
        <f t="shared" si="679"/>
        <v>5.1440915705355694E-2</v>
      </c>
      <c r="D2352">
        <v>11.120879120879</v>
      </c>
      <c r="E2352">
        <v>0.17921985622516001</v>
      </c>
      <c r="F2352">
        <v>13</v>
      </c>
      <c r="H2352" t="s">
        <v>22</v>
      </c>
      <c r="I2352">
        <f t="shared" ref="I2352" si="696">STDEVP(F2333:F2352)</f>
        <v>0.49749371855330998</v>
      </c>
    </row>
    <row r="2353" spans="1:9" x14ac:dyDescent="0.25">
      <c r="C2353" s="1" t="str">
        <f t="shared" si="679"/>
        <v/>
      </c>
    </row>
    <row r="2354" spans="1:9" x14ac:dyDescent="0.25">
      <c r="A2354">
        <v>1054.5447331879</v>
      </c>
      <c r="B2354">
        <v>1089.7901210077</v>
      </c>
      <c r="C2354" s="1">
        <f t="shared" si="679"/>
        <v>3.3422373381215342E-2</v>
      </c>
      <c r="D2354">
        <v>12.59476861167</v>
      </c>
      <c r="E2354">
        <v>0.3086869571193</v>
      </c>
      <c r="F2354">
        <v>32</v>
      </c>
    </row>
    <row r="2355" spans="1:9" x14ac:dyDescent="0.25">
      <c r="A2355">
        <v>1045.7865502876</v>
      </c>
      <c r="B2355">
        <v>1080.0432453878</v>
      </c>
      <c r="C2355" s="1">
        <f t="shared" si="679"/>
        <v>3.2756870979818054E-2</v>
      </c>
      <c r="D2355">
        <v>12.214889336016</v>
      </c>
      <c r="E2355">
        <v>0.29961197779891002</v>
      </c>
      <c r="F2355">
        <v>33</v>
      </c>
    </row>
    <row r="2356" spans="1:9" x14ac:dyDescent="0.25">
      <c r="A2356">
        <v>1040.8787938901</v>
      </c>
      <c r="B2356">
        <v>1075.1692124578001</v>
      </c>
      <c r="C2356" s="1">
        <f t="shared" si="679"/>
        <v>3.2943719066026667E-2</v>
      </c>
      <c r="D2356">
        <v>12.123138832998</v>
      </c>
      <c r="E2356">
        <v>0.29846680924550001</v>
      </c>
      <c r="F2356">
        <v>33</v>
      </c>
    </row>
    <row r="2357" spans="1:9" x14ac:dyDescent="0.25">
      <c r="A2357">
        <v>1044.8315810355</v>
      </c>
      <c r="B2357">
        <v>1079.8706605832001</v>
      </c>
      <c r="C2357" s="1">
        <f t="shared" si="679"/>
        <v>3.3535624481195292E-2</v>
      </c>
      <c r="D2357">
        <v>12.419315895372</v>
      </c>
      <c r="E2357">
        <v>0.30676537982398999</v>
      </c>
      <c r="F2357">
        <v>33</v>
      </c>
    </row>
    <row r="2358" spans="1:9" x14ac:dyDescent="0.25">
      <c r="A2358">
        <v>1053.9670700258</v>
      </c>
      <c r="B2358">
        <v>1083.0910533624001</v>
      </c>
      <c r="C2358" s="1">
        <f t="shared" si="679"/>
        <v>2.7632726073583358E-2</v>
      </c>
      <c r="D2358">
        <v>12.588329979878999</v>
      </c>
      <c r="E2358">
        <v>0.30852828631134999</v>
      </c>
      <c r="F2358">
        <v>32</v>
      </c>
    </row>
    <row r="2359" spans="1:9" x14ac:dyDescent="0.25">
      <c r="A2359">
        <v>1054.8141241817</v>
      </c>
      <c r="B2359">
        <v>1084.2824836341999</v>
      </c>
      <c r="C2359" s="1">
        <f t="shared" si="679"/>
        <v>2.7937016368036138E-2</v>
      </c>
      <c r="D2359">
        <v>12.709859154929999</v>
      </c>
      <c r="E2359">
        <v>0.31233127277497003</v>
      </c>
      <c r="F2359">
        <v>34</v>
      </c>
    </row>
    <row r="2360" spans="1:9" x14ac:dyDescent="0.25">
      <c r="A2360">
        <v>1051.7072009522001</v>
      </c>
      <c r="B2360">
        <v>1075.7595715135999</v>
      </c>
      <c r="C2360" s="1">
        <f t="shared" si="679"/>
        <v>2.2869835387285598E-2</v>
      </c>
      <c r="D2360">
        <v>12.496579476860999</v>
      </c>
      <c r="E2360">
        <v>0.30658363973091002</v>
      </c>
      <c r="F2360">
        <v>33</v>
      </c>
    </row>
    <row r="2361" spans="1:9" x14ac:dyDescent="0.25">
      <c r="A2361">
        <v>1052.2035310454</v>
      </c>
      <c r="B2361">
        <v>1075.3719500099</v>
      </c>
      <c r="C2361" s="1">
        <f t="shared" si="679"/>
        <v>2.2018951924140939E-2</v>
      </c>
      <c r="D2361">
        <v>12.434607645874999</v>
      </c>
      <c r="E2361">
        <v>0.30446759057924999</v>
      </c>
      <c r="F2361">
        <v>32</v>
      </c>
    </row>
    <row r="2362" spans="1:9" x14ac:dyDescent="0.25">
      <c r="A2362">
        <v>1045.37671097</v>
      </c>
      <c r="B2362">
        <v>1073.1565165642</v>
      </c>
      <c r="C2362" s="1">
        <f t="shared" si="679"/>
        <v>2.6573966401473914E-2</v>
      </c>
      <c r="D2362">
        <v>12.512676056338</v>
      </c>
      <c r="E2362">
        <v>0.30973355845583</v>
      </c>
      <c r="F2362">
        <v>33</v>
      </c>
    </row>
    <row r="2363" spans="1:9" x14ac:dyDescent="0.25">
      <c r="A2363">
        <v>1047.8071811149</v>
      </c>
      <c r="B2363">
        <v>1078.8653045031001</v>
      </c>
      <c r="C2363" s="1">
        <f t="shared" si="679"/>
        <v>2.9641067505524532E-2</v>
      </c>
      <c r="D2363">
        <v>12.427364185110999</v>
      </c>
      <c r="E2363">
        <v>0.30574504163959998</v>
      </c>
      <c r="F2363">
        <v>32</v>
      </c>
    </row>
    <row r="2364" spans="1:9" x14ac:dyDescent="0.25">
      <c r="A2364">
        <v>1055.6107915095999</v>
      </c>
      <c r="B2364">
        <v>1084.0670501884999</v>
      </c>
      <c r="C2364" s="1">
        <f t="shared" si="679"/>
        <v>2.6957150218410941E-2</v>
      </c>
      <c r="D2364">
        <v>12.510261569416</v>
      </c>
      <c r="E2364">
        <v>0.30557040665167001</v>
      </c>
      <c r="F2364">
        <v>33</v>
      </c>
    </row>
    <row r="2365" spans="1:9" x14ac:dyDescent="0.25">
      <c r="A2365">
        <v>1059.4810553462</v>
      </c>
      <c r="B2365">
        <v>1088.9029954374</v>
      </c>
      <c r="C2365" s="1">
        <f t="shared" si="679"/>
        <v>2.7770142696497802E-2</v>
      </c>
      <c r="D2365">
        <v>12.527967806841</v>
      </c>
      <c r="E2365">
        <v>0.30463584105753</v>
      </c>
      <c r="F2365">
        <v>32</v>
      </c>
    </row>
    <row r="2366" spans="1:9" x14ac:dyDescent="0.25">
      <c r="A2366">
        <v>1050.1622693910001</v>
      </c>
      <c r="B2366">
        <v>1079.3862328903001</v>
      </c>
      <c r="C2366" s="1">
        <f t="shared" si="679"/>
        <v>2.7828045580277072E-2</v>
      </c>
      <c r="D2366">
        <v>12.638229376258</v>
      </c>
      <c r="E2366">
        <v>0.31170849666375</v>
      </c>
      <c r="F2366">
        <v>34</v>
      </c>
    </row>
    <row r="2367" spans="1:9" x14ac:dyDescent="0.25">
      <c r="A2367">
        <v>1044.8407062091001</v>
      </c>
      <c r="B2367">
        <v>1072.4550684388</v>
      </c>
      <c r="C2367" s="1">
        <f t="shared" si="679"/>
        <v>2.6429255737834501E-2</v>
      </c>
      <c r="D2367">
        <v>12.486921529175</v>
      </c>
      <c r="E2367">
        <v>0.30868507927262001</v>
      </c>
      <c r="F2367">
        <v>34</v>
      </c>
    </row>
    <row r="2368" spans="1:9" x14ac:dyDescent="0.25">
      <c r="A2368">
        <v>1046.8649077564</v>
      </c>
      <c r="B2368">
        <v>1082.9454473318999</v>
      </c>
      <c r="C2368" s="1">
        <f t="shared" si="679"/>
        <v>3.4465325285214066E-2</v>
      </c>
      <c r="D2368">
        <v>12.586720321932001</v>
      </c>
      <c r="E2368">
        <v>0.31135612203348001</v>
      </c>
      <c r="F2368">
        <v>34</v>
      </c>
      <c r="H2368" t="s">
        <v>17</v>
      </c>
      <c r="I2368">
        <f t="shared" ref="I2368" si="697">STDEVP(A2354:A2373)</f>
        <v>4.8263871150436941</v>
      </c>
    </row>
    <row r="2369" spans="1:9" x14ac:dyDescent="0.25">
      <c r="A2369">
        <v>1049.423527078</v>
      </c>
      <c r="B2369">
        <v>1078.0567347747999</v>
      </c>
      <c r="C2369" s="1">
        <f t="shared" si="679"/>
        <v>2.7284701512768406E-2</v>
      </c>
      <c r="D2369">
        <v>12.317907444668</v>
      </c>
      <c r="E2369">
        <v>0.30193946662221</v>
      </c>
      <c r="F2369">
        <v>33</v>
      </c>
      <c r="H2369" t="s">
        <v>18</v>
      </c>
      <c r="I2369">
        <f t="shared" ref="I2369" si="698">STDEVP(B2354:B2373)</f>
        <v>4.7416370854744443</v>
      </c>
    </row>
    <row r="2370" spans="1:9" x14ac:dyDescent="0.25">
      <c r="A2370">
        <v>1052.2241618726</v>
      </c>
      <c r="B2370">
        <v>1081.2398333664</v>
      </c>
      <c r="C2370" s="1">
        <f t="shared" ref="C2370:C2433" si="699">IFERROR((B2370/A2370)-1,"")</f>
        <v>2.7575560935763077E-2</v>
      </c>
      <c r="D2370">
        <v>12.589939637826999</v>
      </c>
      <c r="E2370">
        <v>0.30924275053379002</v>
      </c>
      <c r="F2370">
        <v>33</v>
      </c>
      <c r="H2370" t="s">
        <v>19</v>
      </c>
      <c r="I2370">
        <f t="shared" ref="I2370" si="700">STDEVP(C2354:C2373)</f>
        <v>3.5183879779395561E-3</v>
      </c>
    </row>
    <row r="2371" spans="1:9" x14ac:dyDescent="0.25">
      <c r="A2371">
        <v>1045.9515969054</v>
      </c>
      <c r="B2371">
        <v>1081.8710573298999</v>
      </c>
      <c r="C2371" s="1">
        <f t="shared" si="699"/>
        <v>3.4341417452559808E-2</v>
      </c>
      <c r="D2371">
        <v>12.486116700201</v>
      </c>
      <c r="E2371">
        <v>0.30817246566667</v>
      </c>
      <c r="F2371">
        <v>33</v>
      </c>
      <c r="H2371" t="s">
        <v>20</v>
      </c>
      <c r="I2371">
        <f t="shared" ref="I2371" si="701">STDEVP(D2354:D2373)</f>
        <v>0.14257619098548402</v>
      </c>
    </row>
    <row r="2372" spans="1:9" x14ac:dyDescent="0.25">
      <c r="A2372">
        <v>1041.4663757190999</v>
      </c>
      <c r="B2372">
        <v>1073.5219202538999</v>
      </c>
      <c r="C2372" s="1">
        <f t="shared" si="699"/>
        <v>3.0779240964612598E-2</v>
      </c>
      <c r="D2372">
        <v>12.33722334004</v>
      </c>
      <c r="E2372">
        <v>0.30524441517880002</v>
      </c>
      <c r="F2372">
        <v>32</v>
      </c>
      <c r="H2372" t="s">
        <v>21</v>
      </c>
      <c r="I2372">
        <f t="shared" ref="I2372" si="702">STDEVP(E2354:E2373)</f>
        <v>3.7724579279601552E-3</v>
      </c>
    </row>
    <row r="2373" spans="1:9" x14ac:dyDescent="0.25">
      <c r="A2373">
        <v>1049.4762943860001</v>
      </c>
      <c r="B2373">
        <v>1081.5810355087999</v>
      </c>
      <c r="C2373" s="1">
        <f t="shared" si="699"/>
        <v>3.0591201816123847E-2</v>
      </c>
      <c r="D2373">
        <v>12.31629778672</v>
      </c>
      <c r="E2373">
        <v>0.30180701328929999</v>
      </c>
      <c r="F2373">
        <v>32</v>
      </c>
      <c r="H2373" t="s">
        <v>22</v>
      </c>
      <c r="I2373">
        <f t="shared" ref="I2373" si="703">STDEVP(F2354:F2373)</f>
        <v>0.7262919523166973</v>
      </c>
    </row>
    <row r="2374" spans="1:9" x14ac:dyDescent="0.25">
      <c r="C2374" s="1" t="str">
        <f t="shared" si="699"/>
        <v/>
      </c>
    </row>
    <row r="2375" spans="1:9" x14ac:dyDescent="0.25">
      <c r="A2375">
        <v>701.79338842975005</v>
      </c>
      <c r="B2375">
        <v>730.47933884299005</v>
      </c>
      <c r="C2375" s="1">
        <f t="shared" si="699"/>
        <v>4.0875207555637338E-2</v>
      </c>
      <c r="D2375">
        <v>9.9429175475686993</v>
      </c>
      <c r="E2375">
        <v>0.38415343925485002</v>
      </c>
      <c r="F2375">
        <v>14</v>
      </c>
    </row>
    <row r="2376" spans="1:9" x14ac:dyDescent="0.25">
      <c r="A2376">
        <v>690.95041322314</v>
      </c>
      <c r="B2376">
        <v>717.30578512397994</v>
      </c>
      <c r="C2376" s="1">
        <f t="shared" si="699"/>
        <v>3.8143651695492276E-2</v>
      </c>
      <c r="D2376">
        <v>9.5835095137421007</v>
      </c>
      <c r="E2376">
        <v>0.37236949757803001</v>
      </c>
      <c r="F2376">
        <v>15</v>
      </c>
    </row>
    <row r="2377" spans="1:9" x14ac:dyDescent="0.25">
      <c r="A2377">
        <v>690.56198347106999</v>
      </c>
      <c r="B2377">
        <v>721.40909090909997</v>
      </c>
      <c r="C2377" s="1">
        <f t="shared" si="699"/>
        <v>4.4669570837043038E-2</v>
      </c>
      <c r="D2377">
        <v>9.5729386892177999</v>
      </c>
      <c r="E2377">
        <v>0.37263162684356999</v>
      </c>
      <c r="F2377">
        <v>15</v>
      </c>
    </row>
    <row r="2378" spans="1:9" x14ac:dyDescent="0.25">
      <c r="A2378">
        <v>689.42148760330997</v>
      </c>
      <c r="B2378">
        <v>717.30578512397994</v>
      </c>
      <c r="C2378" s="1">
        <f t="shared" si="699"/>
        <v>4.0445936226337187E-2</v>
      </c>
      <c r="D2378">
        <v>9.6215644820295996</v>
      </c>
      <c r="E2378">
        <v>0.37602802661798002</v>
      </c>
      <c r="F2378">
        <v>15</v>
      </c>
    </row>
    <row r="2379" spans="1:9" x14ac:dyDescent="0.25">
      <c r="A2379">
        <v>693.09917355371999</v>
      </c>
      <c r="B2379">
        <v>718.42561983472001</v>
      </c>
      <c r="C2379" s="1">
        <f t="shared" si="699"/>
        <v>3.6540869254170438E-2</v>
      </c>
      <c r="D2379">
        <v>9.8329809725158999</v>
      </c>
      <c r="E2379">
        <v>0.38409731454642998</v>
      </c>
      <c r="F2379">
        <v>15</v>
      </c>
    </row>
    <row r="2380" spans="1:9" x14ac:dyDescent="0.25">
      <c r="A2380">
        <v>692.02066115701996</v>
      </c>
      <c r="B2380">
        <v>727.23140495868995</v>
      </c>
      <c r="C2380" s="1">
        <f t="shared" si="699"/>
        <v>5.0881058584001826E-2</v>
      </c>
      <c r="D2380">
        <v>9.5708245243129006</v>
      </c>
      <c r="E2380">
        <v>0.37064995166325998</v>
      </c>
      <c r="F2380">
        <v>15</v>
      </c>
    </row>
    <row r="2381" spans="1:9" x14ac:dyDescent="0.25">
      <c r="A2381">
        <v>694.54958677686</v>
      </c>
      <c r="B2381">
        <v>722.83884297522002</v>
      </c>
      <c r="C2381" s="1">
        <f t="shared" si="699"/>
        <v>4.0730362146840671E-2</v>
      </c>
      <c r="D2381">
        <v>9.8118393234672006</v>
      </c>
      <c r="E2381">
        <v>0.38246675139030001</v>
      </c>
      <c r="F2381">
        <v>16</v>
      </c>
    </row>
    <row r="2382" spans="1:9" x14ac:dyDescent="0.25">
      <c r="A2382">
        <v>687.52479338843</v>
      </c>
      <c r="B2382">
        <v>721.88842975208001</v>
      </c>
      <c r="C2382" s="1">
        <f t="shared" si="699"/>
        <v>4.9981668579965888E-2</v>
      </c>
      <c r="D2382">
        <v>9.7780126849894007</v>
      </c>
      <c r="E2382">
        <v>0.38610681544492997</v>
      </c>
      <c r="F2382">
        <v>14</v>
      </c>
    </row>
    <row r="2383" spans="1:9" x14ac:dyDescent="0.25">
      <c r="A2383">
        <v>693.26033057850998</v>
      </c>
      <c r="B2383">
        <v>728.37603305786001</v>
      </c>
      <c r="C2383" s="1">
        <f t="shared" si="699"/>
        <v>5.0652981182475632E-2</v>
      </c>
      <c r="D2383">
        <v>9.7040169133191991</v>
      </c>
      <c r="E2383">
        <v>0.37752718146476</v>
      </c>
      <c r="F2383">
        <v>15</v>
      </c>
    </row>
    <row r="2384" spans="1:9" x14ac:dyDescent="0.25">
      <c r="A2384">
        <v>690.93388429751997</v>
      </c>
      <c r="B2384">
        <v>720.46694214877004</v>
      </c>
      <c r="C2384" s="1">
        <f t="shared" si="699"/>
        <v>4.2743681446853143E-2</v>
      </c>
      <c r="D2384">
        <v>9.6617336152219995</v>
      </c>
      <c r="E2384">
        <v>0.37675749552449</v>
      </c>
      <c r="F2384">
        <v>16</v>
      </c>
    </row>
    <row r="2385" spans="1:9" x14ac:dyDescent="0.25">
      <c r="A2385">
        <v>687.76859504132005</v>
      </c>
      <c r="B2385">
        <v>715.29338842975994</v>
      </c>
      <c r="C2385" s="1">
        <f t="shared" si="699"/>
        <v>4.0020427781798151E-2</v>
      </c>
      <c r="D2385">
        <v>9.5137420718815999</v>
      </c>
      <c r="E2385">
        <v>0.37119237047918002</v>
      </c>
      <c r="F2385">
        <v>14</v>
      </c>
    </row>
    <row r="2386" spans="1:9" x14ac:dyDescent="0.25">
      <c r="A2386">
        <v>686.53719008264</v>
      </c>
      <c r="B2386">
        <v>719.19008264464003</v>
      </c>
      <c r="C2386" s="1">
        <f t="shared" si="699"/>
        <v>4.7561724308146314E-2</v>
      </c>
      <c r="D2386">
        <v>9.3763213530654994</v>
      </c>
      <c r="E2386">
        <v>0.36556962594453002</v>
      </c>
      <c r="F2386">
        <v>15</v>
      </c>
    </row>
    <row r="2387" spans="1:9" x14ac:dyDescent="0.25">
      <c r="A2387">
        <v>690.46280991736</v>
      </c>
      <c r="B2387">
        <v>726.02066115703997</v>
      </c>
      <c r="C2387" s="1">
        <f t="shared" si="699"/>
        <v>5.1498575634994381E-2</v>
      </c>
      <c r="D2387">
        <v>9.6701902748413993</v>
      </c>
      <c r="E2387">
        <v>0.37753137452563001</v>
      </c>
      <c r="F2387">
        <v>15</v>
      </c>
    </row>
    <row r="2388" spans="1:9" x14ac:dyDescent="0.25">
      <c r="A2388">
        <v>688.02892561983003</v>
      </c>
      <c r="B2388">
        <v>719.78099173554995</v>
      </c>
      <c r="C2388" s="1">
        <f t="shared" si="699"/>
        <v>4.6149318630921199E-2</v>
      </c>
      <c r="D2388">
        <v>9.3805496828752997</v>
      </c>
      <c r="E2388">
        <v>0.36446943172326002</v>
      </c>
      <c r="F2388">
        <v>15</v>
      </c>
    </row>
    <row r="2389" spans="1:9" x14ac:dyDescent="0.25">
      <c r="A2389">
        <v>692.84297520661005</v>
      </c>
      <c r="B2389">
        <v>728.29752066116998</v>
      </c>
      <c r="C2389" s="1">
        <f t="shared" si="699"/>
        <v>5.1172555287851695E-2</v>
      </c>
      <c r="D2389">
        <v>9.7315010570825002</v>
      </c>
      <c r="E2389">
        <v>0.37873645019784002</v>
      </c>
      <c r="F2389">
        <v>15</v>
      </c>
      <c r="H2389" t="s">
        <v>17</v>
      </c>
      <c r="I2389">
        <f t="shared" ref="I2389" si="704">STDEVP(A2375:A2394)</f>
        <v>3.5721325936543629</v>
      </c>
    </row>
    <row r="2390" spans="1:9" x14ac:dyDescent="0.25">
      <c r="A2390">
        <v>684.62396694214999</v>
      </c>
      <c r="B2390">
        <v>715.63223140496996</v>
      </c>
      <c r="C2390" s="1">
        <f t="shared" si="699"/>
        <v>4.5292402778882135E-2</v>
      </c>
      <c r="D2390">
        <v>9.4249471458774003</v>
      </c>
      <c r="E2390">
        <v>0.36904289858411998</v>
      </c>
      <c r="F2390">
        <v>15</v>
      </c>
      <c r="H2390" t="s">
        <v>18</v>
      </c>
      <c r="I2390">
        <f t="shared" ref="I2390" si="705">STDEVP(B2375:B2394)</f>
        <v>4.6156623915265964</v>
      </c>
    </row>
    <row r="2391" spans="1:9" x14ac:dyDescent="0.25">
      <c r="A2391">
        <v>691.69008264463002</v>
      </c>
      <c r="B2391">
        <v>722.80578512397994</v>
      </c>
      <c r="C2391" s="1">
        <f t="shared" si="699"/>
        <v>4.4985034858937345E-2</v>
      </c>
      <c r="D2391">
        <v>9.5306553911205008</v>
      </c>
      <c r="E2391">
        <v>0.36927922518116002</v>
      </c>
      <c r="F2391">
        <v>15</v>
      </c>
      <c r="H2391" t="s">
        <v>19</v>
      </c>
      <c r="I2391">
        <f t="shared" ref="I2391" si="706">STDEVP(C2375:C2394)</f>
        <v>5.7875912750941462E-3</v>
      </c>
    </row>
    <row r="2392" spans="1:9" x14ac:dyDescent="0.25">
      <c r="A2392">
        <v>688.62396694214999</v>
      </c>
      <c r="B2392">
        <v>730.14049586778003</v>
      </c>
      <c r="C2392" s="1">
        <f t="shared" si="699"/>
        <v>6.0289114115480436E-2</v>
      </c>
      <c r="D2392">
        <v>9.5412262156447998</v>
      </c>
      <c r="E2392">
        <v>0.37252412125242002</v>
      </c>
      <c r="F2392">
        <v>15</v>
      </c>
      <c r="H2392" t="s">
        <v>20</v>
      </c>
      <c r="I2392">
        <f t="shared" ref="I2392" si="707">STDEVP(D2375:D2394)</f>
        <v>0.1492131324928265</v>
      </c>
    </row>
    <row r="2393" spans="1:9" x14ac:dyDescent="0.25">
      <c r="A2393">
        <v>692.58264462809996</v>
      </c>
      <c r="B2393">
        <v>719.58264462810996</v>
      </c>
      <c r="C2393" s="1">
        <f t="shared" si="699"/>
        <v>3.8984517168356714E-2</v>
      </c>
      <c r="D2393">
        <v>9.7019027484143994</v>
      </c>
      <c r="E2393">
        <v>0.37777982652837</v>
      </c>
      <c r="F2393">
        <v>15</v>
      </c>
      <c r="H2393" t="s">
        <v>21</v>
      </c>
      <c r="I2393">
        <f t="shared" ref="I2393" si="708">STDEVP(E2375:E2394)</f>
        <v>6.0405575212935632E-3</v>
      </c>
    </row>
    <row r="2394" spans="1:9" x14ac:dyDescent="0.25">
      <c r="A2394">
        <v>693.95041322314</v>
      </c>
      <c r="B2394">
        <v>722.39256198348005</v>
      </c>
      <c r="C2394" s="1">
        <f t="shared" si="699"/>
        <v>4.0985851753062352E-2</v>
      </c>
      <c r="D2394">
        <v>9.7695560253699991</v>
      </c>
      <c r="E2394">
        <v>0.38045402667074002</v>
      </c>
      <c r="F2394">
        <v>15</v>
      </c>
      <c r="H2394" t="s">
        <v>22</v>
      </c>
      <c r="I2394">
        <f t="shared" ref="I2394" si="709">STDEVP(F2375:F2394)</f>
        <v>0.49749371855331009</v>
      </c>
    </row>
    <row r="2395" spans="1:9" x14ac:dyDescent="0.25">
      <c r="C2395" s="1" t="str">
        <f t="shared" si="699"/>
        <v/>
      </c>
    </row>
    <row r="2396" spans="1:9" x14ac:dyDescent="0.25">
      <c r="A2396">
        <v>2488.6172839505998</v>
      </c>
      <c r="B2396">
        <v>2581.3456790124001</v>
      </c>
      <c r="C2396" s="1">
        <f t="shared" si="699"/>
        <v>3.7261010626188806E-2</v>
      </c>
      <c r="D2396">
        <v>19.385620915033002</v>
      </c>
      <c r="E2396">
        <v>0.17257621810707999</v>
      </c>
      <c r="F2396">
        <v>26</v>
      </c>
    </row>
    <row r="2397" spans="1:9" x14ac:dyDescent="0.25">
      <c r="A2397">
        <v>2476.3086419752999</v>
      </c>
      <c r="B2397">
        <v>2610.4567901235</v>
      </c>
      <c r="C2397" s="1">
        <f t="shared" si="699"/>
        <v>5.4172628514187471E-2</v>
      </c>
      <c r="D2397">
        <v>19.869281045752</v>
      </c>
      <c r="E2397">
        <v>0.17894075117430999</v>
      </c>
      <c r="F2397">
        <v>27</v>
      </c>
    </row>
    <row r="2398" spans="1:9" x14ac:dyDescent="0.25">
      <c r="A2398">
        <v>2473.3827160494002</v>
      </c>
      <c r="B2398">
        <v>2583.0123456790998</v>
      </c>
      <c r="C2398" s="1">
        <f t="shared" si="699"/>
        <v>4.4323763127448901E-2</v>
      </c>
      <c r="D2398">
        <v>20.379084967320001</v>
      </c>
      <c r="E2398">
        <v>0.18455257366364</v>
      </c>
      <c r="F2398">
        <v>27</v>
      </c>
    </row>
    <row r="2399" spans="1:9" x14ac:dyDescent="0.25">
      <c r="A2399">
        <v>2459.7037037036998</v>
      </c>
      <c r="B2399">
        <v>2596.0617283951001</v>
      </c>
      <c r="C2399" s="1">
        <f t="shared" si="699"/>
        <v>5.543676845551726E-2</v>
      </c>
      <c r="D2399">
        <v>18.901960784313999</v>
      </c>
      <c r="E2399">
        <v>0.1701151457308</v>
      </c>
      <c r="F2399">
        <v>27</v>
      </c>
    </row>
    <row r="2400" spans="1:9" x14ac:dyDescent="0.25">
      <c r="A2400">
        <v>2495.8395061728002</v>
      </c>
      <c r="B2400">
        <v>2581.0493827160999</v>
      </c>
      <c r="C2400" s="1">
        <f t="shared" si="699"/>
        <v>3.414076759845952E-2</v>
      </c>
      <c r="D2400">
        <v>19.738562091502999</v>
      </c>
      <c r="E2400">
        <v>0.17586013652543001</v>
      </c>
      <c r="F2400">
        <v>26</v>
      </c>
    </row>
    <row r="2401" spans="1:9" x14ac:dyDescent="0.25">
      <c r="A2401">
        <v>2500.0617283951001</v>
      </c>
      <c r="B2401">
        <v>2577.1728395062</v>
      </c>
      <c r="C2401" s="1">
        <f t="shared" si="699"/>
        <v>3.0843682872022882E-2</v>
      </c>
      <c r="D2401">
        <v>19.738562091502999</v>
      </c>
      <c r="E2401">
        <v>0.17539304727836999</v>
      </c>
      <c r="F2401">
        <v>27</v>
      </c>
    </row>
    <row r="2402" spans="1:9" x14ac:dyDescent="0.25">
      <c r="A2402">
        <v>2456.6049382716001</v>
      </c>
      <c r="B2402">
        <v>2591.9506172840001</v>
      </c>
      <c r="C2402" s="1">
        <f t="shared" si="699"/>
        <v>5.5094605121011275E-2</v>
      </c>
      <c r="D2402">
        <v>19.437908496732</v>
      </c>
      <c r="E2402">
        <v>0.17598381208922001</v>
      </c>
      <c r="F2402">
        <v>27</v>
      </c>
    </row>
    <row r="2403" spans="1:9" x14ac:dyDescent="0.25">
      <c r="A2403">
        <v>2470.4814814814999</v>
      </c>
      <c r="B2403">
        <v>2580.2839506173</v>
      </c>
      <c r="C2403" s="1">
        <f t="shared" si="699"/>
        <v>4.4445777051505653E-2</v>
      </c>
      <c r="D2403">
        <v>19.843137254902</v>
      </c>
      <c r="E2403">
        <v>0.17907307183900001</v>
      </c>
      <c r="F2403">
        <v>26</v>
      </c>
    </row>
    <row r="2404" spans="1:9" x14ac:dyDescent="0.25">
      <c r="A2404">
        <v>2473.9012345678998</v>
      </c>
      <c r="B2404">
        <v>2551.4197530864999</v>
      </c>
      <c r="C2404" s="1">
        <f t="shared" si="699"/>
        <v>3.133452436800277E-2</v>
      </c>
      <c r="D2404">
        <v>19.712418300654001</v>
      </c>
      <c r="E2404">
        <v>0.17725460348102001</v>
      </c>
      <c r="F2404">
        <v>27</v>
      </c>
    </row>
    <row r="2405" spans="1:9" x14ac:dyDescent="0.25">
      <c r="A2405">
        <v>2483.0987654321002</v>
      </c>
      <c r="B2405">
        <v>2596.7160493828001</v>
      </c>
      <c r="C2405" s="1">
        <f t="shared" si="699"/>
        <v>4.5756248415245171E-2</v>
      </c>
      <c r="D2405">
        <v>19.228758169934999</v>
      </c>
      <c r="E2405">
        <v>0.17133974832838</v>
      </c>
      <c r="F2405">
        <v>27</v>
      </c>
    </row>
    <row r="2406" spans="1:9" x14ac:dyDescent="0.25">
      <c r="A2406">
        <v>2470.2469135801998</v>
      </c>
      <c r="B2406">
        <v>2577.6790123456999</v>
      </c>
      <c r="C2406" s="1">
        <f t="shared" si="699"/>
        <v>4.3490429306840328E-2</v>
      </c>
      <c r="D2406">
        <v>19.660130718954001</v>
      </c>
      <c r="E2406">
        <v>0.17707546573654001</v>
      </c>
      <c r="F2406">
        <v>27</v>
      </c>
    </row>
    <row r="2407" spans="1:9" x14ac:dyDescent="0.25">
      <c r="A2407">
        <v>2475.8641975309001</v>
      </c>
      <c r="B2407">
        <v>2583.6419753086998</v>
      </c>
      <c r="C2407" s="1">
        <f t="shared" si="699"/>
        <v>4.3531376997689497E-2</v>
      </c>
      <c r="D2407">
        <v>19.163398692809999</v>
      </c>
      <c r="E2407">
        <v>0.17138961249788001</v>
      </c>
      <c r="F2407">
        <v>27</v>
      </c>
    </row>
    <row r="2408" spans="1:9" x14ac:dyDescent="0.25">
      <c r="A2408">
        <v>2470.7530864198002</v>
      </c>
      <c r="B2408">
        <v>2571.4691358025002</v>
      </c>
      <c r="C2408" s="1">
        <f t="shared" si="699"/>
        <v>4.0763300038467509E-2</v>
      </c>
      <c r="D2408">
        <v>19.281045751634</v>
      </c>
      <c r="E2408">
        <v>0.17298883362331999</v>
      </c>
      <c r="F2408">
        <v>26</v>
      </c>
    </row>
    <row r="2409" spans="1:9" x14ac:dyDescent="0.25">
      <c r="A2409">
        <v>2504.9876543209998</v>
      </c>
      <c r="B2409">
        <v>2612.3333333333999</v>
      </c>
      <c r="C2409" s="1">
        <f t="shared" si="699"/>
        <v>4.285277766827833E-2</v>
      </c>
      <c r="D2409">
        <v>19.581699346404999</v>
      </c>
      <c r="E2409">
        <v>0.17337281412475999</v>
      </c>
      <c r="F2409">
        <v>27</v>
      </c>
    </row>
    <row r="2410" spans="1:9" x14ac:dyDescent="0.25">
      <c r="A2410">
        <v>2534.4074074074001</v>
      </c>
      <c r="B2410">
        <v>2593.3950617283999</v>
      </c>
      <c r="C2410" s="1">
        <f t="shared" si="699"/>
        <v>2.3274732447748692E-2</v>
      </c>
      <c r="D2410">
        <v>20.156862745098</v>
      </c>
      <c r="E2410">
        <v>0.17699284830619999</v>
      </c>
      <c r="F2410">
        <v>27</v>
      </c>
      <c r="H2410" t="s">
        <v>17</v>
      </c>
      <c r="I2410">
        <f t="shared" ref="I2410" si="710">STDEVP(A2396:A2415)</f>
        <v>17.692246064228712</v>
      </c>
    </row>
    <row r="2411" spans="1:9" x14ac:dyDescent="0.25">
      <c r="A2411">
        <v>2486.1604938271998</v>
      </c>
      <c r="B2411">
        <v>2592.8641975309001</v>
      </c>
      <c r="C2411" s="1">
        <f t="shared" si="699"/>
        <v>4.2919072991719931E-2</v>
      </c>
      <c r="D2411">
        <v>19.437908496732</v>
      </c>
      <c r="E2411">
        <v>0.17357152978164</v>
      </c>
      <c r="F2411">
        <v>27</v>
      </c>
      <c r="H2411" t="s">
        <v>18</v>
      </c>
      <c r="I2411">
        <f t="shared" ref="I2411" si="711">STDEVP(B2396:B2415)</f>
        <v>14.803497271718012</v>
      </c>
    </row>
    <row r="2412" spans="1:9" x14ac:dyDescent="0.25">
      <c r="A2412">
        <v>2492.5555555556002</v>
      </c>
      <c r="B2412">
        <v>2616.1481481482001</v>
      </c>
      <c r="C2412" s="1">
        <f t="shared" si="699"/>
        <v>4.9584689222724521E-2</v>
      </c>
      <c r="D2412">
        <v>19.529411764706001</v>
      </c>
      <c r="E2412">
        <v>0.17396578536425999</v>
      </c>
      <c r="F2412">
        <v>26</v>
      </c>
      <c r="H2412" t="s">
        <v>19</v>
      </c>
      <c r="I2412">
        <f t="shared" ref="I2412" si="712">STDEVP(C2396:C2415)</f>
        <v>8.2836282044533756E-3</v>
      </c>
    </row>
    <row r="2413" spans="1:9" x14ac:dyDescent="0.25">
      <c r="A2413">
        <v>2503.4691358025002</v>
      </c>
      <c r="B2413">
        <v>2591.2839506173</v>
      </c>
      <c r="C2413" s="1">
        <f t="shared" si="699"/>
        <v>3.507725082724078E-2</v>
      </c>
      <c r="D2413">
        <v>20.013071895425</v>
      </c>
      <c r="E2413">
        <v>0.17810090418787999</v>
      </c>
      <c r="F2413">
        <v>27</v>
      </c>
      <c r="H2413" t="s">
        <v>20</v>
      </c>
      <c r="I2413">
        <f t="shared" ref="I2413" si="713">STDEVP(D2396:D2415)</f>
        <v>0.36296289757731126</v>
      </c>
    </row>
    <row r="2414" spans="1:9" x14ac:dyDescent="0.25">
      <c r="A2414">
        <v>2481.9259259259002</v>
      </c>
      <c r="B2414">
        <v>2572.1975308643</v>
      </c>
      <c r="C2414" s="1">
        <f t="shared" si="699"/>
        <v>3.6371595137241419E-2</v>
      </c>
      <c r="D2414">
        <v>19.019607843136999</v>
      </c>
      <c r="E2414">
        <v>0.16950648580420999</v>
      </c>
      <c r="F2414">
        <v>27</v>
      </c>
      <c r="H2414" t="s">
        <v>21</v>
      </c>
      <c r="I2414">
        <f t="shared" ref="I2414" si="714">STDEVP(E2396:E2415)</f>
        <v>3.5175771860815382E-3</v>
      </c>
    </row>
    <row r="2415" spans="1:9" x14ac:dyDescent="0.25">
      <c r="A2415">
        <v>2497.4814814814999</v>
      </c>
      <c r="B2415">
        <v>2587</v>
      </c>
      <c r="C2415" s="1">
        <f t="shared" si="699"/>
        <v>3.584351643136019E-2</v>
      </c>
      <c r="D2415">
        <v>19.490196078431001</v>
      </c>
      <c r="E2415">
        <v>0.17321504322729001</v>
      </c>
      <c r="F2415">
        <v>27</v>
      </c>
      <c r="H2415" t="s">
        <v>22</v>
      </c>
      <c r="I2415">
        <f t="shared" ref="I2415" si="715">STDEVP(F2396:F2415)</f>
        <v>0.4330127018922193</v>
      </c>
    </row>
    <row r="2416" spans="1:9" x14ac:dyDescent="0.25">
      <c r="C2416" s="1" t="str">
        <f t="shared" si="699"/>
        <v/>
      </c>
    </row>
    <row r="2417" spans="1:9" x14ac:dyDescent="0.25">
      <c r="A2417">
        <v>1286.6439909297001</v>
      </c>
      <c r="B2417">
        <v>1343.7188208616001</v>
      </c>
      <c r="C2417" s="1">
        <f t="shared" si="699"/>
        <v>4.4359457887538145E-2</v>
      </c>
      <c r="D2417">
        <v>15.145180023229001</v>
      </c>
      <c r="E2417">
        <v>0.29917449289206999</v>
      </c>
      <c r="F2417">
        <v>26</v>
      </c>
    </row>
    <row r="2418" spans="1:9" x14ac:dyDescent="0.25">
      <c r="A2418">
        <v>1309.1995464853001</v>
      </c>
      <c r="B2418">
        <v>1351.9773242629999</v>
      </c>
      <c r="C2418" s="1">
        <f t="shared" si="699"/>
        <v>3.2674757558954104E-2</v>
      </c>
      <c r="D2418">
        <v>15.015098722416001</v>
      </c>
      <c r="E2418">
        <v>0.28931327473294</v>
      </c>
      <c r="F2418">
        <v>26</v>
      </c>
    </row>
    <row r="2419" spans="1:9" x14ac:dyDescent="0.25">
      <c r="A2419">
        <v>1299.9070294784999</v>
      </c>
      <c r="B2419">
        <v>1335.947845805</v>
      </c>
      <c r="C2419" s="1">
        <f t="shared" si="699"/>
        <v>2.7725687690879797E-2</v>
      </c>
      <c r="D2419">
        <v>15.168408826945001</v>
      </c>
      <c r="E2419">
        <v>0.29566484990005998</v>
      </c>
      <c r="F2419">
        <v>26</v>
      </c>
    </row>
    <row r="2420" spans="1:9" x14ac:dyDescent="0.25">
      <c r="A2420">
        <v>1295.5215419501001</v>
      </c>
      <c r="B2420">
        <v>1346.6712018139999</v>
      </c>
      <c r="C2420" s="1">
        <f t="shared" si="699"/>
        <v>3.9481906095444996E-2</v>
      </c>
      <c r="D2420">
        <v>15.221835075494001</v>
      </c>
      <c r="E2420">
        <v>0.29852911714545999</v>
      </c>
      <c r="F2420">
        <v>26</v>
      </c>
    </row>
    <row r="2421" spans="1:9" x14ac:dyDescent="0.25">
      <c r="A2421">
        <v>1302.6598639455999</v>
      </c>
      <c r="B2421">
        <v>1344.8480725623001</v>
      </c>
      <c r="C2421" s="1">
        <f t="shared" si="699"/>
        <v>3.2386204399448726E-2</v>
      </c>
      <c r="D2421">
        <v>14.836236933798</v>
      </c>
      <c r="E2421">
        <v>0.28651306860508002</v>
      </c>
      <c r="F2421">
        <v>27</v>
      </c>
    </row>
    <row r="2422" spans="1:9" x14ac:dyDescent="0.25">
      <c r="A2422">
        <v>1294.0158730159001</v>
      </c>
      <c r="B2422">
        <v>1343.3333333333001</v>
      </c>
      <c r="C2422" s="1">
        <f t="shared" si="699"/>
        <v>3.8111943868553988E-2</v>
      </c>
      <c r="D2422">
        <v>15.008130081300999</v>
      </c>
      <c r="E2422">
        <v>0.29342385451212</v>
      </c>
      <c r="F2422">
        <v>26</v>
      </c>
    </row>
    <row r="2423" spans="1:9" x14ac:dyDescent="0.25">
      <c r="A2423">
        <v>1298.7482993197</v>
      </c>
      <c r="B2423">
        <v>1348.9047619047001</v>
      </c>
      <c r="C2423" s="1">
        <f t="shared" si="699"/>
        <v>3.8619078547608154E-2</v>
      </c>
      <c r="D2423">
        <v>15.038327526132001</v>
      </c>
      <c r="E2423">
        <v>0.29267847764992</v>
      </c>
      <c r="F2423">
        <v>26</v>
      </c>
    </row>
    <row r="2424" spans="1:9" x14ac:dyDescent="0.25">
      <c r="A2424">
        <v>1299.4648526077001</v>
      </c>
      <c r="B2424">
        <v>1344.6689342402999</v>
      </c>
      <c r="C2424" s="1">
        <f t="shared" si="699"/>
        <v>3.4786690491771743E-2</v>
      </c>
      <c r="D2424">
        <v>15.13356562137</v>
      </c>
      <c r="E2424">
        <v>0.29485163413099003</v>
      </c>
      <c r="F2424">
        <v>26</v>
      </c>
    </row>
    <row r="2425" spans="1:9" x14ac:dyDescent="0.25">
      <c r="A2425">
        <v>1293.6507936508001</v>
      </c>
      <c r="B2425">
        <v>1358.5328798185001</v>
      </c>
      <c r="C2425" s="1">
        <f t="shared" si="699"/>
        <v>5.0154250657240329E-2</v>
      </c>
      <c r="D2425">
        <v>14.650406504065</v>
      </c>
      <c r="E2425">
        <v>0.28417687087977</v>
      </c>
      <c r="F2425">
        <v>27</v>
      </c>
    </row>
    <row r="2426" spans="1:9" x14ac:dyDescent="0.25">
      <c r="A2426">
        <v>1302.3764172336</v>
      </c>
      <c r="B2426">
        <v>1349.6394557823</v>
      </c>
      <c r="C2426" s="1">
        <f t="shared" si="699"/>
        <v>3.6289845180928815E-2</v>
      </c>
      <c r="D2426">
        <v>14.785133565621001</v>
      </c>
      <c r="E2426">
        <v>0.28555413194001</v>
      </c>
      <c r="F2426">
        <v>26</v>
      </c>
    </row>
    <row r="2427" spans="1:9" x14ac:dyDescent="0.25">
      <c r="A2427">
        <v>1307.2108843537001</v>
      </c>
      <c r="B2427">
        <v>1355.6054421767999</v>
      </c>
      <c r="C2427" s="1">
        <f t="shared" si="699"/>
        <v>3.7021232306390095E-2</v>
      </c>
      <c r="D2427">
        <v>15.198606271777001</v>
      </c>
      <c r="E2427">
        <v>0.29401477940527998</v>
      </c>
      <c r="F2427">
        <v>25</v>
      </c>
    </row>
    <row r="2428" spans="1:9" x14ac:dyDescent="0.25">
      <c r="A2428">
        <v>1298.4512471655</v>
      </c>
      <c r="B2428">
        <v>1340.7551020408</v>
      </c>
      <c r="C2428" s="1">
        <f t="shared" si="699"/>
        <v>3.2580241243287844E-2</v>
      </c>
      <c r="D2428">
        <v>14.854819976770999</v>
      </c>
      <c r="E2428">
        <v>0.28821727422327997</v>
      </c>
      <c r="F2428">
        <v>27</v>
      </c>
    </row>
    <row r="2429" spans="1:9" x14ac:dyDescent="0.25">
      <c r="A2429">
        <v>1288.8458049886999</v>
      </c>
      <c r="B2429">
        <v>1339.2176870748001</v>
      </c>
      <c r="C2429" s="1">
        <f t="shared" si="699"/>
        <v>3.9082939084820856E-2</v>
      </c>
      <c r="D2429">
        <v>14.938443670151001</v>
      </c>
      <c r="E2429">
        <v>0.29301961448927999</v>
      </c>
      <c r="F2429">
        <v>27</v>
      </c>
    </row>
    <row r="2430" spans="1:9" x14ac:dyDescent="0.25">
      <c r="A2430">
        <v>1310.2131519274001</v>
      </c>
      <c r="B2430">
        <v>1353.5918367347001</v>
      </c>
      <c r="C2430" s="1">
        <f t="shared" si="699"/>
        <v>3.3108112785684929E-2</v>
      </c>
      <c r="D2430">
        <v>15.1475029036</v>
      </c>
      <c r="E2430">
        <v>0.29216033024376997</v>
      </c>
      <c r="F2430">
        <v>26</v>
      </c>
    </row>
    <row r="2431" spans="1:9" x14ac:dyDescent="0.25">
      <c r="A2431">
        <v>1306.0634920635</v>
      </c>
      <c r="B2431">
        <v>1356.1315192743</v>
      </c>
      <c r="C2431" s="1">
        <f t="shared" si="699"/>
        <v>3.8335063735450925E-2</v>
      </c>
      <c r="D2431">
        <v>14.813008130081</v>
      </c>
      <c r="E2431">
        <v>0.28549255562143999</v>
      </c>
      <c r="F2431">
        <v>26</v>
      </c>
      <c r="H2431" t="s">
        <v>17</v>
      </c>
      <c r="I2431">
        <f t="shared" ref="I2431" si="716">STDEVP(A2417:A2436)</f>
        <v>6.4695299279444187</v>
      </c>
    </row>
    <row r="2432" spans="1:9" x14ac:dyDescent="0.25">
      <c r="A2432">
        <v>1300.5782312925</v>
      </c>
      <c r="B2432">
        <v>1348.1111111110999</v>
      </c>
      <c r="C2432" s="1">
        <f t="shared" si="699"/>
        <v>3.654749762446996E-2</v>
      </c>
      <c r="D2432">
        <v>14.871080139372999</v>
      </c>
      <c r="E2432">
        <v>0.28800150382640999</v>
      </c>
      <c r="F2432">
        <v>26</v>
      </c>
      <c r="H2432" t="s">
        <v>18</v>
      </c>
      <c r="I2432">
        <f t="shared" ref="I2432" si="717">STDEVP(B2417:B2436)</f>
        <v>6.2850340371124176</v>
      </c>
    </row>
    <row r="2433" spans="1:9" x14ac:dyDescent="0.25">
      <c r="A2433">
        <v>1304.1587301587001</v>
      </c>
      <c r="B2433">
        <v>1345.7981859409999</v>
      </c>
      <c r="C2433" s="1">
        <f t="shared" si="699"/>
        <v>3.1928211512438187E-2</v>
      </c>
      <c r="D2433">
        <v>15.20325203252</v>
      </c>
      <c r="E2433">
        <v>0.29522889261254998</v>
      </c>
      <c r="F2433">
        <v>26</v>
      </c>
      <c r="H2433" t="s">
        <v>19</v>
      </c>
      <c r="I2433">
        <f t="shared" ref="I2433" si="718">STDEVP(C2417:C2436)</f>
        <v>5.1199257637320472E-3</v>
      </c>
    </row>
    <row r="2434" spans="1:9" x14ac:dyDescent="0.25">
      <c r="A2434">
        <v>1308.3764172336</v>
      </c>
      <c r="B2434">
        <v>1345.6303854875</v>
      </c>
      <c r="C2434" s="1">
        <f t="shared" ref="C2434:C2497" si="719">IFERROR((B2434/A2434)-1,"")</f>
        <v>2.8473432999250203E-2</v>
      </c>
      <c r="D2434">
        <v>15.029036004646001</v>
      </c>
      <c r="E2434">
        <v>0.28946492457457002</v>
      </c>
      <c r="F2434">
        <v>27</v>
      </c>
      <c r="H2434" t="s">
        <v>20</v>
      </c>
      <c r="I2434">
        <f t="shared" ref="I2434" si="720">STDEVP(D2417:D2436)</f>
        <v>0.1614999596893345</v>
      </c>
    </row>
    <row r="2435" spans="1:9" x14ac:dyDescent="0.25">
      <c r="A2435">
        <v>1307.8820861678</v>
      </c>
      <c r="B2435">
        <v>1357.0294784580001</v>
      </c>
      <c r="C2435" s="1">
        <f t="shared" si="719"/>
        <v>3.7577846512299784E-2</v>
      </c>
      <c r="D2435">
        <v>15.096399535424</v>
      </c>
      <c r="E2435">
        <v>0.29166731227690001</v>
      </c>
      <c r="F2435">
        <v>26</v>
      </c>
      <c r="H2435" t="s">
        <v>21</v>
      </c>
      <c r="I2435">
        <f t="shared" ref="I2435" si="721">STDEVP(E2417:E2436)</f>
        <v>4.209744770460086E-3</v>
      </c>
    </row>
    <row r="2436" spans="1:9" x14ac:dyDescent="0.25">
      <c r="A2436">
        <v>1302.7301587301999</v>
      </c>
      <c r="B2436">
        <v>1356.7823129251001</v>
      </c>
      <c r="C2436" s="1">
        <f t="shared" si="719"/>
        <v>4.1491443053399468E-2</v>
      </c>
      <c r="D2436">
        <v>15.154471544714999</v>
      </c>
      <c r="E2436">
        <v>0.29427170598974001</v>
      </c>
      <c r="F2436">
        <v>25</v>
      </c>
      <c r="H2436" t="s">
        <v>22</v>
      </c>
      <c r="I2436">
        <f t="shared" ref="I2436" si="722">STDEVP(F2417:F2436)</f>
        <v>0.57227615711297997</v>
      </c>
    </row>
    <row r="2437" spans="1:9" x14ac:dyDescent="0.25">
      <c r="C2437" s="1" t="str">
        <f t="shared" si="719"/>
        <v/>
      </c>
    </row>
    <row r="2438" spans="1:9" x14ac:dyDescent="0.25">
      <c r="A2438">
        <v>774.14411690602003</v>
      </c>
      <c r="B2438">
        <v>799.48601662888996</v>
      </c>
      <c r="C2438" s="1">
        <f t="shared" si="719"/>
        <v>3.2735377263025001E-2</v>
      </c>
      <c r="D2438">
        <v>10.326676907322</v>
      </c>
      <c r="E2438">
        <v>0.35716851598006</v>
      </c>
      <c r="F2438">
        <v>14</v>
      </c>
    </row>
    <row r="2439" spans="1:9" x14ac:dyDescent="0.25">
      <c r="A2439">
        <v>765.91987906274005</v>
      </c>
      <c r="B2439">
        <v>798.25396825398002</v>
      </c>
      <c r="C2439" s="1">
        <f t="shared" si="719"/>
        <v>4.2216020337280336E-2</v>
      </c>
      <c r="D2439">
        <v>10.113671274962</v>
      </c>
      <c r="E2439">
        <v>0.35227292633175</v>
      </c>
      <c r="F2439">
        <v>14</v>
      </c>
    </row>
    <row r="2440" spans="1:9" x14ac:dyDescent="0.25">
      <c r="A2440">
        <v>775.31620055430005</v>
      </c>
      <c r="B2440">
        <v>802.14058956916995</v>
      </c>
      <c r="C2440" s="1">
        <f t="shared" si="719"/>
        <v>3.4597998849620559E-2</v>
      </c>
      <c r="D2440">
        <v>10.318484383001</v>
      </c>
      <c r="E2440">
        <v>0.35621741469863</v>
      </c>
      <c r="F2440">
        <v>14</v>
      </c>
    </row>
    <row r="2441" spans="1:9" x14ac:dyDescent="0.25">
      <c r="A2441">
        <v>774.26102292768996</v>
      </c>
      <c r="B2441">
        <v>801.93701184178997</v>
      </c>
      <c r="C2441" s="1">
        <f t="shared" si="719"/>
        <v>3.5745037002443469E-2</v>
      </c>
      <c r="D2441">
        <v>10.229390681004</v>
      </c>
      <c r="E2441">
        <v>0.35259985536659</v>
      </c>
      <c r="F2441">
        <v>14</v>
      </c>
    </row>
    <row r="2442" spans="1:9" x14ac:dyDescent="0.25">
      <c r="A2442">
        <v>769.26480221717998</v>
      </c>
      <c r="B2442">
        <v>794.97203325776002</v>
      </c>
      <c r="C2442" s="1">
        <f t="shared" si="719"/>
        <v>3.3417921847569865E-2</v>
      </c>
      <c r="D2442">
        <v>10.306195596518</v>
      </c>
      <c r="E2442">
        <v>0.35929424182199998</v>
      </c>
      <c r="F2442">
        <v>14</v>
      </c>
    </row>
    <row r="2443" spans="1:9" x14ac:dyDescent="0.25">
      <c r="A2443">
        <v>768.29428067522997</v>
      </c>
      <c r="B2443">
        <v>793.41345427061003</v>
      </c>
      <c r="C2443" s="1">
        <f t="shared" si="719"/>
        <v>3.2694729385859267E-2</v>
      </c>
      <c r="D2443">
        <v>10.324628776241999</v>
      </c>
      <c r="E2443">
        <v>0.36055094413963001</v>
      </c>
      <c r="F2443">
        <v>14</v>
      </c>
    </row>
    <row r="2444" spans="1:9" x14ac:dyDescent="0.25">
      <c r="A2444">
        <v>773.12673217434997</v>
      </c>
      <c r="B2444">
        <v>800.01310153691998</v>
      </c>
      <c r="C2444" s="1">
        <f t="shared" si="719"/>
        <v>3.4776147614188124E-2</v>
      </c>
      <c r="D2444">
        <v>10.102406554019</v>
      </c>
      <c r="E2444">
        <v>0.34719317348731998</v>
      </c>
      <c r="F2444">
        <v>14</v>
      </c>
    </row>
    <row r="2445" spans="1:9" x14ac:dyDescent="0.25">
      <c r="A2445">
        <v>774.92617787856</v>
      </c>
      <c r="B2445">
        <v>794.12144116906995</v>
      </c>
      <c r="C2445" s="1">
        <f t="shared" si="719"/>
        <v>2.4770441157451861E-2</v>
      </c>
      <c r="D2445">
        <v>10.327700972862001</v>
      </c>
      <c r="E2445">
        <v>0.35663655508584002</v>
      </c>
      <c r="F2445">
        <v>14</v>
      </c>
    </row>
    <row r="2446" spans="1:9" x14ac:dyDescent="0.25">
      <c r="A2446">
        <v>780.36130007558995</v>
      </c>
      <c r="B2446">
        <v>802.40967498112002</v>
      </c>
      <c r="C2446" s="1">
        <f t="shared" si="719"/>
        <v>2.8254059886611893E-2</v>
      </c>
      <c r="D2446">
        <v>10.310291858678999</v>
      </c>
      <c r="E2446">
        <v>0.35280825843095998</v>
      </c>
      <c r="F2446">
        <v>14</v>
      </c>
    </row>
    <row r="2447" spans="1:9" x14ac:dyDescent="0.25">
      <c r="A2447">
        <v>776.26303854875005</v>
      </c>
      <c r="B2447">
        <v>797.14235323759999</v>
      </c>
      <c r="C2447" s="1">
        <f t="shared" si="719"/>
        <v>2.6897216087841125E-2</v>
      </c>
      <c r="D2447">
        <v>10.184331797235</v>
      </c>
      <c r="E2447">
        <v>0.34953628770932998</v>
      </c>
      <c r="F2447">
        <v>15</v>
      </c>
    </row>
    <row r="2448" spans="1:9" x14ac:dyDescent="0.25">
      <c r="A2448">
        <v>774.63542454019</v>
      </c>
      <c r="B2448">
        <v>800.14663643235997</v>
      </c>
      <c r="C2448" s="1">
        <f t="shared" si="719"/>
        <v>3.2933185191360126E-2</v>
      </c>
      <c r="D2448">
        <v>10.311315924219</v>
      </c>
      <c r="E2448">
        <v>0.35579691768666</v>
      </c>
      <c r="F2448">
        <v>14</v>
      </c>
    </row>
    <row r="2449" spans="1:9" x14ac:dyDescent="0.25">
      <c r="A2449">
        <v>777.32728647014005</v>
      </c>
      <c r="B2449">
        <v>800.77248677249997</v>
      </c>
      <c r="C2449" s="1">
        <f t="shared" si="719"/>
        <v>3.0161298478051712E-2</v>
      </c>
      <c r="D2449">
        <v>10.199692780337999</v>
      </c>
      <c r="E2449">
        <v>0.34900856238528999</v>
      </c>
      <c r="F2449">
        <v>14</v>
      </c>
    </row>
    <row r="2450" spans="1:9" x14ac:dyDescent="0.25">
      <c r="A2450">
        <v>774.57495590829001</v>
      </c>
      <c r="B2450">
        <v>797.85941043084995</v>
      </c>
      <c r="C2450" s="1">
        <f t="shared" si="719"/>
        <v>3.0060944192619621E-2</v>
      </c>
      <c r="D2450">
        <v>10.308243727599001</v>
      </c>
      <c r="E2450">
        <v>0.35566278950517</v>
      </c>
      <c r="F2450">
        <v>14</v>
      </c>
    </row>
    <row r="2451" spans="1:9" x14ac:dyDescent="0.25">
      <c r="A2451">
        <v>770.42781557066996</v>
      </c>
      <c r="B2451">
        <v>796.65759637189001</v>
      </c>
      <c r="C2451" s="1">
        <f t="shared" si="719"/>
        <v>3.404573442327119E-2</v>
      </c>
      <c r="D2451">
        <v>10.113671274962</v>
      </c>
      <c r="E2451">
        <v>0.34982268615418999</v>
      </c>
      <c r="F2451">
        <v>14</v>
      </c>
    </row>
    <row r="2452" spans="1:9" x14ac:dyDescent="0.25">
      <c r="A2452">
        <v>775.64273116653999</v>
      </c>
      <c r="B2452">
        <v>800.98362307886998</v>
      </c>
      <c r="C2452" s="1">
        <f t="shared" si="719"/>
        <v>3.2670830131055428E-2</v>
      </c>
      <c r="D2452">
        <v>10.180235535074001</v>
      </c>
      <c r="E2452">
        <v>0.34896930101278001</v>
      </c>
      <c r="F2452">
        <v>14</v>
      </c>
      <c r="H2452" t="s">
        <v>17</v>
      </c>
      <c r="I2452">
        <f t="shared" ref="I2452" si="723">STDEVP(A2438:A2457)</f>
        <v>3.6509667949192384</v>
      </c>
    </row>
    <row r="2453" spans="1:9" x14ac:dyDescent="0.25">
      <c r="A2453">
        <v>774.34618291761001</v>
      </c>
      <c r="B2453">
        <v>801.05265810029005</v>
      </c>
      <c r="C2453" s="1">
        <f t="shared" si="719"/>
        <v>3.4489064157395832E-2</v>
      </c>
      <c r="D2453">
        <v>10.325652841782</v>
      </c>
      <c r="E2453">
        <v>0.35700526926054998</v>
      </c>
      <c r="F2453">
        <v>14</v>
      </c>
      <c r="H2453" t="s">
        <v>18</v>
      </c>
      <c r="I2453">
        <f t="shared" ref="I2453" si="724">STDEVP(B2438:B2457)</f>
        <v>3.0141056650316091</v>
      </c>
    </row>
    <row r="2454" spans="1:9" x14ac:dyDescent="0.25">
      <c r="A2454">
        <v>779.19072814311005</v>
      </c>
      <c r="B2454">
        <v>799.22197026959998</v>
      </c>
      <c r="C2454" s="1">
        <f t="shared" si="719"/>
        <v>2.5707752162588582E-2</v>
      </c>
      <c r="D2454">
        <v>10.349206349206</v>
      </c>
      <c r="E2454">
        <v>0.35507464297187002</v>
      </c>
      <c r="F2454">
        <v>14</v>
      </c>
      <c r="H2454" t="s">
        <v>19</v>
      </c>
      <c r="I2454">
        <f t="shared" ref="I2454" si="725">STDEVP(C2438:C2457)</f>
        <v>4.0511736567346805E-3</v>
      </c>
    </row>
    <row r="2455" spans="1:9" x14ac:dyDescent="0.25">
      <c r="A2455">
        <v>779.72033257748001</v>
      </c>
      <c r="B2455">
        <v>805.45275888133995</v>
      </c>
      <c r="C2455" s="1">
        <f t="shared" si="719"/>
        <v>3.3002122977603632E-2</v>
      </c>
      <c r="D2455">
        <v>10.251920122888</v>
      </c>
      <c r="E2455">
        <v>0.35045779927991</v>
      </c>
      <c r="F2455">
        <v>14</v>
      </c>
      <c r="H2455" t="s">
        <v>20</v>
      </c>
      <c r="I2455">
        <f t="shared" ref="I2455" si="726">STDEVP(D2438:D2457)</f>
        <v>8.2167077780924552E-2</v>
      </c>
    </row>
    <row r="2456" spans="1:9" x14ac:dyDescent="0.25">
      <c r="A2456">
        <v>775.97430083144002</v>
      </c>
      <c r="B2456">
        <v>795.93801965232001</v>
      </c>
      <c r="C2456" s="1">
        <f t="shared" si="719"/>
        <v>2.5727293802757734E-2</v>
      </c>
      <c r="D2456">
        <v>10.316436251920001</v>
      </c>
      <c r="E2456">
        <v>0.35554468439304998</v>
      </c>
      <c r="F2456">
        <v>15</v>
      </c>
      <c r="H2456" t="s">
        <v>21</v>
      </c>
      <c r="I2456">
        <f t="shared" ref="I2456" si="727">STDEVP(E2438:E2457)</f>
        <v>3.6665651795120911E-3</v>
      </c>
    </row>
    <row r="2457" spans="1:9" x14ac:dyDescent="0.25">
      <c r="A2457">
        <v>777.56563366087005</v>
      </c>
      <c r="B2457">
        <v>801.26883345932004</v>
      </c>
      <c r="C2457" s="1">
        <f t="shared" si="719"/>
        <v>3.0483857274983484E-2</v>
      </c>
      <c r="D2457">
        <v>10.355350742448</v>
      </c>
      <c r="E2457">
        <v>0.35620277716933002</v>
      </c>
      <c r="F2457">
        <v>14</v>
      </c>
      <c r="H2457" t="s">
        <v>22</v>
      </c>
      <c r="I2457">
        <f t="shared" ref="I2457" si="728">STDEVP(F2438:F2457)</f>
        <v>0.3</v>
      </c>
    </row>
    <row r="2458" spans="1:9" x14ac:dyDescent="0.25">
      <c r="C2458" s="1" t="str">
        <f t="shared" si="719"/>
        <v/>
      </c>
    </row>
    <row r="2459" spans="1:9" x14ac:dyDescent="0.25">
      <c r="A2459">
        <v>1000.7573964497</v>
      </c>
      <c r="B2459">
        <v>1082.0236686390001</v>
      </c>
      <c r="C2459" s="1">
        <f t="shared" si="719"/>
        <v>8.1204767986328585E-2</v>
      </c>
      <c r="D2459">
        <v>15.015384615385001</v>
      </c>
      <c r="E2459">
        <v>0.40727726980491002</v>
      </c>
      <c r="F2459">
        <v>20</v>
      </c>
    </row>
    <row r="2460" spans="1:9" x14ac:dyDescent="0.25">
      <c r="A2460">
        <v>1000.1597633136</v>
      </c>
      <c r="B2460">
        <v>1061.1834319525999</v>
      </c>
      <c r="C2460" s="1">
        <f t="shared" si="719"/>
        <v>6.101392085282864E-2</v>
      </c>
      <c r="D2460">
        <v>15.052307692308</v>
      </c>
      <c r="E2460">
        <v>0.40875254523894999</v>
      </c>
      <c r="F2460">
        <v>21</v>
      </c>
    </row>
    <row r="2461" spans="1:9" x14ac:dyDescent="0.25">
      <c r="A2461">
        <v>994.03550295857997</v>
      </c>
      <c r="B2461">
        <v>1060.4970414201</v>
      </c>
      <c r="C2461" s="1">
        <f t="shared" si="719"/>
        <v>6.6860326682204319E-2</v>
      </c>
      <c r="D2461">
        <v>15.033846153846</v>
      </c>
      <c r="E2461">
        <v>0.41133738300821998</v>
      </c>
      <c r="F2461">
        <v>21</v>
      </c>
    </row>
    <row r="2462" spans="1:9" x14ac:dyDescent="0.25">
      <c r="A2462">
        <v>1021.3195266272</v>
      </c>
      <c r="B2462">
        <v>1075.8165680473001</v>
      </c>
      <c r="C2462" s="1">
        <f t="shared" si="719"/>
        <v>5.3359443346854274E-2</v>
      </c>
      <c r="D2462">
        <v>15.624615384615</v>
      </c>
      <c r="E2462">
        <v>0.41868789444311</v>
      </c>
      <c r="F2462">
        <v>21</v>
      </c>
    </row>
    <row r="2463" spans="1:9" x14ac:dyDescent="0.25">
      <c r="A2463">
        <v>1002.4378698225</v>
      </c>
      <c r="B2463">
        <v>1056.0177514792999</v>
      </c>
      <c r="C2463" s="1">
        <f t="shared" si="719"/>
        <v>5.3449578542246412E-2</v>
      </c>
      <c r="D2463">
        <v>15.470769230768999</v>
      </c>
      <c r="E2463">
        <v>0.42338682232199998</v>
      </c>
      <c r="F2463">
        <v>20</v>
      </c>
    </row>
    <row r="2464" spans="1:9" x14ac:dyDescent="0.25">
      <c r="A2464">
        <v>982.15384615385005</v>
      </c>
      <c r="B2464">
        <v>1056.6627218935</v>
      </c>
      <c r="C2464" s="1">
        <f t="shared" si="719"/>
        <v>7.586273375747532E-2</v>
      </c>
      <c r="D2464">
        <v>15.44</v>
      </c>
      <c r="E2464">
        <v>0.43635418601610998</v>
      </c>
      <c r="F2464">
        <v>21</v>
      </c>
    </row>
    <row r="2465" spans="1:9" x14ac:dyDescent="0.25">
      <c r="A2465">
        <v>1014.1124260355</v>
      </c>
      <c r="B2465">
        <v>1060.4852071006001</v>
      </c>
      <c r="C2465" s="1">
        <f t="shared" si="719"/>
        <v>4.5727455728342248E-2</v>
      </c>
      <c r="D2465">
        <v>15.273846153846</v>
      </c>
      <c r="E2465">
        <v>0.40812777248548998</v>
      </c>
      <c r="F2465">
        <v>21</v>
      </c>
    </row>
    <row r="2466" spans="1:9" x14ac:dyDescent="0.25">
      <c r="A2466">
        <v>1014.0769230769</v>
      </c>
      <c r="B2466">
        <v>1065.6213017750999</v>
      </c>
      <c r="C2466" s="1">
        <f t="shared" si="719"/>
        <v>5.0828864680013242E-2</v>
      </c>
      <c r="D2466">
        <v>15.44</v>
      </c>
      <c r="E2466">
        <v>0.41508804647129999</v>
      </c>
      <c r="F2466">
        <v>20</v>
      </c>
    </row>
    <row r="2467" spans="1:9" x14ac:dyDescent="0.25">
      <c r="A2467">
        <v>1001.5325443787</v>
      </c>
      <c r="B2467">
        <v>1051.3668639053001</v>
      </c>
      <c r="C2467" s="1">
        <f t="shared" si="719"/>
        <v>4.9758063086721593E-2</v>
      </c>
      <c r="D2467">
        <v>15.347692307692</v>
      </c>
      <c r="E2467">
        <v>0.41884399949063</v>
      </c>
      <c r="F2467">
        <v>21</v>
      </c>
    </row>
    <row r="2468" spans="1:9" x14ac:dyDescent="0.25">
      <c r="A2468">
        <v>1011.2662721893</v>
      </c>
      <c r="B2468">
        <v>1087.9289940828</v>
      </c>
      <c r="C2468" s="1">
        <f t="shared" si="719"/>
        <v>7.5808641108471075E-2</v>
      </c>
      <c r="D2468">
        <v>15.593846153846</v>
      </c>
      <c r="E2468">
        <v>0.42347127055080003</v>
      </c>
      <c r="F2468">
        <v>21</v>
      </c>
    </row>
    <row r="2469" spans="1:9" x14ac:dyDescent="0.25">
      <c r="A2469">
        <v>1019.7337278106</v>
      </c>
      <c r="B2469">
        <v>1065.2366863904999</v>
      </c>
      <c r="C2469" s="1">
        <f t="shared" si="719"/>
        <v>4.462239243336219E-2</v>
      </c>
      <c r="D2469">
        <v>15.926153846154</v>
      </c>
      <c r="E2469">
        <v>0.43075444107452998</v>
      </c>
      <c r="F2469">
        <v>21</v>
      </c>
    </row>
    <row r="2470" spans="1:9" x14ac:dyDescent="0.25">
      <c r="A2470">
        <v>1008.4201183432</v>
      </c>
      <c r="B2470">
        <v>1056.6390532544001</v>
      </c>
      <c r="C2470" s="1">
        <f t="shared" si="719"/>
        <v>4.7816315872815096E-2</v>
      </c>
      <c r="D2470">
        <v>15.113846153846</v>
      </c>
      <c r="E2470">
        <v>0.40656063653023999</v>
      </c>
      <c r="F2470">
        <v>20</v>
      </c>
    </row>
    <row r="2471" spans="1:9" x14ac:dyDescent="0.25">
      <c r="A2471">
        <v>1016.8520710059</v>
      </c>
      <c r="B2471">
        <v>1071.4615384614999</v>
      </c>
      <c r="C2471" s="1">
        <f t="shared" si="719"/>
        <v>5.3704436478728468E-2</v>
      </c>
      <c r="D2471">
        <v>15.132307692308</v>
      </c>
      <c r="E2471">
        <v>0.40260311959954997</v>
      </c>
      <c r="F2471">
        <v>21</v>
      </c>
    </row>
    <row r="2472" spans="1:9" x14ac:dyDescent="0.25">
      <c r="A2472">
        <v>1000.6213017751001</v>
      </c>
      <c r="B2472">
        <v>1071.6863905324999</v>
      </c>
      <c r="C2472" s="1">
        <f t="shared" si="719"/>
        <v>7.1020963306827944E-2</v>
      </c>
      <c r="D2472">
        <v>15.052307692308</v>
      </c>
      <c r="E2472">
        <v>0.40869920232613999</v>
      </c>
      <c r="F2472">
        <v>21</v>
      </c>
    </row>
    <row r="2473" spans="1:9" x14ac:dyDescent="0.25">
      <c r="A2473">
        <v>985.96449704142003</v>
      </c>
      <c r="B2473">
        <v>1055.5266272189001</v>
      </c>
      <c r="C2473" s="1">
        <f t="shared" si="719"/>
        <v>7.0552368149375377E-2</v>
      </c>
      <c r="D2473">
        <v>15.286153846154001</v>
      </c>
      <c r="E2473">
        <v>0.42652573446336001</v>
      </c>
      <c r="F2473">
        <v>21</v>
      </c>
      <c r="H2473" t="s">
        <v>17</v>
      </c>
      <c r="I2473">
        <f t="shared" ref="I2473" si="729">STDEVP(A2459:A2478)</f>
        <v>11.163712303360432</v>
      </c>
    </row>
    <row r="2474" spans="1:9" x14ac:dyDescent="0.25">
      <c r="A2474">
        <v>997.59763313609005</v>
      </c>
      <c r="B2474">
        <v>1051.0650887574</v>
      </c>
      <c r="C2474" s="1">
        <f t="shared" si="719"/>
        <v>5.3596213388385161E-2</v>
      </c>
      <c r="D2474">
        <v>15.163076923077</v>
      </c>
      <c r="E2474">
        <v>0.41438770044811002</v>
      </c>
      <c r="F2474">
        <v>20</v>
      </c>
      <c r="H2474" t="s">
        <v>18</v>
      </c>
      <c r="I2474">
        <f t="shared" ref="I2474" si="730">STDEVP(B2459:B2478)</f>
        <v>11.799189485642518</v>
      </c>
    </row>
    <row r="2475" spans="1:9" x14ac:dyDescent="0.25">
      <c r="A2475">
        <v>990.69230769231001</v>
      </c>
      <c r="B2475">
        <v>1052.7633136095001</v>
      </c>
      <c r="C2475" s="1">
        <f t="shared" si="719"/>
        <v>6.2654171668877101E-2</v>
      </c>
      <c r="D2475">
        <v>15.04</v>
      </c>
      <c r="E2475">
        <v>0.41349594560962999</v>
      </c>
      <c r="F2475">
        <v>21</v>
      </c>
      <c r="H2475" t="s">
        <v>19</v>
      </c>
      <c r="I2475">
        <f t="shared" ref="I2475" si="731">STDEVP(C2459:C2478)</f>
        <v>1.2695490716129701E-2</v>
      </c>
    </row>
    <row r="2476" spans="1:9" x14ac:dyDescent="0.25">
      <c r="A2476">
        <v>989.28402366863997</v>
      </c>
      <c r="B2476">
        <v>1040.0295857988001</v>
      </c>
      <c r="C2476" s="1">
        <f t="shared" si="719"/>
        <v>5.1295240715579782E-2</v>
      </c>
      <c r="D2476">
        <v>15.230769230769001</v>
      </c>
      <c r="E2476">
        <v>0.42212931830362999</v>
      </c>
      <c r="F2476">
        <v>21</v>
      </c>
      <c r="H2476" t="s">
        <v>20</v>
      </c>
      <c r="I2476">
        <f t="shared" ref="I2476" si="732">STDEVP(D2459:D2478)</f>
        <v>0.23912958532945969</v>
      </c>
    </row>
    <row r="2477" spans="1:9" x14ac:dyDescent="0.25">
      <c r="A2477">
        <v>998.65680473373004</v>
      </c>
      <c r="B2477">
        <v>1057.7928994082999</v>
      </c>
      <c r="C2477" s="1">
        <f t="shared" si="719"/>
        <v>5.9215632832279486E-2</v>
      </c>
      <c r="D2477">
        <v>15.046153846154001</v>
      </c>
      <c r="E2477">
        <v>0.40973763031125998</v>
      </c>
      <c r="F2477">
        <v>21</v>
      </c>
      <c r="H2477" t="s">
        <v>21</v>
      </c>
      <c r="I2477">
        <f t="shared" ref="I2477" si="733">STDEVP(E2459:E2478)</f>
        <v>8.8943687696774517E-3</v>
      </c>
    </row>
    <row r="2478" spans="1:9" x14ac:dyDescent="0.25">
      <c r="A2478">
        <v>990.91715976331</v>
      </c>
      <c r="B2478">
        <v>1081.4260355029</v>
      </c>
      <c r="C2478" s="1">
        <f t="shared" si="719"/>
        <v>9.1338488639362003E-2</v>
      </c>
      <c r="D2478">
        <v>15.347692307692</v>
      </c>
      <c r="E2478">
        <v>0.42602644899865999</v>
      </c>
      <c r="F2478">
        <v>20</v>
      </c>
      <c r="H2478" t="s">
        <v>22</v>
      </c>
      <c r="I2478">
        <f t="shared" ref="I2478" si="734">STDEVP(F2459:F2478)</f>
        <v>0.45825756949558388</v>
      </c>
    </row>
    <row r="2479" spans="1:9" x14ac:dyDescent="0.25">
      <c r="C2479" s="1" t="str">
        <f t="shared" si="719"/>
        <v/>
      </c>
    </row>
    <row r="2480" spans="1:9" x14ac:dyDescent="0.25">
      <c r="A2480">
        <v>1625.361048123</v>
      </c>
      <c r="B2480">
        <v>1669.4940791131</v>
      </c>
      <c r="C2480" s="1">
        <f t="shared" si="719"/>
        <v>2.7152755408446527E-2</v>
      </c>
      <c r="D2480">
        <v>17.380440348181999</v>
      </c>
      <c r="E2480">
        <v>0.26677092501178001</v>
      </c>
      <c r="F2480">
        <v>28</v>
      </c>
    </row>
    <row r="2481" spans="1:9" x14ac:dyDescent="0.25">
      <c r="A2481">
        <v>1621.1967750063</v>
      </c>
      <c r="B2481">
        <v>1672.9795918366999</v>
      </c>
      <c r="C2481" s="1">
        <f t="shared" si="719"/>
        <v>3.1941105255528734E-2</v>
      </c>
      <c r="D2481">
        <v>17.568868407578002</v>
      </c>
      <c r="E2481">
        <v>0.27147614670526998</v>
      </c>
      <c r="F2481">
        <v>28</v>
      </c>
    </row>
    <row r="2482" spans="1:9" x14ac:dyDescent="0.25">
      <c r="A2482">
        <v>1625.8387503148999</v>
      </c>
      <c r="B2482">
        <v>1663.5847820608999</v>
      </c>
      <c r="C2482" s="1">
        <f t="shared" si="719"/>
        <v>2.3216344018549995E-2</v>
      </c>
      <c r="D2482">
        <v>17.411162314388001</v>
      </c>
      <c r="E2482">
        <v>0.26727953222204998</v>
      </c>
      <c r="F2482">
        <v>28</v>
      </c>
    </row>
    <row r="2483" spans="1:9" x14ac:dyDescent="0.25">
      <c r="A2483">
        <v>1636.5341395818</v>
      </c>
      <c r="B2483">
        <v>1683.5036533130999</v>
      </c>
      <c r="C2483" s="1">
        <f t="shared" si="719"/>
        <v>2.8700601225039257E-2</v>
      </c>
      <c r="D2483">
        <v>17.607782898105</v>
      </c>
      <c r="E2483">
        <v>0.26889762473322998</v>
      </c>
      <c r="F2483">
        <v>30</v>
      </c>
    </row>
    <row r="2484" spans="1:9" x14ac:dyDescent="0.25">
      <c r="A2484">
        <v>1634.0770975057001</v>
      </c>
      <c r="B2484">
        <v>1681.7954144620001</v>
      </c>
      <c r="C2484" s="1">
        <f t="shared" si="719"/>
        <v>2.9201998503704862E-2</v>
      </c>
      <c r="D2484">
        <v>17.63133640553</v>
      </c>
      <c r="E2484">
        <v>0.27002720783723</v>
      </c>
      <c r="F2484">
        <v>28</v>
      </c>
    </row>
    <row r="2485" spans="1:9" x14ac:dyDescent="0.25">
      <c r="A2485">
        <v>1634.4288233811999</v>
      </c>
      <c r="B2485">
        <v>1674.7750062988</v>
      </c>
      <c r="C2485" s="1">
        <f t="shared" si="719"/>
        <v>2.468518808554454E-2</v>
      </c>
      <c r="D2485">
        <v>17.639528929851998</v>
      </c>
      <c r="E2485">
        <v>0.2701912394164</v>
      </c>
      <c r="F2485">
        <v>28</v>
      </c>
    </row>
    <row r="2486" spans="1:9" x14ac:dyDescent="0.25">
      <c r="A2486">
        <v>1595.154446964</v>
      </c>
      <c r="B2486">
        <v>1655.2758881330001</v>
      </c>
      <c r="C2486" s="1">
        <f t="shared" si="719"/>
        <v>3.7690043922346872E-2</v>
      </c>
      <c r="D2486">
        <v>17.031233998975999</v>
      </c>
      <c r="E2486">
        <v>0.26621720141645999</v>
      </c>
      <c r="F2486">
        <v>28</v>
      </c>
    </row>
    <row r="2487" spans="1:9" x14ac:dyDescent="0.25">
      <c r="A2487">
        <v>1622.8541194254999</v>
      </c>
      <c r="B2487">
        <v>1684.4288233811999</v>
      </c>
      <c r="C2487" s="1">
        <f t="shared" si="719"/>
        <v>3.7942229815146833E-2</v>
      </c>
      <c r="D2487">
        <v>17.422427035329999</v>
      </c>
      <c r="E2487">
        <v>0.26824961398653002</v>
      </c>
      <c r="F2487">
        <v>29</v>
      </c>
    </row>
    <row r="2488" spans="1:9" x14ac:dyDescent="0.25">
      <c r="A2488">
        <v>1626.0987654321</v>
      </c>
      <c r="B2488">
        <v>1659.7168052406</v>
      </c>
      <c r="C2488" s="1">
        <f t="shared" si="719"/>
        <v>2.0674045465846502E-2</v>
      </c>
      <c r="D2488">
        <v>17.146953405017999</v>
      </c>
      <c r="E2488">
        <v>0.26217453817072001</v>
      </c>
      <c r="F2488">
        <v>28</v>
      </c>
    </row>
    <row r="2489" spans="1:9" x14ac:dyDescent="0.25">
      <c r="A2489">
        <v>1633.0385487527999</v>
      </c>
      <c r="B2489">
        <v>1686.6369362559001</v>
      </c>
      <c r="C2489" s="1">
        <f t="shared" si="719"/>
        <v>3.2821262880802671E-2</v>
      </c>
      <c r="D2489">
        <v>17.751152073733</v>
      </c>
      <c r="E2489">
        <v>0.27257212134462</v>
      </c>
      <c r="F2489">
        <v>29</v>
      </c>
    </row>
    <row r="2490" spans="1:9" x14ac:dyDescent="0.25">
      <c r="A2490">
        <v>1633.4537666919</v>
      </c>
      <c r="B2490">
        <v>1681.2698412698001</v>
      </c>
      <c r="C2490" s="1">
        <f t="shared" si="719"/>
        <v>2.9272989265400451E-2</v>
      </c>
      <c r="D2490">
        <v>17.565796210957</v>
      </c>
      <c r="E2490">
        <v>0.26900349835449999</v>
      </c>
      <c r="F2490">
        <v>29</v>
      </c>
    </row>
    <row r="2491" spans="1:9" x14ac:dyDescent="0.25">
      <c r="A2491">
        <v>1632.2055933485001</v>
      </c>
      <c r="B2491">
        <v>1680.4499874022999</v>
      </c>
      <c r="C2491" s="1">
        <f t="shared" si="719"/>
        <v>2.9557792382530534E-2</v>
      </c>
      <c r="D2491">
        <v>17.274961597541999</v>
      </c>
      <c r="E2491">
        <v>0.26338491955491</v>
      </c>
      <c r="F2491">
        <v>28</v>
      </c>
    </row>
    <row r="2492" spans="1:9" x14ac:dyDescent="0.25">
      <c r="A2492">
        <v>1621.6150163769</v>
      </c>
      <c r="B2492">
        <v>1673.1156462585</v>
      </c>
      <c r="C2492" s="1">
        <f t="shared" si="719"/>
        <v>3.175885112155985E-2</v>
      </c>
      <c r="D2492">
        <v>17.444956477215001</v>
      </c>
      <c r="E2492">
        <v>0.26889032092477</v>
      </c>
      <c r="F2492">
        <v>28</v>
      </c>
    </row>
    <row r="2493" spans="1:9" x14ac:dyDescent="0.25">
      <c r="A2493">
        <v>1614.8692365835</v>
      </c>
      <c r="B2493">
        <v>1657.7626606198</v>
      </c>
      <c r="C2493" s="1">
        <f t="shared" si="719"/>
        <v>2.6561546324981533E-2</v>
      </c>
      <c r="D2493">
        <v>17.342549923195001</v>
      </c>
      <c r="E2493">
        <v>0.26824123212933998</v>
      </c>
      <c r="F2493">
        <v>28</v>
      </c>
    </row>
    <row r="2494" spans="1:9" x14ac:dyDescent="0.25">
      <c r="A2494">
        <v>1637.0556815319001</v>
      </c>
      <c r="B2494">
        <v>1677.8830939782999</v>
      </c>
      <c r="C2494" s="1">
        <f t="shared" si="719"/>
        <v>2.4939538041977238E-2</v>
      </c>
      <c r="D2494">
        <v>17.755248335893</v>
      </c>
      <c r="E2494">
        <v>0.27170412716227998</v>
      </c>
      <c r="F2494">
        <v>28</v>
      </c>
      <c r="H2494" t="s">
        <v>17</v>
      </c>
      <c r="I2494">
        <f t="shared" ref="I2494" si="735">STDEVP(A2480:A2499)</f>
        <v>9.4340443805942016</v>
      </c>
    </row>
    <row r="2495" spans="1:9" x14ac:dyDescent="0.25">
      <c r="A2495">
        <v>1631.2980599647001</v>
      </c>
      <c r="B2495">
        <v>1677.9773242629999</v>
      </c>
      <c r="C2495" s="1">
        <f t="shared" si="719"/>
        <v>2.8614797898619315E-2</v>
      </c>
      <c r="D2495">
        <v>17.304659498208</v>
      </c>
      <c r="E2495">
        <v>0.26418486391839002</v>
      </c>
      <c r="F2495">
        <v>28</v>
      </c>
      <c r="H2495" t="s">
        <v>18</v>
      </c>
      <c r="I2495">
        <f t="shared" ref="I2495" si="736">STDEVP(B2480:B2499)</f>
        <v>9.0197750460411008</v>
      </c>
    </row>
    <row r="2496" spans="1:9" x14ac:dyDescent="0.25">
      <c r="A2496">
        <v>1627.2159234064</v>
      </c>
      <c r="B2496">
        <v>1669.9062736205001</v>
      </c>
      <c r="C2496" s="1">
        <f t="shared" si="719"/>
        <v>2.6235209230704104E-2</v>
      </c>
      <c r="D2496">
        <v>17.011776753711999</v>
      </c>
      <c r="E2496">
        <v>0.25944474011968999</v>
      </c>
      <c r="F2496">
        <v>29</v>
      </c>
      <c r="H2496" t="s">
        <v>19</v>
      </c>
      <c r="I2496">
        <f t="shared" ref="I2496" si="737">STDEVP(C2480:C2499)</f>
        <v>4.389205205881954E-3</v>
      </c>
    </row>
    <row r="2497" spans="1:9" x14ac:dyDescent="0.25">
      <c r="A2497">
        <v>1622.4157218442999</v>
      </c>
      <c r="B2497">
        <v>1676.7840765936</v>
      </c>
      <c r="C2497" s="1">
        <f t="shared" si="719"/>
        <v>3.3510742047972997E-2</v>
      </c>
      <c r="D2497">
        <v>17.158218125960001</v>
      </c>
      <c r="E2497">
        <v>0.26312197802435999</v>
      </c>
      <c r="F2497">
        <v>29</v>
      </c>
      <c r="H2497" t="s">
        <v>20</v>
      </c>
      <c r="I2497">
        <f t="shared" ref="I2497" si="738">STDEVP(D2480:D2499)</f>
        <v>0.22804286392412024</v>
      </c>
    </row>
    <row r="2498" spans="1:9" x14ac:dyDescent="0.25">
      <c r="A2498">
        <v>1631.4436885865</v>
      </c>
      <c r="B2498">
        <v>1670.9634668681999</v>
      </c>
      <c r="C2498" s="1">
        <f t="shared" ref="C2498:C2561" si="739">IFERROR((B2498/A2498)-1,"")</f>
        <v>2.4223807758844806E-2</v>
      </c>
      <c r="D2498">
        <v>17.726574500767999</v>
      </c>
      <c r="E2498">
        <v>0.27234834603430003</v>
      </c>
      <c r="F2498">
        <v>29</v>
      </c>
      <c r="H2498" t="s">
        <v>21</v>
      </c>
      <c r="I2498">
        <f t="shared" ref="I2498" si="740">STDEVP(E2480:E2499)</f>
        <v>3.5502588038464986E-3</v>
      </c>
    </row>
    <row r="2499" spans="1:9" x14ac:dyDescent="0.25">
      <c r="A2499">
        <v>1635.50718065</v>
      </c>
      <c r="B2499">
        <v>1683.9652305366001</v>
      </c>
      <c r="C2499" s="1">
        <f t="shared" si="739"/>
        <v>2.9628760093453943E-2</v>
      </c>
      <c r="D2499">
        <v>17.662058371735998</v>
      </c>
      <c r="E2499">
        <v>0.27011527647790001</v>
      </c>
      <c r="F2499">
        <v>28</v>
      </c>
      <c r="H2499" t="s">
        <v>22</v>
      </c>
      <c r="I2499">
        <f t="shared" ref="I2499" si="741">STDEVP(F2480:F2499)</f>
        <v>0.58309518948453021</v>
      </c>
    </row>
    <row r="2500" spans="1:9" x14ac:dyDescent="0.25">
      <c r="C2500" s="1" t="str">
        <f t="shared" si="739"/>
        <v/>
      </c>
    </row>
    <row r="2501" spans="1:9" x14ac:dyDescent="0.25">
      <c r="A2501">
        <v>1120.2874999999999</v>
      </c>
      <c r="B2501">
        <v>1149.5875000000001</v>
      </c>
      <c r="C2501" s="1">
        <f t="shared" si="739"/>
        <v>2.6154000647155451E-2</v>
      </c>
      <c r="D2501">
        <v>13.189240506329</v>
      </c>
      <c r="E2501">
        <v>0.30364371285054997</v>
      </c>
      <c r="F2501">
        <v>67</v>
      </c>
    </row>
    <row r="2502" spans="1:9" x14ac:dyDescent="0.25">
      <c r="A2502">
        <v>1121.0250000000001</v>
      </c>
      <c r="B2502">
        <v>1143.925</v>
      </c>
      <c r="C2502" s="1">
        <f t="shared" si="739"/>
        <v>2.0427733547422999E-2</v>
      </c>
      <c r="D2502">
        <v>13.116455696202999</v>
      </c>
      <c r="E2502">
        <v>0.30146265872057998</v>
      </c>
      <c r="F2502">
        <v>61</v>
      </c>
    </row>
    <row r="2503" spans="1:9" x14ac:dyDescent="0.25">
      <c r="A2503">
        <v>1120.8625</v>
      </c>
      <c r="B2503">
        <v>1140.1125</v>
      </c>
      <c r="C2503" s="1">
        <f t="shared" si="739"/>
        <v>1.7174274275390644E-2</v>
      </c>
      <c r="D2503">
        <v>13.095569620253</v>
      </c>
      <c r="E2503">
        <v>0.3006313649233</v>
      </c>
      <c r="F2503">
        <v>70</v>
      </c>
    </row>
    <row r="2504" spans="1:9" x14ac:dyDescent="0.25">
      <c r="A2504">
        <v>1116.675</v>
      </c>
      <c r="B2504">
        <v>1140.21875</v>
      </c>
      <c r="C2504" s="1">
        <f t="shared" si="739"/>
        <v>2.1083797882105459E-2</v>
      </c>
      <c r="D2504">
        <v>13.420253164557</v>
      </c>
      <c r="E2504">
        <v>0.31176109915424</v>
      </c>
      <c r="F2504">
        <v>66</v>
      </c>
    </row>
    <row r="2505" spans="1:9" x14ac:dyDescent="0.25">
      <c r="A2505">
        <v>1125.3625</v>
      </c>
      <c r="B2505">
        <v>1150.4312500000001</v>
      </c>
      <c r="C2505" s="1">
        <f t="shared" si="739"/>
        <v>2.2276155461018243E-2</v>
      </c>
      <c r="D2505">
        <v>13.382911392404999</v>
      </c>
      <c r="E2505">
        <v>0.30783612722483999</v>
      </c>
      <c r="F2505">
        <v>64</v>
      </c>
    </row>
    <row r="2506" spans="1:9" x14ac:dyDescent="0.25">
      <c r="A2506">
        <v>1122.8875</v>
      </c>
      <c r="B2506">
        <v>1152.7750000000001</v>
      </c>
      <c r="C2506" s="1">
        <f t="shared" si="739"/>
        <v>2.6616646814574096E-2</v>
      </c>
      <c r="D2506">
        <v>13.255063291139001</v>
      </c>
      <c r="E2506">
        <v>0.30483466344479998</v>
      </c>
      <c r="F2506">
        <v>68</v>
      </c>
    </row>
    <row r="2507" spans="1:9" x14ac:dyDescent="0.25">
      <c r="A2507">
        <v>1118.9124999999999</v>
      </c>
      <c r="B2507">
        <v>1144.95</v>
      </c>
      <c r="C2507" s="1">
        <f t="shared" si="739"/>
        <v>2.3270362964038949E-2</v>
      </c>
      <c r="D2507">
        <v>13.461392405063</v>
      </c>
      <c r="E2507">
        <v>0.31242770412576998</v>
      </c>
      <c r="F2507">
        <v>65</v>
      </c>
    </row>
    <row r="2508" spans="1:9" x14ac:dyDescent="0.25">
      <c r="A2508">
        <v>1111.6624999999999</v>
      </c>
      <c r="B2508">
        <v>1142.3875</v>
      </c>
      <c r="C2508" s="1">
        <f t="shared" si="739"/>
        <v>2.7638784253314341E-2</v>
      </c>
      <c r="D2508">
        <v>13.214556962025</v>
      </c>
      <c r="E2508">
        <v>0.30748168324107999</v>
      </c>
      <c r="F2508">
        <v>60</v>
      </c>
    </row>
    <row r="2509" spans="1:9" x14ac:dyDescent="0.25">
      <c r="A2509">
        <v>1109.7750000000001</v>
      </c>
      <c r="B2509">
        <v>1138.79375</v>
      </c>
      <c r="C2509" s="1">
        <f t="shared" si="739"/>
        <v>2.6148318352819278E-2</v>
      </c>
      <c r="D2509">
        <v>12.950632911392001</v>
      </c>
      <c r="E2509">
        <v>0.30011398080833002</v>
      </c>
      <c r="F2509">
        <v>68</v>
      </c>
    </row>
    <row r="2510" spans="1:9" x14ac:dyDescent="0.25">
      <c r="A2510">
        <v>1117.3499999999999</v>
      </c>
      <c r="B2510">
        <v>1150.2437500000001</v>
      </c>
      <c r="C2510" s="1">
        <f t="shared" si="739"/>
        <v>2.9439074596142811E-2</v>
      </c>
      <c r="D2510">
        <v>13.00253164557</v>
      </c>
      <c r="E2510">
        <v>0.29914166023693001</v>
      </c>
      <c r="F2510">
        <v>61</v>
      </c>
    </row>
    <row r="2511" spans="1:9" x14ac:dyDescent="0.25">
      <c r="A2511">
        <v>1121.1375</v>
      </c>
      <c r="B2511">
        <v>1146.23125</v>
      </c>
      <c r="C2511" s="1">
        <f t="shared" si="739"/>
        <v>2.2382401801741558E-2</v>
      </c>
      <c r="D2511">
        <v>13.139873417722001</v>
      </c>
      <c r="E2511">
        <v>0.30196100444363</v>
      </c>
      <c r="F2511">
        <v>69</v>
      </c>
    </row>
    <row r="2512" spans="1:9" x14ac:dyDescent="0.25">
      <c r="A2512">
        <v>1126.0250000000001</v>
      </c>
      <c r="B2512">
        <v>1154.4875</v>
      </c>
      <c r="C2512" s="1">
        <f t="shared" si="739"/>
        <v>2.5276969871894428E-2</v>
      </c>
      <c r="D2512">
        <v>13.463291139241001</v>
      </c>
      <c r="E2512">
        <v>0.31032269185796002</v>
      </c>
      <c r="F2512">
        <v>72</v>
      </c>
    </row>
    <row r="2513" spans="1:9" x14ac:dyDescent="0.25">
      <c r="A2513">
        <v>1126.4625000000001</v>
      </c>
      <c r="B2513">
        <v>1149.7</v>
      </c>
      <c r="C2513" s="1">
        <f t="shared" si="739"/>
        <v>2.0628738195900942E-2</v>
      </c>
      <c r="D2513">
        <v>13.399367088608001</v>
      </c>
      <c r="E2513">
        <v>0.30775129360767001</v>
      </c>
      <c r="F2513">
        <v>66</v>
      </c>
    </row>
    <row r="2514" spans="1:9" x14ac:dyDescent="0.25">
      <c r="A2514">
        <v>1116.1624999999999</v>
      </c>
      <c r="B2514">
        <v>1145.675</v>
      </c>
      <c r="C2514" s="1">
        <f t="shared" si="739"/>
        <v>2.6441042410939364E-2</v>
      </c>
      <c r="D2514">
        <v>13.223417721519001</v>
      </c>
      <c r="E2514">
        <v>0.30624003483314</v>
      </c>
      <c r="F2514">
        <v>56</v>
      </c>
    </row>
    <row r="2515" spans="1:9" x14ac:dyDescent="0.25">
      <c r="A2515">
        <v>1116.9749999999999</v>
      </c>
      <c r="B2515">
        <v>1147.35625</v>
      </c>
      <c r="C2515" s="1">
        <f t="shared" si="739"/>
        <v>2.7199579220663184E-2</v>
      </c>
      <c r="D2515">
        <v>13.356962025315999</v>
      </c>
      <c r="E2515">
        <v>0.30966802090555001</v>
      </c>
      <c r="F2515">
        <v>65</v>
      </c>
      <c r="H2515" t="s">
        <v>17</v>
      </c>
      <c r="I2515">
        <f t="shared" ref="I2515" si="742">STDEVP(A2501:A2520)</f>
        <v>4.7595566281824224</v>
      </c>
    </row>
    <row r="2516" spans="1:9" x14ac:dyDescent="0.25">
      <c r="A2516">
        <v>1117.6125</v>
      </c>
      <c r="B2516">
        <v>1143.55</v>
      </c>
      <c r="C2516" s="1">
        <f t="shared" si="739"/>
        <v>2.320795445648649E-2</v>
      </c>
      <c r="D2516">
        <v>13.391772151899</v>
      </c>
      <c r="E2516">
        <v>0.31069283751069998</v>
      </c>
      <c r="F2516">
        <v>64</v>
      </c>
      <c r="H2516" t="s">
        <v>18</v>
      </c>
      <c r="I2516">
        <f t="shared" ref="I2516" si="743">STDEVP(B2501:B2520)</f>
        <v>4.8887180687240335</v>
      </c>
    </row>
    <row r="2517" spans="1:9" x14ac:dyDescent="0.25">
      <c r="A2517">
        <v>1108.9875</v>
      </c>
      <c r="B2517">
        <v>1136.5</v>
      </c>
      <c r="C2517" s="1">
        <f t="shared" si="739"/>
        <v>2.480866556205541E-2</v>
      </c>
      <c r="D2517">
        <v>12.774050632911001</v>
      </c>
      <c r="E2517">
        <v>0.29521227005431999</v>
      </c>
      <c r="F2517">
        <v>72</v>
      </c>
      <c r="H2517" t="s">
        <v>19</v>
      </c>
      <c r="I2517">
        <f t="shared" ref="I2517" si="744">STDEVP(C2501:C2520)</f>
        <v>3.0105679828173158E-3</v>
      </c>
    </row>
    <row r="2518" spans="1:9" x14ac:dyDescent="0.25">
      <c r="A2518">
        <v>1114.9875</v>
      </c>
      <c r="B2518">
        <v>1141.85625</v>
      </c>
      <c r="C2518" s="1">
        <f t="shared" si="739"/>
        <v>2.4097803787038075E-2</v>
      </c>
      <c r="D2518">
        <v>13.294303797468</v>
      </c>
      <c r="E2518">
        <v>0.30867488420939998</v>
      </c>
      <c r="F2518">
        <v>60</v>
      </c>
      <c r="H2518" t="s">
        <v>20</v>
      </c>
      <c r="I2518">
        <f t="shared" ref="I2518" si="745">STDEVP(D2501:D2520)</f>
        <v>0.17825219588354019</v>
      </c>
    </row>
    <row r="2519" spans="1:9" x14ac:dyDescent="0.25">
      <c r="A2519">
        <v>1120.1624999999999</v>
      </c>
      <c r="B2519">
        <v>1152.0374999999999</v>
      </c>
      <c r="C2519" s="1">
        <f t="shared" si="739"/>
        <v>2.845569281242688E-2</v>
      </c>
      <c r="D2519">
        <v>13.257594936708999</v>
      </c>
      <c r="E2519">
        <v>0.30605985446041001</v>
      </c>
      <c r="F2519">
        <v>72</v>
      </c>
      <c r="H2519" t="s">
        <v>21</v>
      </c>
      <c r="I2519">
        <f t="shared" ref="I2519" si="746">STDEVP(E2501:E2520)</f>
        <v>4.5837706368010199E-3</v>
      </c>
    </row>
    <row r="2520" spans="1:9" x14ac:dyDescent="0.25">
      <c r="A2520">
        <v>1116.8499999999999</v>
      </c>
      <c r="B2520">
        <v>1143.3125</v>
      </c>
      <c r="C2520" s="1">
        <f t="shared" si="739"/>
        <v>2.3693871155481938E-2</v>
      </c>
      <c r="D2520">
        <v>13.115189873418</v>
      </c>
      <c r="E2520">
        <v>0.30259248021193003</v>
      </c>
      <c r="F2520">
        <v>64</v>
      </c>
      <c r="H2520" t="s">
        <v>22</v>
      </c>
      <c r="I2520">
        <f t="shared" ref="I2520" si="747">STDEVP(F2501:F2520)</f>
        <v>4.3185645763378364</v>
      </c>
    </row>
    <row r="2521" spans="1:9" x14ac:dyDescent="0.25">
      <c r="C2521" s="1" t="str">
        <f t="shared" si="739"/>
        <v/>
      </c>
    </row>
    <row r="2522" spans="1:9" x14ac:dyDescent="0.25">
      <c r="A2522">
        <v>2404.5567867036002</v>
      </c>
      <c r="B2522">
        <v>2440.3781163434001</v>
      </c>
      <c r="C2522" s="1">
        <f t="shared" si="739"/>
        <v>1.4897269150755621E-2</v>
      </c>
      <c r="D2522">
        <v>17.337543859648999</v>
      </c>
      <c r="E2522">
        <v>0.16604763246002999</v>
      </c>
      <c r="F2522">
        <v>28</v>
      </c>
    </row>
    <row r="2523" spans="1:9" x14ac:dyDescent="0.25">
      <c r="A2523">
        <v>2389.0470914127</v>
      </c>
      <c r="B2523">
        <v>2436.9265927976999</v>
      </c>
      <c r="C2523" s="1">
        <f t="shared" si="739"/>
        <v>2.0041254756802518E-2</v>
      </c>
      <c r="D2523">
        <v>17.367719298246001</v>
      </c>
      <c r="E2523">
        <v>0.16767848667737001</v>
      </c>
      <c r="F2523">
        <v>29</v>
      </c>
    </row>
    <row r="2524" spans="1:9" x14ac:dyDescent="0.25">
      <c r="A2524">
        <v>2397.7548476453999</v>
      </c>
      <c r="B2524">
        <v>2443.0914127422998</v>
      </c>
      <c r="C2524" s="1">
        <f t="shared" si="739"/>
        <v>1.8907923444058783E-2</v>
      </c>
      <c r="D2524">
        <v>17.258245614035001</v>
      </c>
      <c r="E2524">
        <v>0.16572691400149001</v>
      </c>
      <c r="F2524">
        <v>28</v>
      </c>
    </row>
    <row r="2525" spans="1:9" x14ac:dyDescent="0.25">
      <c r="A2525">
        <v>2406.4196675899998</v>
      </c>
      <c r="B2525">
        <v>2444.6204986149</v>
      </c>
      <c r="C2525" s="1">
        <f t="shared" si="739"/>
        <v>1.5874550702603685E-2</v>
      </c>
      <c r="D2525">
        <v>17.371929824561001</v>
      </c>
      <c r="E2525">
        <v>0.16630850730203001</v>
      </c>
      <c r="F2525">
        <v>29</v>
      </c>
    </row>
    <row r="2526" spans="1:9" x14ac:dyDescent="0.25">
      <c r="A2526">
        <v>2392.5013850415999</v>
      </c>
      <c r="B2526">
        <v>2440.5110803323</v>
      </c>
      <c r="C2526" s="1">
        <f t="shared" si="739"/>
        <v>2.0066736676043861E-2</v>
      </c>
      <c r="D2526">
        <v>17.308070175438999</v>
      </c>
      <c r="E2526">
        <v>0.16674734533364</v>
      </c>
      <c r="F2526">
        <v>28</v>
      </c>
    </row>
    <row r="2527" spans="1:9" x14ac:dyDescent="0.25">
      <c r="A2527">
        <v>2387.7756232687002</v>
      </c>
      <c r="B2527">
        <v>2428.4889196674999</v>
      </c>
      <c r="C2527" s="1">
        <f t="shared" si="739"/>
        <v>1.7050721182531481E-2</v>
      </c>
      <c r="D2527">
        <v>17.425964912281</v>
      </c>
      <c r="E2527">
        <v>0.16843710630445</v>
      </c>
      <c r="F2527">
        <v>29</v>
      </c>
    </row>
    <row r="2528" spans="1:9" x14ac:dyDescent="0.25">
      <c r="A2528">
        <v>2393.4722991690001</v>
      </c>
      <c r="B2528">
        <v>2438.1149584486998</v>
      </c>
      <c r="C2528" s="1">
        <f t="shared" si="739"/>
        <v>1.8651838709476287E-2</v>
      </c>
      <c r="D2528">
        <v>17.371929824561001</v>
      </c>
      <c r="E2528">
        <v>0.16739950651159999</v>
      </c>
      <c r="F2528">
        <v>29</v>
      </c>
    </row>
    <row r="2529" spans="1:9" x14ac:dyDescent="0.25">
      <c r="A2529">
        <v>2389.4972299168999</v>
      </c>
      <c r="B2529">
        <v>2429.8975069251001</v>
      </c>
      <c r="C2529" s="1">
        <f t="shared" si="739"/>
        <v>1.6907438310612921E-2</v>
      </c>
      <c r="D2529">
        <v>17.370526315789</v>
      </c>
      <c r="E2529">
        <v>0.16761268447913999</v>
      </c>
      <c r="F2529">
        <v>28</v>
      </c>
    </row>
    <row r="2530" spans="1:9" x14ac:dyDescent="0.25">
      <c r="A2530">
        <v>2382.2326869806002</v>
      </c>
      <c r="B2530">
        <v>2428.7493074791</v>
      </c>
      <c r="C2530" s="1">
        <f t="shared" si="739"/>
        <v>1.9526480663590418E-2</v>
      </c>
      <c r="D2530">
        <v>17.382456140351</v>
      </c>
      <c r="E2530">
        <v>0.16834079786266001</v>
      </c>
      <c r="F2530">
        <v>29</v>
      </c>
    </row>
    <row r="2531" spans="1:9" x14ac:dyDescent="0.25">
      <c r="A2531">
        <v>2398.5664819945</v>
      </c>
      <c r="B2531">
        <v>2438.9639889196001</v>
      </c>
      <c r="C2531" s="1">
        <f t="shared" si="739"/>
        <v>1.68423544764571E-2</v>
      </c>
      <c r="D2531">
        <v>17.280701754386001</v>
      </c>
      <c r="E2531">
        <v>0.1659250545456</v>
      </c>
      <c r="F2531">
        <v>28</v>
      </c>
    </row>
    <row r="2532" spans="1:9" x14ac:dyDescent="0.25">
      <c r="A2532">
        <v>2399.1662049861998</v>
      </c>
      <c r="B2532">
        <v>2435.3337950138002</v>
      </c>
      <c r="C2532" s="1">
        <f t="shared" si="739"/>
        <v>1.5075066476192056E-2</v>
      </c>
      <c r="D2532">
        <v>17.341754385965</v>
      </c>
      <c r="E2532">
        <v>0.16658132484558999</v>
      </c>
      <c r="F2532">
        <v>29</v>
      </c>
    </row>
    <row r="2533" spans="1:9" x14ac:dyDescent="0.25">
      <c r="A2533">
        <v>2389.7645429363001</v>
      </c>
      <c r="B2533">
        <v>2436.9861495844002</v>
      </c>
      <c r="C2533" s="1">
        <f t="shared" si="739"/>
        <v>1.9759941115403246E-2</v>
      </c>
      <c r="D2533">
        <v>17.388070175439001</v>
      </c>
      <c r="E2533">
        <v>0.16781277810344</v>
      </c>
      <c r="F2533">
        <v>28</v>
      </c>
    </row>
    <row r="2534" spans="1:9" x14ac:dyDescent="0.25">
      <c r="A2534">
        <v>2397.7659279777999</v>
      </c>
      <c r="B2534">
        <v>2441.1121883655001</v>
      </c>
      <c r="C2534" s="1">
        <f t="shared" si="739"/>
        <v>1.8077769761394968E-2</v>
      </c>
      <c r="D2534">
        <v>17.322807017544001</v>
      </c>
      <c r="E2534">
        <v>0.16645423528424999</v>
      </c>
      <c r="F2534">
        <v>29</v>
      </c>
    </row>
    <row r="2535" spans="1:9" x14ac:dyDescent="0.25">
      <c r="A2535">
        <v>2380.3185595568002</v>
      </c>
      <c r="B2535">
        <v>2426.1578947367002</v>
      </c>
      <c r="C2535" s="1">
        <f t="shared" si="739"/>
        <v>1.9257647257279187E-2</v>
      </c>
      <c r="D2535">
        <v>17.269473684211</v>
      </c>
      <c r="E2535">
        <v>0.16724143731006</v>
      </c>
      <c r="F2535">
        <v>29</v>
      </c>
    </row>
    <row r="2536" spans="1:9" x14ac:dyDescent="0.25">
      <c r="A2536">
        <v>2390.2880886427001</v>
      </c>
      <c r="B2536">
        <v>2436.2880886425</v>
      </c>
      <c r="C2536" s="1">
        <f t="shared" si="739"/>
        <v>1.9244542203245674E-2</v>
      </c>
      <c r="D2536">
        <v>17.305263157894998</v>
      </c>
      <c r="E2536">
        <v>0.16683554768575001</v>
      </c>
      <c r="F2536">
        <v>28</v>
      </c>
      <c r="H2536" t="s">
        <v>17</v>
      </c>
      <c r="I2536">
        <f t="shared" ref="I2536" si="748">STDEVP(A2522:A2541)</f>
        <v>6.3081236144307491</v>
      </c>
    </row>
    <row r="2537" spans="1:9" x14ac:dyDescent="0.25">
      <c r="A2537">
        <v>2391.9432132963998</v>
      </c>
      <c r="B2537">
        <v>2427.7409972298001</v>
      </c>
      <c r="C2537" s="1">
        <f t="shared" si="739"/>
        <v>1.4965984031061641E-2</v>
      </c>
      <c r="D2537">
        <v>17.395789473684001</v>
      </c>
      <c r="E2537">
        <v>0.16770069834981999</v>
      </c>
      <c r="F2537">
        <v>29</v>
      </c>
      <c r="H2537" t="s">
        <v>18</v>
      </c>
      <c r="I2537">
        <f t="shared" ref="I2537" si="749">STDEVP(B2522:B2541)</f>
        <v>5.7122755316496852</v>
      </c>
    </row>
    <row r="2538" spans="1:9" x14ac:dyDescent="0.25">
      <c r="A2538">
        <v>2390.4182825485</v>
      </c>
      <c r="B2538">
        <v>2429.6537396120998</v>
      </c>
      <c r="C2538" s="1">
        <f t="shared" si="739"/>
        <v>1.6413636621691818E-2</v>
      </c>
      <c r="D2538">
        <v>17.263859649122999</v>
      </c>
      <c r="E2538">
        <v>0.16639503664371</v>
      </c>
      <c r="F2538">
        <v>28</v>
      </c>
      <c r="H2538" t="s">
        <v>19</v>
      </c>
      <c r="I2538">
        <f t="shared" ref="I2538" si="750">STDEVP(C2522:C2541)</f>
        <v>1.7784999773215412E-3</v>
      </c>
    </row>
    <row r="2539" spans="1:9" x14ac:dyDescent="0.25">
      <c r="A2539">
        <v>2394.7617728532</v>
      </c>
      <c r="B2539">
        <v>2438.9986149583001</v>
      </c>
      <c r="C2539" s="1">
        <f t="shared" si="739"/>
        <v>1.8472335163591147E-2</v>
      </c>
      <c r="D2539">
        <v>17.385263157895</v>
      </c>
      <c r="E2539">
        <v>0.16739151989234</v>
      </c>
      <c r="F2539">
        <v>29</v>
      </c>
      <c r="H2539" t="s">
        <v>20</v>
      </c>
      <c r="I2539">
        <f t="shared" ref="I2539" si="751">STDEVP(D2522:D2541)</f>
        <v>5.1596130327908607E-2</v>
      </c>
    </row>
    <row r="2540" spans="1:9" x14ac:dyDescent="0.25">
      <c r="A2540">
        <v>2395.6828254848001</v>
      </c>
      <c r="B2540">
        <v>2444.9002770082002</v>
      </c>
      <c r="C2540" s="1">
        <f t="shared" si="739"/>
        <v>2.0544226890068407E-2</v>
      </c>
      <c r="D2540">
        <v>17.438596491228001</v>
      </c>
      <c r="E2540">
        <v>0.16790855735793001</v>
      </c>
      <c r="F2540">
        <v>29</v>
      </c>
      <c r="H2540" t="s">
        <v>21</v>
      </c>
      <c r="I2540">
        <f t="shared" ref="I2540" si="752">STDEVP(E2522:E2541)</f>
        <v>7.7746728042117923E-4</v>
      </c>
    </row>
    <row r="2541" spans="1:9" x14ac:dyDescent="0.25">
      <c r="A2541">
        <v>2392.324099723</v>
      </c>
      <c r="B2541">
        <v>2433.3642659278999</v>
      </c>
      <c r="C2541" s="1">
        <f t="shared" si="739"/>
        <v>1.7154935742047517E-2</v>
      </c>
      <c r="D2541">
        <v>17.368421052632002</v>
      </c>
      <c r="E2541">
        <v>0.16736481937429001</v>
      </c>
      <c r="F2541">
        <v>28</v>
      </c>
      <c r="H2541" t="s">
        <v>22</v>
      </c>
      <c r="I2541">
        <f t="shared" ref="I2541" si="753">STDEVP(F2522:F2541)</f>
        <v>0.49749371855330993</v>
      </c>
    </row>
    <row r="2542" spans="1:9" x14ac:dyDescent="0.25">
      <c r="C2542" s="1" t="str">
        <f t="shared" si="739"/>
        <v/>
      </c>
    </row>
    <row r="2543" spans="1:9" x14ac:dyDescent="0.25">
      <c r="A2543">
        <v>726.05779696003003</v>
      </c>
      <c r="B2543">
        <v>747.86751735785003</v>
      </c>
      <c r="C2543" s="1">
        <f t="shared" si="739"/>
        <v>3.003854581430887E-2</v>
      </c>
      <c r="D2543">
        <v>5.0890410958904004</v>
      </c>
      <c r="E2543">
        <v>0.16062751761437999</v>
      </c>
      <c r="F2543">
        <v>21</v>
      </c>
    </row>
    <row r="2544" spans="1:9" x14ac:dyDescent="0.25">
      <c r="A2544">
        <v>732.35353724900995</v>
      </c>
      <c r="B2544">
        <v>751.88778382435999</v>
      </c>
      <c r="C2544" s="1">
        <f t="shared" si="739"/>
        <v>2.6673246706403475E-2</v>
      </c>
      <c r="D2544">
        <v>5.1095890410958997</v>
      </c>
      <c r="E2544">
        <v>0.15992338338545001</v>
      </c>
      <c r="F2544">
        <v>21</v>
      </c>
    </row>
    <row r="2545" spans="1:9" x14ac:dyDescent="0.25">
      <c r="A2545">
        <v>721.04297241509005</v>
      </c>
      <c r="B2545">
        <v>744.62675924187999</v>
      </c>
      <c r="C2545" s="1">
        <f t="shared" si="739"/>
        <v>3.2707879736761702E-2</v>
      </c>
      <c r="D2545">
        <v>5.1042617960426</v>
      </c>
      <c r="E2545">
        <v>0.16251746861312</v>
      </c>
      <c r="F2545">
        <v>20</v>
      </c>
    </row>
    <row r="2546" spans="1:9" x14ac:dyDescent="0.25">
      <c r="A2546">
        <v>733.57778194782998</v>
      </c>
      <c r="B2546">
        <v>752.16325764683995</v>
      </c>
      <c r="C2546" s="1">
        <f t="shared" si="739"/>
        <v>2.533538522617329E-2</v>
      </c>
      <c r="D2546">
        <v>5.1522070015221004</v>
      </c>
      <c r="E2546">
        <v>0.16118172805249001</v>
      </c>
      <c r="F2546">
        <v>20</v>
      </c>
    </row>
    <row r="2547" spans="1:9" x14ac:dyDescent="0.25">
      <c r="A2547">
        <v>732.72921748920999</v>
      </c>
      <c r="B2547">
        <v>749.81610058171998</v>
      </c>
      <c r="C2547" s="1">
        <f t="shared" si="739"/>
        <v>2.3319505602711343E-2</v>
      </c>
      <c r="D2547">
        <v>5.1050228310502002</v>
      </c>
      <c r="E2547">
        <v>0.15958113905685001</v>
      </c>
      <c r="F2547">
        <v>22</v>
      </c>
    </row>
    <row r="2548" spans="1:9" x14ac:dyDescent="0.25">
      <c r="A2548">
        <v>728.83242634640999</v>
      </c>
      <c r="B2548">
        <v>749.25351848376999</v>
      </c>
      <c r="C2548" s="1">
        <f t="shared" si="739"/>
        <v>2.8018912714586008E-2</v>
      </c>
      <c r="D2548">
        <v>5.117199391172</v>
      </c>
      <c r="E2548">
        <v>0.16103417149339999</v>
      </c>
      <c r="F2548">
        <v>22</v>
      </c>
    </row>
    <row r="2549" spans="1:9" x14ac:dyDescent="0.25">
      <c r="A2549">
        <v>725.30606117469995</v>
      </c>
      <c r="B2549">
        <v>749.80371551886003</v>
      </c>
      <c r="C2549" s="1">
        <f t="shared" si="739"/>
        <v>3.3775609574369092E-2</v>
      </c>
      <c r="D2549">
        <v>5.1217656012177004</v>
      </c>
      <c r="E2549">
        <v>0.16202098583607</v>
      </c>
      <c r="F2549">
        <v>21</v>
      </c>
    </row>
    <row r="2550" spans="1:9" x14ac:dyDescent="0.25">
      <c r="A2550">
        <v>728.76824920247998</v>
      </c>
      <c r="B2550">
        <v>748.41283542878</v>
      </c>
      <c r="C2550" s="1">
        <f t="shared" si="739"/>
        <v>2.695587554452028E-2</v>
      </c>
      <c r="D2550">
        <v>5.1514459665145003</v>
      </c>
      <c r="E2550">
        <v>0.16235844690748</v>
      </c>
      <c r="F2550">
        <v>20</v>
      </c>
    </row>
    <row r="2551" spans="1:9" x14ac:dyDescent="0.25">
      <c r="A2551">
        <v>735.93807468568002</v>
      </c>
      <c r="B2551">
        <v>753.03058735221998</v>
      </c>
      <c r="C2551" s="1">
        <f t="shared" si="739"/>
        <v>2.3225476781915555E-2</v>
      </c>
      <c r="D2551">
        <v>5.1149162861492004</v>
      </c>
      <c r="E2551">
        <v>0.15937375362761</v>
      </c>
      <c r="F2551">
        <v>21</v>
      </c>
    </row>
    <row r="2552" spans="1:9" x14ac:dyDescent="0.25">
      <c r="A2552">
        <v>736.57496716082005</v>
      </c>
      <c r="B2552">
        <v>756.30624882716995</v>
      </c>
      <c r="C2552" s="1">
        <f t="shared" si="739"/>
        <v>2.6787879776047019E-2</v>
      </c>
      <c r="D2552">
        <v>5.134703196347</v>
      </c>
      <c r="E2552">
        <v>0.15987278280770001</v>
      </c>
      <c r="F2552">
        <v>21</v>
      </c>
    </row>
    <row r="2553" spans="1:9" x14ac:dyDescent="0.25">
      <c r="A2553">
        <v>724.51529367610999</v>
      </c>
      <c r="B2553">
        <v>743.70688684556001</v>
      </c>
      <c r="C2553" s="1">
        <f t="shared" si="739"/>
        <v>2.6488872404713426E-2</v>
      </c>
      <c r="D2553">
        <v>5.1080669710807003</v>
      </c>
      <c r="E2553">
        <v>0.16183540602725</v>
      </c>
      <c r="F2553">
        <v>20</v>
      </c>
    </row>
    <row r="2554" spans="1:9" x14ac:dyDescent="0.25">
      <c r="A2554">
        <v>729.26515293676005</v>
      </c>
      <c r="B2554">
        <v>749.80258960405001</v>
      </c>
      <c r="C2554" s="1">
        <f t="shared" si="739"/>
        <v>2.8161823699631716E-2</v>
      </c>
      <c r="D2554">
        <v>5.0821917808219004</v>
      </c>
      <c r="E2554">
        <v>0.15976974116452</v>
      </c>
      <c r="F2554">
        <v>21</v>
      </c>
    </row>
    <row r="2555" spans="1:9" x14ac:dyDescent="0.25">
      <c r="A2555">
        <v>727.15368737099004</v>
      </c>
      <c r="B2555">
        <v>748.00675548882998</v>
      </c>
      <c r="C2555" s="1">
        <f t="shared" si="739"/>
        <v>2.8677662617972555E-2</v>
      </c>
      <c r="D2555">
        <v>5.1445966514460002</v>
      </c>
      <c r="E2555">
        <v>0.16239622652631</v>
      </c>
      <c r="F2555">
        <v>21</v>
      </c>
    </row>
    <row r="2556" spans="1:9" x14ac:dyDescent="0.25">
      <c r="A2556">
        <v>731.89003565397002</v>
      </c>
      <c r="B2556">
        <v>752.09607806342001</v>
      </c>
      <c r="C2556" s="1">
        <f t="shared" si="739"/>
        <v>2.7608030476047096E-2</v>
      </c>
      <c r="D2556">
        <v>5.134703196347</v>
      </c>
      <c r="E2556">
        <v>0.16087138711462001</v>
      </c>
      <c r="F2556">
        <v>20</v>
      </c>
    </row>
    <row r="2557" spans="1:9" x14ac:dyDescent="0.25">
      <c r="A2557">
        <v>723.30756239443997</v>
      </c>
      <c r="B2557">
        <v>743.68887220866998</v>
      </c>
      <c r="C2557" s="1">
        <f t="shared" si="739"/>
        <v>2.8177929934479984E-2</v>
      </c>
      <c r="D2557">
        <v>5.1385083713851003</v>
      </c>
      <c r="E2557">
        <v>0.16319889675711</v>
      </c>
      <c r="F2557">
        <v>21</v>
      </c>
      <c r="H2557" t="s">
        <v>17</v>
      </c>
      <c r="I2557">
        <f t="shared" ref="I2557" si="754">STDEVP(A2543:A2562)</f>
        <v>4.4858744853809096</v>
      </c>
    </row>
    <row r="2558" spans="1:9" x14ac:dyDescent="0.25">
      <c r="A2558">
        <v>737.55976731093995</v>
      </c>
      <c r="B2558">
        <v>755.23175079752002</v>
      </c>
      <c r="C2558" s="1">
        <f t="shared" si="739"/>
        <v>2.3960069773070858E-2</v>
      </c>
      <c r="D2558">
        <v>5.1179604261796001</v>
      </c>
      <c r="E2558">
        <v>0.15898015525928</v>
      </c>
      <c r="F2558">
        <v>20</v>
      </c>
      <c r="H2558" t="s">
        <v>18</v>
      </c>
      <c r="I2558">
        <f t="shared" ref="I2558" si="755">STDEVP(B2543:B2562)</f>
        <v>3.5155512532701523</v>
      </c>
    </row>
    <row r="2559" spans="1:9" x14ac:dyDescent="0.25">
      <c r="A2559">
        <v>733.39238130981005</v>
      </c>
      <c r="B2559">
        <v>753.31281666354005</v>
      </c>
      <c r="C2559" s="1">
        <f t="shared" si="739"/>
        <v>2.7162042940987341E-2</v>
      </c>
      <c r="D2559">
        <v>5.1400304414002997</v>
      </c>
      <c r="E2559">
        <v>0.16065428016668001</v>
      </c>
      <c r="F2559">
        <v>21</v>
      </c>
      <c r="H2559" t="s">
        <v>19</v>
      </c>
      <c r="I2559">
        <f t="shared" ref="I2559" si="756">STDEVP(C2543:C2562)</f>
        <v>2.7251900750655824E-3</v>
      </c>
    </row>
    <row r="2560" spans="1:9" x14ac:dyDescent="0.25">
      <c r="A2560">
        <v>730.13623569150002</v>
      </c>
      <c r="B2560">
        <v>748.80277725652002</v>
      </c>
      <c r="C2560" s="1">
        <f t="shared" si="739"/>
        <v>2.556583367943821E-2</v>
      </c>
      <c r="D2560">
        <v>5.1582952815829</v>
      </c>
      <c r="E2560">
        <v>0.16226051874771</v>
      </c>
      <c r="F2560">
        <v>20</v>
      </c>
      <c r="H2560" t="s">
        <v>20</v>
      </c>
      <c r="I2560">
        <f t="shared" ref="I2560" si="757">STDEVP(D2543:D2562)</f>
        <v>2.7837241663409916E-2</v>
      </c>
    </row>
    <row r="2561" spans="1:9" x14ac:dyDescent="0.25">
      <c r="A2561">
        <v>725.71927190841996</v>
      </c>
      <c r="B2561">
        <v>744.63839369487005</v>
      </c>
      <c r="C2561" s="1">
        <f t="shared" si="739"/>
        <v>2.6069476888354703E-2</v>
      </c>
      <c r="D2561">
        <v>5.0913242009132</v>
      </c>
      <c r="E2561">
        <v>0.16081445011511</v>
      </c>
      <c r="F2561">
        <v>22</v>
      </c>
      <c r="H2561" t="s">
        <v>21</v>
      </c>
      <c r="I2561">
        <f t="shared" ref="I2561" si="758">STDEVP(E2543:E2562)</f>
        <v>1.2916114457269677E-3</v>
      </c>
    </row>
    <row r="2562" spans="1:9" x14ac:dyDescent="0.25">
      <c r="A2562">
        <v>727.34359166823003</v>
      </c>
      <c r="B2562">
        <v>749.82811033965004</v>
      </c>
      <c r="C2562" s="1">
        <f t="shared" ref="C2562:C2625" si="759">IFERROR((B2562/A2562)-1,"")</f>
        <v>3.0913201035908777E-2</v>
      </c>
      <c r="D2562">
        <v>5.0403348554032998</v>
      </c>
      <c r="E2562">
        <v>0.15848391384616001</v>
      </c>
      <c r="F2562">
        <v>21</v>
      </c>
      <c r="H2562" t="s">
        <v>22</v>
      </c>
      <c r="I2562">
        <f t="shared" ref="I2562" si="760">STDEVP(F2543:F2562)</f>
        <v>0.67823299831252692</v>
      </c>
    </row>
    <row r="2563" spans="1:9" x14ac:dyDescent="0.25">
      <c r="C2563" s="1" t="str">
        <f t="shared" si="759"/>
        <v/>
      </c>
    </row>
    <row r="2564" spans="1:9" x14ac:dyDescent="0.25">
      <c r="A2564">
        <v>1051.5313609467</v>
      </c>
      <c r="B2564">
        <v>1084.6485207101</v>
      </c>
      <c r="C2564" s="1">
        <f t="shared" si="759"/>
        <v>3.149421975734934E-2</v>
      </c>
      <c r="D2564">
        <v>9.8855769230769006</v>
      </c>
      <c r="E2564">
        <v>0.22804236428145</v>
      </c>
      <c r="F2564">
        <v>13</v>
      </c>
    </row>
    <row r="2565" spans="1:9" x14ac:dyDescent="0.25">
      <c r="A2565">
        <v>1040.8378698224999</v>
      </c>
      <c r="B2565">
        <v>1078.8449704141999</v>
      </c>
      <c r="C2565" s="1">
        <f t="shared" si="759"/>
        <v>3.6515870236525583E-2</v>
      </c>
      <c r="D2565">
        <v>9.8519230769231001</v>
      </c>
      <c r="E2565">
        <v>0.22988213572797001</v>
      </c>
      <c r="F2565">
        <v>14</v>
      </c>
    </row>
    <row r="2566" spans="1:9" x14ac:dyDescent="0.25">
      <c r="A2566">
        <v>1043.2662721893</v>
      </c>
      <c r="B2566">
        <v>1073.4485207101</v>
      </c>
      <c r="C2566" s="1">
        <f t="shared" si="759"/>
        <v>2.893053223839237E-2</v>
      </c>
      <c r="D2566">
        <v>9.9471153846153992</v>
      </c>
      <c r="E2566">
        <v>0.23185507035256001</v>
      </c>
      <c r="F2566">
        <v>13</v>
      </c>
    </row>
    <row r="2567" spans="1:9" x14ac:dyDescent="0.25">
      <c r="A2567">
        <v>1034.4426035503</v>
      </c>
      <c r="B2567">
        <v>1073.0627218935001</v>
      </c>
      <c r="C2567" s="1">
        <f t="shared" si="759"/>
        <v>3.7334230251782285E-2</v>
      </c>
      <c r="D2567">
        <v>9.7740384615385008</v>
      </c>
      <c r="E2567">
        <v>0.22927811790756</v>
      </c>
      <c r="F2567">
        <v>14</v>
      </c>
    </row>
    <row r="2568" spans="1:9" x14ac:dyDescent="0.25">
      <c r="A2568">
        <v>1031.9337278107</v>
      </c>
      <c r="B2568">
        <v>1070.575147929</v>
      </c>
      <c r="C2568" s="1">
        <f t="shared" si="759"/>
        <v>3.7445641204381985E-2</v>
      </c>
      <c r="D2568">
        <v>9.8153846153846001</v>
      </c>
      <c r="E2568">
        <v>0.23113860520150001</v>
      </c>
      <c r="F2568">
        <v>13</v>
      </c>
    </row>
    <row r="2569" spans="1:9" x14ac:dyDescent="0.25">
      <c r="A2569">
        <v>1037.5100591716</v>
      </c>
      <c r="B2569">
        <v>1072.2816568047001</v>
      </c>
      <c r="C2569" s="1">
        <f t="shared" si="759"/>
        <v>3.3514467956931027E-2</v>
      </c>
      <c r="D2569">
        <v>9.7798076923077009</v>
      </c>
      <c r="E2569">
        <v>0.22843350812092</v>
      </c>
      <c r="F2569">
        <v>14</v>
      </c>
    </row>
    <row r="2570" spans="1:9" x14ac:dyDescent="0.25">
      <c r="A2570">
        <v>1040.7171597633001</v>
      </c>
      <c r="B2570">
        <v>1078.6579881657001</v>
      </c>
      <c r="C2570" s="1">
        <f t="shared" si="759"/>
        <v>3.6456426269582565E-2</v>
      </c>
      <c r="D2570">
        <v>9.8192307692307992</v>
      </c>
      <c r="E2570">
        <v>0.22922457098820001</v>
      </c>
      <c r="F2570">
        <v>13</v>
      </c>
    </row>
    <row r="2571" spans="1:9" x14ac:dyDescent="0.25">
      <c r="A2571">
        <v>1047.1952662721999</v>
      </c>
      <c r="B2571">
        <v>1081.5881656805</v>
      </c>
      <c r="C2571" s="1">
        <f t="shared" si="759"/>
        <v>3.2842871349802572E-2</v>
      </c>
      <c r="D2571">
        <v>9.9153846153845997</v>
      </c>
      <c r="E2571">
        <v>0.22980767720499001</v>
      </c>
      <c r="F2571">
        <v>14</v>
      </c>
    </row>
    <row r="2572" spans="1:9" x14ac:dyDescent="0.25">
      <c r="A2572">
        <v>1047.5550295858</v>
      </c>
      <c r="B2572">
        <v>1077.4201183432001</v>
      </c>
      <c r="C2572" s="1">
        <f t="shared" si="759"/>
        <v>2.8509326874416097E-2</v>
      </c>
      <c r="D2572">
        <v>9.6586538461538005</v>
      </c>
      <c r="E2572">
        <v>0.22244951612534999</v>
      </c>
      <c r="F2572">
        <v>13</v>
      </c>
    </row>
    <row r="2573" spans="1:9" x14ac:dyDescent="0.25">
      <c r="A2573">
        <v>1039.4106508876</v>
      </c>
      <c r="B2573">
        <v>1072.8213017751</v>
      </c>
      <c r="C2573" s="1">
        <f t="shared" si="759"/>
        <v>3.2143841184395283E-2</v>
      </c>
      <c r="D2573">
        <v>9.8278846153845993</v>
      </c>
      <c r="E2573">
        <v>0.22944593582949999</v>
      </c>
      <c r="F2573">
        <v>14</v>
      </c>
    </row>
    <row r="2574" spans="1:9" x14ac:dyDescent="0.25">
      <c r="A2574">
        <v>1036.0544378698</v>
      </c>
      <c r="B2574">
        <v>1076.1278106509001</v>
      </c>
      <c r="C2574" s="1">
        <f t="shared" si="759"/>
        <v>3.8678829332070341E-2</v>
      </c>
      <c r="D2574">
        <v>9.7855769230768992</v>
      </c>
      <c r="E2574">
        <v>0.22914619407949</v>
      </c>
      <c r="F2574">
        <v>13</v>
      </c>
    </row>
    <row r="2575" spans="1:9" x14ac:dyDescent="0.25">
      <c r="A2575">
        <v>1037.4390532544001</v>
      </c>
      <c r="B2575">
        <v>1063.8366863905001</v>
      </c>
      <c r="C2575" s="1">
        <f t="shared" si="759"/>
        <v>2.5444996555018751E-2</v>
      </c>
      <c r="D2575">
        <v>9.8105769230768995</v>
      </c>
      <c r="E2575">
        <v>0.22943228975484001</v>
      </c>
      <c r="F2575">
        <v>13</v>
      </c>
    </row>
    <row r="2576" spans="1:9" x14ac:dyDescent="0.25">
      <c r="A2576">
        <v>1046.8142011834</v>
      </c>
      <c r="B2576">
        <v>1083.450887574</v>
      </c>
      <c r="C2576" s="1">
        <f t="shared" si="759"/>
        <v>3.4998270322644798E-2</v>
      </c>
      <c r="D2576">
        <v>9.8288461538462002</v>
      </c>
      <c r="E2576">
        <v>0.22753426980763</v>
      </c>
      <c r="F2576">
        <v>14</v>
      </c>
    </row>
    <row r="2577" spans="1:9" x14ac:dyDescent="0.25">
      <c r="A2577">
        <v>1041.4698224852</v>
      </c>
      <c r="B2577">
        <v>1079.2899408283999</v>
      </c>
      <c r="C2577" s="1">
        <f t="shared" si="759"/>
        <v>3.6314175914336166E-2</v>
      </c>
      <c r="D2577">
        <v>9.8230769230769006</v>
      </c>
      <c r="E2577">
        <v>0.22870873097019001</v>
      </c>
      <c r="F2577">
        <v>13</v>
      </c>
    </row>
    <row r="2578" spans="1:9" x14ac:dyDescent="0.25">
      <c r="A2578">
        <v>1036.5443786982</v>
      </c>
      <c r="B2578">
        <v>1079.8295857988001</v>
      </c>
      <c r="C2578" s="1">
        <f t="shared" si="759"/>
        <v>4.1759145088377192E-2</v>
      </c>
      <c r="D2578">
        <v>9.6307692307692001</v>
      </c>
      <c r="E2578">
        <v>0.22467024978187999</v>
      </c>
      <c r="F2578">
        <v>14</v>
      </c>
      <c r="H2578" t="s">
        <v>17</v>
      </c>
      <c r="I2578">
        <f t="shared" ref="I2578" si="761">STDEVP(A2564:A2583)</f>
        <v>4.9588982555789807</v>
      </c>
    </row>
    <row r="2579" spans="1:9" x14ac:dyDescent="0.25">
      <c r="A2579">
        <v>1034.3218934910999</v>
      </c>
      <c r="B2579">
        <v>1068.9372781064999</v>
      </c>
      <c r="C2579" s="1">
        <f t="shared" si="759"/>
        <v>3.3466742639048475E-2</v>
      </c>
      <c r="D2579">
        <v>9.9288461538461998</v>
      </c>
      <c r="E2579">
        <v>0.23376018600123</v>
      </c>
      <c r="F2579">
        <v>14</v>
      </c>
      <c r="H2579" t="s">
        <v>18</v>
      </c>
      <c r="I2579">
        <f t="shared" ref="I2579" si="762">STDEVP(B2564:B2583)</f>
        <v>4.8847383768544566</v>
      </c>
    </row>
    <row r="2580" spans="1:9" x14ac:dyDescent="0.25">
      <c r="A2580">
        <v>1042.2579881657</v>
      </c>
      <c r="B2580">
        <v>1078.1893491123999</v>
      </c>
      <c r="C2580" s="1">
        <f t="shared" si="759"/>
        <v>3.447453639567355E-2</v>
      </c>
      <c r="D2580">
        <v>9.8490384615385</v>
      </c>
      <c r="E2580">
        <v>0.22923497501076001</v>
      </c>
      <c r="F2580">
        <v>13</v>
      </c>
      <c r="H2580" t="s">
        <v>19</v>
      </c>
      <c r="I2580">
        <f t="shared" ref="I2580" si="763">STDEVP(C2564:C2583)</f>
        <v>3.7517184921729146E-3</v>
      </c>
    </row>
    <row r="2581" spans="1:9" x14ac:dyDescent="0.25">
      <c r="A2581">
        <v>1036.5988165680001</v>
      </c>
      <c r="B2581">
        <v>1075.6284023669</v>
      </c>
      <c r="C2581" s="1">
        <f t="shared" si="759"/>
        <v>3.7651582439694575E-2</v>
      </c>
      <c r="D2581">
        <v>9.7538461538461991</v>
      </c>
      <c r="E2581">
        <v>0.22799691549352999</v>
      </c>
      <c r="F2581">
        <v>14</v>
      </c>
      <c r="H2581" t="s">
        <v>20</v>
      </c>
      <c r="I2581">
        <f t="shared" ref="I2581" si="764">STDEVP(D2564:D2583)</f>
        <v>8.1019187405282786E-2</v>
      </c>
    </row>
    <row r="2582" spans="1:9" x14ac:dyDescent="0.25">
      <c r="A2582">
        <v>1040.0591715976</v>
      </c>
      <c r="B2582">
        <v>1074.7076923077</v>
      </c>
      <c r="C2582" s="1">
        <f t="shared" si="759"/>
        <v>3.3313989873170025E-2</v>
      </c>
      <c r="D2582">
        <v>9.6826923076922995</v>
      </c>
      <c r="E2582">
        <v>0.22499308447554001</v>
      </c>
      <c r="F2582">
        <v>13</v>
      </c>
      <c r="H2582" t="s">
        <v>21</v>
      </c>
      <c r="I2582">
        <f t="shared" ref="I2582" si="765">STDEVP(E2564:E2583)</f>
        <v>2.4301589039011956E-3</v>
      </c>
    </row>
    <row r="2583" spans="1:9" x14ac:dyDescent="0.25">
      <c r="A2583">
        <v>1037.8201183432</v>
      </c>
      <c r="B2583">
        <v>1075.6615384615</v>
      </c>
      <c r="C2583" s="1">
        <f t="shared" si="759"/>
        <v>3.6462407549692655E-2</v>
      </c>
      <c r="D2583">
        <v>9.7971153846154007</v>
      </c>
      <c r="E2583">
        <v>0.22932934759056001</v>
      </c>
      <c r="F2583">
        <v>14</v>
      </c>
      <c r="H2583" t="s">
        <v>22</v>
      </c>
      <c r="I2583">
        <f t="shared" ref="I2583" si="766">STDEVP(F2564:F2583)</f>
        <v>0.5</v>
      </c>
    </row>
    <row r="2584" spans="1:9" x14ac:dyDescent="0.25">
      <c r="C2584" s="1" t="str">
        <f t="shared" si="759"/>
        <v/>
      </c>
    </row>
    <row r="2585" spans="1:9" x14ac:dyDescent="0.25">
      <c r="A2585">
        <v>707.02216066482003</v>
      </c>
      <c r="B2585">
        <v>726.68975069252997</v>
      </c>
      <c r="C2585" s="1">
        <f t="shared" si="759"/>
        <v>2.7817501518221599E-2</v>
      </c>
      <c r="D2585">
        <v>11.075789473684001</v>
      </c>
      <c r="E2585">
        <v>0.44992372383887003</v>
      </c>
      <c r="F2585">
        <v>15</v>
      </c>
    </row>
    <row r="2586" spans="1:9" x14ac:dyDescent="0.25">
      <c r="A2586">
        <v>701.54570637119002</v>
      </c>
      <c r="B2586">
        <v>719.80609418283996</v>
      </c>
      <c r="C2586" s="1">
        <f t="shared" si="759"/>
        <v>2.6028792772609943E-2</v>
      </c>
      <c r="D2586">
        <v>11.179649122807</v>
      </c>
      <c r="E2586">
        <v>0.46038887833917003</v>
      </c>
      <c r="F2586">
        <v>15</v>
      </c>
    </row>
    <row r="2587" spans="1:9" x14ac:dyDescent="0.25">
      <c r="A2587">
        <v>703.31440443213</v>
      </c>
      <c r="B2587">
        <v>728.91551246538995</v>
      </c>
      <c r="C2587" s="1">
        <f t="shared" si="759"/>
        <v>3.640065932380665E-2</v>
      </c>
      <c r="D2587">
        <v>11.225263157895</v>
      </c>
      <c r="E2587">
        <v>0.46246815402058999</v>
      </c>
      <c r="F2587">
        <v>15</v>
      </c>
    </row>
    <row r="2588" spans="1:9" x14ac:dyDescent="0.25">
      <c r="A2588">
        <v>694.35734072022001</v>
      </c>
      <c r="B2588">
        <v>720.68144044323003</v>
      </c>
      <c r="C2588" s="1">
        <f t="shared" si="759"/>
        <v>3.7911458811259013E-2</v>
      </c>
      <c r="D2588">
        <v>11.135438596490999</v>
      </c>
      <c r="E2588">
        <v>0.46459111682923998</v>
      </c>
      <c r="F2588">
        <v>16</v>
      </c>
    </row>
    <row r="2589" spans="1:9" x14ac:dyDescent="0.25">
      <c r="A2589">
        <v>701.60803324100004</v>
      </c>
      <c r="B2589">
        <v>722.37257617729995</v>
      </c>
      <c r="C2589" s="1">
        <f t="shared" si="759"/>
        <v>2.9595645934070047E-2</v>
      </c>
      <c r="D2589">
        <v>11.056140350877</v>
      </c>
      <c r="E2589">
        <v>0.45291744439235998</v>
      </c>
      <c r="F2589">
        <v>15</v>
      </c>
    </row>
    <row r="2590" spans="1:9" x14ac:dyDescent="0.25">
      <c r="A2590">
        <v>696.65927977838999</v>
      </c>
      <c r="B2590">
        <v>715.99584487536004</v>
      </c>
      <c r="C2590" s="1">
        <f t="shared" si="759"/>
        <v>2.7756129370904326E-2</v>
      </c>
      <c r="D2590">
        <v>11.054736842104999</v>
      </c>
      <c r="E2590">
        <v>0.45774766607626999</v>
      </c>
      <c r="F2590">
        <v>15</v>
      </c>
    </row>
    <row r="2591" spans="1:9" x14ac:dyDescent="0.25">
      <c r="A2591">
        <v>705.11357340719997</v>
      </c>
      <c r="B2591">
        <v>727.68005540166996</v>
      </c>
      <c r="C2591" s="1">
        <f t="shared" si="759"/>
        <v>3.2004038562789106E-2</v>
      </c>
      <c r="D2591">
        <v>11.061754385964999</v>
      </c>
      <c r="E2591">
        <v>0.45020928990769998</v>
      </c>
      <c r="F2591">
        <v>15</v>
      </c>
    </row>
    <row r="2592" spans="1:9" x14ac:dyDescent="0.25">
      <c r="A2592">
        <v>701.87119113572999</v>
      </c>
      <c r="B2592">
        <v>727.73545706371999</v>
      </c>
      <c r="C2592" s="1">
        <f t="shared" si="759"/>
        <v>3.6850445287742728E-2</v>
      </c>
      <c r="D2592">
        <v>11.109473684211</v>
      </c>
      <c r="E2592">
        <v>0.45651204918798</v>
      </c>
      <c r="F2592">
        <v>16</v>
      </c>
    </row>
    <row r="2593" spans="1:9" x14ac:dyDescent="0.25">
      <c r="A2593">
        <v>695.17313019390997</v>
      </c>
      <c r="B2593">
        <v>718.72714681442005</v>
      </c>
      <c r="C2593" s="1">
        <f t="shared" si="759"/>
        <v>3.3882231055075485E-2</v>
      </c>
      <c r="D2593">
        <v>11.055438596490999</v>
      </c>
      <c r="E2593">
        <v>0.45925969439804998</v>
      </c>
      <c r="F2593">
        <v>15</v>
      </c>
    </row>
    <row r="2594" spans="1:9" x14ac:dyDescent="0.25">
      <c r="A2594">
        <v>699.19944598337997</v>
      </c>
      <c r="B2594">
        <v>725.36288088644005</v>
      </c>
      <c r="C2594" s="1">
        <f t="shared" si="759"/>
        <v>3.741912991115548E-2</v>
      </c>
      <c r="D2594">
        <v>10.975438596490999</v>
      </c>
      <c r="E2594">
        <v>0.45146315559660999</v>
      </c>
      <c r="F2594">
        <v>15</v>
      </c>
    </row>
    <row r="2595" spans="1:9" x14ac:dyDescent="0.25">
      <c r="A2595">
        <v>700.31994459834004</v>
      </c>
      <c r="B2595">
        <v>728.98614958450003</v>
      </c>
      <c r="C2595" s="1">
        <f t="shared" si="759"/>
        <v>4.0933012414205994E-2</v>
      </c>
      <c r="D2595">
        <v>11.017543859649001</v>
      </c>
      <c r="E2595">
        <v>0.45228210114883</v>
      </c>
      <c r="F2595">
        <v>15</v>
      </c>
    </row>
    <row r="2596" spans="1:9" x14ac:dyDescent="0.25">
      <c r="A2596">
        <v>693.19252077561998</v>
      </c>
      <c r="B2596">
        <v>722.71191135735</v>
      </c>
      <c r="C2596" s="1">
        <f t="shared" si="759"/>
        <v>4.2584692847955852E-2</v>
      </c>
      <c r="D2596">
        <v>11.048421052631999</v>
      </c>
      <c r="E2596">
        <v>0.46034830535607002</v>
      </c>
      <c r="F2596">
        <v>15</v>
      </c>
    </row>
    <row r="2597" spans="1:9" x14ac:dyDescent="0.25">
      <c r="A2597">
        <v>703.93490304708996</v>
      </c>
      <c r="B2597">
        <v>724.95844875346995</v>
      </c>
      <c r="C2597" s="1">
        <f t="shared" si="759"/>
        <v>2.9865752664594902E-2</v>
      </c>
      <c r="D2597">
        <v>11.054035087719001</v>
      </c>
      <c r="E2597">
        <v>0.45032119779740998</v>
      </c>
      <c r="F2597">
        <v>16</v>
      </c>
    </row>
    <row r="2598" spans="1:9" x14ac:dyDescent="0.25">
      <c r="A2598">
        <v>704.95706371191</v>
      </c>
      <c r="B2598">
        <v>727.34626038782005</v>
      </c>
      <c r="C2598" s="1">
        <f t="shared" si="759"/>
        <v>3.1759660025280301E-2</v>
      </c>
      <c r="D2598">
        <v>11.03649122807</v>
      </c>
      <c r="E2598">
        <v>0.44926065856865</v>
      </c>
      <c r="F2598">
        <v>15</v>
      </c>
    </row>
    <row r="2599" spans="1:9" x14ac:dyDescent="0.25">
      <c r="A2599">
        <v>700.04016620498999</v>
      </c>
      <c r="B2599">
        <v>721.61080332410995</v>
      </c>
      <c r="C2599" s="1">
        <f t="shared" si="759"/>
        <v>3.0813427800946425E-2</v>
      </c>
      <c r="D2599">
        <v>11.040701754385999</v>
      </c>
      <c r="E2599">
        <v>0.45384162587472998</v>
      </c>
      <c r="F2599">
        <v>15</v>
      </c>
      <c r="H2599" t="s">
        <v>17</v>
      </c>
      <c r="I2599">
        <f t="shared" ref="I2599" si="767">STDEVP(A2585:A2604)</f>
        <v>3.8012856761622125</v>
      </c>
    </row>
    <row r="2600" spans="1:9" x14ac:dyDescent="0.25">
      <c r="A2600">
        <v>696.47368421053</v>
      </c>
      <c r="B2600">
        <v>716.49168975069995</v>
      </c>
      <c r="C2600" s="1">
        <f t="shared" si="759"/>
        <v>2.8741941000772764E-2</v>
      </c>
      <c r="D2600">
        <v>11.026666666666999</v>
      </c>
      <c r="E2600">
        <v>0.45710975392775</v>
      </c>
      <c r="F2600">
        <v>16</v>
      </c>
      <c r="H2600" t="s">
        <v>18</v>
      </c>
      <c r="I2600">
        <f t="shared" ref="I2600" si="768">STDEVP(B2585:B2604)</f>
        <v>4.0000144180980115</v>
      </c>
    </row>
    <row r="2601" spans="1:9" x14ac:dyDescent="0.25">
      <c r="A2601">
        <v>701.30055401662003</v>
      </c>
      <c r="B2601">
        <v>723.37396121885001</v>
      </c>
      <c r="C2601" s="1">
        <f t="shared" si="759"/>
        <v>3.1474960451417067E-2</v>
      </c>
      <c r="D2601">
        <v>11.184561403509001</v>
      </c>
      <c r="E2601">
        <v>0.46117524963341999</v>
      </c>
      <c r="F2601">
        <v>15</v>
      </c>
      <c r="H2601" t="s">
        <v>19</v>
      </c>
      <c r="I2601">
        <f t="shared" ref="I2601" si="769">STDEVP(C2585:C2604)</f>
        <v>4.5239657930939755E-3</v>
      </c>
    </row>
    <row r="2602" spans="1:9" x14ac:dyDescent="0.25">
      <c r="A2602">
        <v>702.32132963989</v>
      </c>
      <c r="B2602">
        <v>724.43213296399995</v>
      </c>
      <c r="C2602" s="1">
        <f t="shared" si="759"/>
        <v>3.1482460222939768E-2</v>
      </c>
      <c r="D2602">
        <v>11.178947368420999</v>
      </c>
      <c r="E2602">
        <v>0.45945212604737001</v>
      </c>
      <c r="F2602">
        <v>15</v>
      </c>
      <c r="H2602" t="s">
        <v>20</v>
      </c>
      <c r="I2602">
        <f t="shared" ref="I2602" si="770">STDEVP(D2585:D2604)</f>
        <v>8.8533616737949503E-2</v>
      </c>
    </row>
    <row r="2603" spans="1:9" x14ac:dyDescent="0.25">
      <c r="A2603">
        <v>704.48060941827998</v>
      </c>
      <c r="B2603">
        <v>725.07617728533</v>
      </c>
      <c r="C2603" s="1">
        <f t="shared" si="759"/>
        <v>2.9235109656256864E-2</v>
      </c>
      <c r="D2603">
        <v>11.140350877193001</v>
      </c>
      <c r="E2603">
        <v>0.45576730212745997</v>
      </c>
      <c r="F2603">
        <v>15</v>
      </c>
      <c r="H2603" t="s">
        <v>21</v>
      </c>
      <c r="I2603">
        <f t="shared" ref="I2603" si="771">STDEVP(E2585:E2604)</f>
        <v>5.3887746921990366E-3</v>
      </c>
    </row>
    <row r="2604" spans="1:9" x14ac:dyDescent="0.25">
      <c r="A2604">
        <v>697.46952908587002</v>
      </c>
      <c r="B2604">
        <v>717.44875346260994</v>
      </c>
      <c r="C2604" s="1">
        <f t="shared" si="759"/>
        <v>2.8645300681343633E-2</v>
      </c>
      <c r="D2604">
        <v>10.809122807017999</v>
      </c>
      <c r="E2604">
        <v>0.44242792717989998</v>
      </c>
      <c r="F2604">
        <v>15</v>
      </c>
      <c r="H2604" t="s">
        <v>22</v>
      </c>
      <c r="I2604">
        <f t="shared" ref="I2604" si="772">STDEVP(F2585:F2604)</f>
        <v>0.39999999999999997</v>
      </c>
    </row>
    <row r="2605" spans="1:9" x14ac:dyDescent="0.25">
      <c r="C2605" s="1" t="str">
        <f t="shared" si="759"/>
        <v/>
      </c>
    </row>
    <row r="2606" spans="1:9" x14ac:dyDescent="0.25">
      <c r="A2606">
        <v>942.23875432525995</v>
      </c>
      <c r="B2606">
        <v>985.01730103806995</v>
      </c>
      <c r="C2606" s="1">
        <f t="shared" si="759"/>
        <v>4.540096288381168E-2</v>
      </c>
      <c r="D2606">
        <v>11.778966131907</v>
      </c>
      <c r="E2606">
        <v>0.32095040687267001</v>
      </c>
      <c r="F2606">
        <v>56</v>
      </c>
    </row>
    <row r="2607" spans="1:9" x14ac:dyDescent="0.25">
      <c r="A2607">
        <v>936.65397923875003</v>
      </c>
      <c r="B2607">
        <v>968.49480968858995</v>
      </c>
      <c r="C2607" s="1">
        <f t="shared" si="759"/>
        <v>3.3994229625456729E-2</v>
      </c>
      <c r="D2607">
        <v>11.800356506239</v>
      </c>
      <c r="E2607">
        <v>0.32403949623689998</v>
      </c>
      <c r="F2607">
        <v>59</v>
      </c>
    </row>
    <row r="2608" spans="1:9" x14ac:dyDescent="0.25">
      <c r="A2608">
        <v>952.90657439445999</v>
      </c>
      <c r="B2608">
        <v>992.89965397925005</v>
      </c>
      <c r="C2608" s="1">
        <f t="shared" si="759"/>
        <v>4.1969570427409675E-2</v>
      </c>
      <c r="D2608">
        <v>12.028520499109</v>
      </c>
      <c r="E2608">
        <v>0.32507043926925999</v>
      </c>
      <c r="F2608">
        <v>60</v>
      </c>
    </row>
    <row r="2609" spans="1:9" x14ac:dyDescent="0.25">
      <c r="A2609">
        <v>952.82698961938002</v>
      </c>
      <c r="B2609">
        <v>984.12456747405997</v>
      </c>
      <c r="C2609" s="1">
        <f t="shared" si="759"/>
        <v>3.2847073178712272E-2</v>
      </c>
      <c r="D2609">
        <v>12.203208556150001</v>
      </c>
      <c r="E2609">
        <v>0.33167606324523002</v>
      </c>
      <c r="F2609">
        <v>68</v>
      </c>
    </row>
    <row r="2610" spans="1:9" x14ac:dyDescent="0.25">
      <c r="A2610">
        <v>941.76124567474005</v>
      </c>
      <c r="B2610">
        <v>996.05882352942001</v>
      </c>
      <c r="C2610" s="1">
        <f t="shared" si="759"/>
        <v>5.7655353842658519E-2</v>
      </c>
      <c r="D2610">
        <v>12.281639928699001</v>
      </c>
      <c r="E2610">
        <v>0.33915131479367</v>
      </c>
      <c r="F2610">
        <v>62</v>
      </c>
    </row>
    <row r="2611" spans="1:9" x14ac:dyDescent="0.25">
      <c r="A2611">
        <v>938.89619377163001</v>
      </c>
      <c r="B2611">
        <v>980.24913494811005</v>
      </c>
      <c r="C2611" s="1">
        <f t="shared" si="759"/>
        <v>4.4044210053042709E-2</v>
      </c>
      <c r="D2611">
        <v>12.085561497325999</v>
      </c>
      <c r="E2611">
        <v>0.33396768658149001</v>
      </c>
      <c r="F2611">
        <v>65</v>
      </c>
    </row>
    <row r="2612" spans="1:9" x14ac:dyDescent="0.25">
      <c r="A2612">
        <v>934.74048442906997</v>
      </c>
      <c r="B2612">
        <v>978.73702422146005</v>
      </c>
      <c r="C2612" s="1">
        <f t="shared" si="759"/>
        <v>4.7068186866071837E-2</v>
      </c>
      <c r="D2612">
        <v>11.789661319073</v>
      </c>
      <c r="E2612">
        <v>0.32493374039489997</v>
      </c>
      <c r="F2612">
        <v>54</v>
      </c>
    </row>
    <row r="2613" spans="1:9" x14ac:dyDescent="0.25">
      <c r="A2613">
        <v>937.41868512111</v>
      </c>
      <c r="B2613">
        <v>987.18685121108001</v>
      </c>
      <c r="C2613" s="1">
        <f t="shared" si="759"/>
        <v>5.3090648692947884E-2</v>
      </c>
      <c r="D2613">
        <v>11.800356506239</v>
      </c>
      <c r="E2613">
        <v>0.32382304619307001</v>
      </c>
      <c r="F2613">
        <v>65</v>
      </c>
    </row>
    <row r="2614" spans="1:9" x14ac:dyDescent="0.25">
      <c r="A2614">
        <v>942.30795847751006</v>
      </c>
      <c r="B2614">
        <v>978.13494809689996</v>
      </c>
      <c r="C2614" s="1">
        <f t="shared" si="759"/>
        <v>3.8020468040273814E-2</v>
      </c>
      <c r="D2614">
        <v>11.964349376114001</v>
      </c>
      <c r="E2614">
        <v>0.32837946986170002</v>
      </c>
      <c r="F2614">
        <v>68</v>
      </c>
    </row>
    <row r="2615" spans="1:9" x14ac:dyDescent="0.25">
      <c r="A2615">
        <v>922.47058823529005</v>
      </c>
      <c r="B2615">
        <v>972.94463667821003</v>
      </c>
      <c r="C2615" s="1">
        <f t="shared" si="759"/>
        <v>5.4716160153656546E-2</v>
      </c>
      <c r="D2615">
        <v>11.575757575758001</v>
      </c>
      <c r="E2615">
        <v>0.32292685077528999</v>
      </c>
      <c r="F2615">
        <v>57</v>
      </c>
    </row>
    <row r="2616" spans="1:9" x14ac:dyDescent="0.25">
      <c r="A2616">
        <v>930.92387543253005</v>
      </c>
      <c r="B2616">
        <v>976.29757785467996</v>
      </c>
      <c r="C2616" s="1">
        <f t="shared" si="759"/>
        <v>4.8740507811197986E-2</v>
      </c>
      <c r="D2616">
        <v>11.711229946524</v>
      </c>
      <c r="E2616">
        <v>0.32351347766330002</v>
      </c>
      <c r="F2616">
        <v>47</v>
      </c>
    </row>
    <row r="2617" spans="1:9" x14ac:dyDescent="0.25">
      <c r="A2617">
        <v>931.93771626297996</v>
      </c>
      <c r="B2617">
        <v>986.31141868512998</v>
      </c>
      <c r="C2617" s="1">
        <f t="shared" si="759"/>
        <v>5.8344781494825249E-2</v>
      </c>
      <c r="D2617">
        <v>11.918003565062</v>
      </c>
      <c r="E2617">
        <v>0.33080568791923998</v>
      </c>
      <c r="F2617">
        <v>79</v>
      </c>
    </row>
    <row r="2618" spans="1:9" x14ac:dyDescent="0.25">
      <c r="A2618">
        <v>951.79584775086005</v>
      </c>
      <c r="B2618">
        <v>993.76470588235998</v>
      </c>
      <c r="C2618" s="1">
        <f t="shared" si="759"/>
        <v>4.4094390861942001E-2</v>
      </c>
      <c r="D2618">
        <v>12.374331550801999</v>
      </c>
      <c r="E2618">
        <v>0.3383612117077</v>
      </c>
      <c r="F2618">
        <v>61</v>
      </c>
    </row>
    <row r="2619" spans="1:9" x14ac:dyDescent="0.25">
      <c r="A2619">
        <v>941.48788927336</v>
      </c>
      <c r="B2619">
        <v>991.93425605537004</v>
      </c>
      <c r="C2619" s="1">
        <f t="shared" si="759"/>
        <v>5.3581535521338042E-2</v>
      </c>
      <c r="D2619">
        <v>12.288770053476</v>
      </c>
      <c r="E2619">
        <v>0.34011971960942999</v>
      </c>
      <c r="F2619">
        <v>54</v>
      </c>
    </row>
    <row r="2620" spans="1:9" x14ac:dyDescent="0.25">
      <c r="A2620">
        <v>940.10380622836999</v>
      </c>
      <c r="B2620">
        <v>976.82006920415995</v>
      </c>
      <c r="C2620" s="1">
        <f t="shared" si="759"/>
        <v>3.9055541241868719E-2</v>
      </c>
      <c r="D2620">
        <v>11.67201426025</v>
      </c>
      <c r="E2620">
        <v>0.31825566857867998</v>
      </c>
      <c r="F2620">
        <v>52</v>
      </c>
      <c r="H2620" t="s">
        <v>17</v>
      </c>
      <c r="I2620">
        <f t="shared" ref="I2620" si="773">STDEVP(A2606:A2625)</f>
        <v>7.854231903553055</v>
      </c>
    </row>
    <row r="2621" spans="1:9" x14ac:dyDescent="0.25">
      <c r="A2621">
        <v>935.51211072664</v>
      </c>
      <c r="B2621">
        <v>985.37370242215002</v>
      </c>
      <c r="C2621" s="1">
        <f t="shared" si="759"/>
        <v>5.3298713211506143E-2</v>
      </c>
      <c r="D2621">
        <v>11.590017825312</v>
      </c>
      <c r="E2621">
        <v>0.31754513839268</v>
      </c>
      <c r="F2621">
        <v>60</v>
      </c>
      <c r="H2621" t="s">
        <v>18</v>
      </c>
      <c r="I2621">
        <f t="shared" ref="I2621" si="774">STDEVP(B2606:B2625)</f>
        <v>7.7913989301862241</v>
      </c>
    </row>
    <row r="2622" spans="1:9" x14ac:dyDescent="0.25">
      <c r="A2622">
        <v>947.79584775086005</v>
      </c>
      <c r="B2622">
        <v>986.14532871972995</v>
      </c>
      <c r="C2622" s="1">
        <f t="shared" si="759"/>
        <v>4.0461752454258981E-2</v>
      </c>
      <c r="D2622">
        <v>12.192513368984001</v>
      </c>
      <c r="E2622">
        <v>0.33346631590709003</v>
      </c>
      <c r="F2622">
        <v>64</v>
      </c>
      <c r="H2622" t="s">
        <v>19</v>
      </c>
      <c r="I2622">
        <f t="shared" ref="I2622" si="775">STDEVP(C2606:C2625)</f>
        <v>7.7415510456411794E-3</v>
      </c>
    </row>
    <row r="2623" spans="1:9" x14ac:dyDescent="0.25">
      <c r="A2623">
        <v>944.51557093426004</v>
      </c>
      <c r="B2623">
        <v>998.71280276818004</v>
      </c>
      <c r="C2623" s="1">
        <f t="shared" si="759"/>
        <v>5.738098290990723E-2</v>
      </c>
      <c r="D2623">
        <v>12.217468805704</v>
      </c>
      <c r="E2623">
        <v>0.33565930604527</v>
      </c>
      <c r="F2623">
        <v>57</v>
      </c>
      <c r="H2623" t="s">
        <v>20</v>
      </c>
      <c r="I2623">
        <f t="shared" ref="I2623" si="776">STDEVP(D2606:D2625)</f>
        <v>0.26511524789790725</v>
      </c>
    </row>
    <row r="2624" spans="1:9" x14ac:dyDescent="0.25">
      <c r="A2624">
        <v>952.68512110726999</v>
      </c>
      <c r="B2624">
        <v>989.80968858132997</v>
      </c>
      <c r="C2624" s="1">
        <f t="shared" si="759"/>
        <v>3.8968350246628702E-2</v>
      </c>
      <c r="D2624">
        <v>12.356506238859</v>
      </c>
      <c r="E2624">
        <v>0.33698098921236003</v>
      </c>
      <c r="F2624">
        <v>58</v>
      </c>
      <c r="H2624" t="s">
        <v>21</v>
      </c>
      <c r="I2624">
        <f t="shared" ref="I2624" si="777">STDEVP(E2606:E2625)</f>
        <v>7.3440786127682289E-3</v>
      </c>
    </row>
    <row r="2625" spans="1:9" x14ac:dyDescent="0.25">
      <c r="A2625">
        <v>939.16262975778</v>
      </c>
      <c r="B2625">
        <v>980.43252595157003</v>
      </c>
      <c r="C2625" s="1">
        <f t="shared" si="759"/>
        <v>4.3943290422910009E-2</v>
      </c>
      <c r="D2625">
        <v>11.611408199643</v>
      </c>
      <c r="E2625">
        <v>0.31682351847728002</v>
      </c>
      <c r="F2625">
        <v>58</v>
      </c>
      <c r="H2625" t="s">
        <v>22</v>
      </c>
      <c r="I2625">
        <f t="shared" ref="I2625" si="778">STDEVP(F2606:F2625)</f>
        <v>6.7349832961930947</v>
      </c>
    </row>
    <row r="2626" spans="1:9" x14ac:dyDescent="0.25">
      <c r="C2626" s="1" t="str">
        <f t="shared" ref="C2626:C2689" si="779">IFERROR((B2626/A2626)-1,"")</f>
        <v/>
      </c>
    </row>
    <row r="2627" spans="1:9" x14ac:dyDescent="0.25">
      <c r="A2627">
        <v>926.64285714285995</v>
      </c>
      <c r="B2627">
        <v>946.84693877552002</v>
      </c>
      <c r="C2627" s="1">
        <f t="shared" si="779"/>
        <v>2.1803526004566365E-2</v>
      </c>
      <c r="D2627">
        <v>9.9090909090908994</v>
      </c>
      <c r="E2627">
        <v>0.26625192006430998</v>
      </c>
      <c r="F2627">
        <v>18</v>
      </c>
    </row>
    <row r="2628" spans="1:9" x14ac:dyDescent="0.25">
      <c r="A2628">
        <v>919.91326530612002</v>
      </c>
      <c r="B2628">
        <v>953.89540816327997</v>
      </c>
      <c r="C2628" s="1">
        <f t="shared" si="779"/>
        <v>3.6940594443816144E-2</v>
      </c>
      <c r="D2628">
        <v>9.9246753246753006</v>
      </c>
      <c r="E2628">
        <v>0.26944568280073</v>
      </c>
      <c r="F2628">
        <v>18</v>
      </c>
    </row>
    <row r="2629" spans="1:9" x14ac:dyDescent="0.25">
      <c r="A2629">
        <v>930.23469387754994</v>
      </c>
      <c r="B2629">
        <v>952.50510204083002</v>
      </c>
      <c r="C2629" s="1">
        <f t="shared" si="779"/>
        <v>2.3940633809785172E-2</v>
      </c>
      <c r="D2629">
        <v>9.9428571428571004</v>
      </c>
      <c r="E2629">
        <v>0.26621501495621003</v>
      </c>
      <c r="F2629">
        <v>19</v>
      </c>
    </row>
    <row r="2630" spans="1:9" x14ac:dyDescent="0.25">
      <c r="A2630">
        <v>923.52551020407998</v>
      </c>
      <c r="B2630">
        <v>956.54846938776996</v>
      </c>
      <c r="C2630" s="1">
        <f t="shared" si="779"/>
        <v>3.5757495400849937E-2</v>
      </c>
      <c r="D2630">
        <v>9.8649350649351</v>
      </c>
      <c r="E2630">
        <v>0.26594829588002999</v>
      </c>
      <c r="F2630">
        <v>19</v>
      </c>
    </row>
    <row r="2631" spans="1:9" x14ac:dyDescent="0.25">
      <c r="A2631">
        <v>918.85714285714005</v>
      </c>
      <c r="B2631">
        <v>955.36224489796996</v>
      </c>
      <c r="C2631" s="1">
        <f t="shared" si="779"/>
        <v>3.9728811300654643E-2</v>
      </c>
      <c r="D2631">
        <v>9.9</v>
      </c>
      <c r="E2631">
        <v>0.2688136137005</v>
      </c>
      <c r="F2631">
        <v>18</v>
      </c>
    </row>
    <row r="2632" spans="1:9" x14ac:dyDescent="0.25">
      <c r="A2632">
        <v>925.75510204082002</v>
      </c>
      <c r="B2632">
        <v>957.51275510205005</v>
      </c>
      <c r="C2632" s="1">
        <f t="shared" si="779"/>
        <v>3.4304594153702794E-2</v>
      </c>
      <c r="D2632">
        <v>9.8766233766233995</v>
      </c>
      <c r="E2632">
        <v>0.26551725679470001</v>
      </c>
      <c r="F2632">
        <v>18</v>
      </c>
    </row>
    <row r="2633" spans="1:9" x14ac:dyDescent="0.25">
      <c r="A2633">
        <v>928.61224489795995</v>
      </c>
      <c r="B2633">
        <v>952.12755102042001</v>
      </c>
      <c r="C2633" s="1">
        <f t="shared" si="779"/>
        <v>2.5323062722529599E-2</v>
      </c>
      <c r="D2633">
        <v>9.7311688311687998</v>
      </c>
      <c r="E2633">
        <v>0.25984617249786002</v>
      </c>
      <c r="F2633">
        <v>19</v>
      </c>
    </row>
    <row r="2634" spans="1:9" x14ac:dyDescent="0.25">
      <c r="A2634">
        <v>933.48469387754994</v>
      </c>
      <c r="B2634">
        <v>965.4668367347</v>
      </c>
      <c r="C2634" s="1">
        <f t="shared" si="779"/>
        <v>3.4261025453241389E-2</v>
      </c>
      <c r="D2634">
        <v>10.033766233766</v>
      </c>
      <c r="E2634">
        <v>0.26810452406618002</v>
      </c>
      <c r="F2634">
        <v>18</v>
      </c>
    </row>
    <row r="2635" spans="1:9" x14ac:dyDescent="0.25">
      <c r="A2635">
        <v>918.31632653061001</v>
      </c>
      <c r="B2635">
        <v>945.64540816327997</v>
      </c>
      <c r="C2635" s="1">
        <f t="shared" si="779"/>
        <v>2.9759986665944371E-2</v>
      </c>
      <c r="D2635">
        <v>9.8961038961039005</v>
      </c>
      <c r="E2635">
        <v>0.26919574933051998</v>
      </c>
      <c r="F2635">
        <v>19</v>
      </c>
    </row>
    <row r="2636" spans="1:9" x14ac:dyDescent="0.25">
      <c r="A2636">
        <v>920.52551020407998</v>
      </c>
      <c r="B2636">
        <v>947.69387755103003</v>
      </c>
      <c r="C2636" s="1">
        <f t="shared" si="779"/>
        <v>2.9513975490941924E-2</v>
      </c>
      <c r="D2636">
        <v>9.8649350649351</v>
      </c>
      <c r="E2636">
        <v>0.26717247011777001</v>
      </c>
      <c r="F2636">
        <v>18</v>
      </c>
    </row>
    <row r="2637" spans="1:9" x14ac:dyDescent="0.25">
      <c r="A2637">
        <v>925.75</v>
      </c>
      <c r="B2637">
        <v>956.86734693878998</v>
      </c>
      <c r="C2637" s="1">
        <f t="shared" si="779"/>
        <v>3.3613121186918615E-2</v>
      </c>
      <c r="D2637">
        <v>9.9</v>
      </c>
      <c r="E2637">
        <v>0.26623914908634</v>
      </c>
      <c r="F2637">
        <v>19</v>
      </c>
    </row>
    <row r="2638" spans="1:9" x14ac:dyDescent="0.25">
      <c r="A2638">
        <v>927.82653061225005</v>
      </c>
      <c r="B2638">
        <v>952.04336734695005</v>
      </c>
      <c r="C2638" s="1">
        <f t="shared" si="779"/>
        <v>2.6100608180194884E-2</v>
      </c>
      <c r="D2638">
        <v>9.9948051948052008</v>
      </c>
      <c r="E2638">
        <v>0.26891990091252999</v>
      </c>
      <c r="F2638">
        <v>19</v>
      </c>
    </row>
    <row r="2639" spans="1:9" x14ac:dyDescent="0.25">
      <c r="A2639">
        <v>920.83673469387998</v>
      </c>
      <c r="B2639">
        <v>950.9668367347</v>
      </c>
      <c r="C2639" s="1">
        <f t="shared" si="779"/>
        <v>3.272035194255829E-2</v>
      </c>
      <c r="D2639">
        <v>9.9025974025974008</v>
      </c>
      <c r="E2639">
        <v>0.26843445622426998</v>
      </c>
      <c r="F2639">
        <v>18</v>
      </c>
    </row>
    <row r="2640" spans="1:9" x14ac:dyDescent="0.25">
      <c r="A2640">
        <v>931.85714285714005</v>
      </c>
      <c r="B2640">
        <v>960.33163265306996</v>
      </c>
      <c r="C2640" s="1">
        <f t="shared" si="779"/>
        <v>3.0556711416757532E-2</v>
      </c>
      <c r="D2640">
        <v>9.9727272727272993</v>
      </c>
      <c r="E2640">
        <v>0.26682042446569998</v>
      </c>
      <c r="F2640">
        <v>19</v>
      </c>
    </row>
    <row r="2641" spans="1:9" x14ac:dyDescent="0.25">
      <c r="A2641">
        <v>927.12755102041001</v>
      </c>
      <c r="B2641">
        <v>959.77806122449999</v>
      </c>
      <c r="C2641" s="1">
        <f t="shared" si="779"/>
        <v>3.5216848176018889E-2</v>
      </c>
      <c r="D2641">
        <v>9.9064935064935007</v>
      </c>
      <c r="E2641">
        <v>0.26601503778197999</v>
      </c>
      <c r="F2641">
        <v>18</v>
      </c>
      <c r="H2641" t="s">
        <v>17</v>
      </c>
      <c r="I2641">
        <f t="shared" ref="I2641" si="780">STDEVP(A2627:A2646)</f>
        <v>4.4987960291842013</v>
      </c>
    </row>
    <row r="2642" spans="1:9" x14ac:dyDescent="0.25">
      <c r="A2642">
        <v>922.67857142856997</v>
      </c>
      <c r="B2642">
        <v>945.60459183674004</v>
      </c>
      <c r="C2642" s="1">
        <f t="shared" si="779"/>
        <v>2.4847244878217989E-2</v>
      </c>
      <c r="D2642">
        <v>9.9545454545454994</v>
      </c>
      <c r="E2642">
        <v>0.26947068743107999</v>
      </c>
      <c r="F2642">
        <v>19</v>
      </c>
      <c r="H2642" t="s">
        <v>18</v>
      </c>
      <c r="I2642">
        <f t="shared" ref="I2642" si="781">STDEVP(B2627:B2646)</f>
        <v>5.1267382005645832</v>
      </c>
    </row>
    <row r="2643" spans="1:9" x14ac:dyDescent="0.25">
      <c r="A2643">
        <v>917.25510204082002</v>
      </c>
      <c r="B2643">
        <v>947.58163265306996</v>
      </c>
      <c r="C2643" s="1">
        <f t="shared" si="779"/>
        <v>3.3062264297877286E-2</v>
      </c>
      <c r="D2643">
        <v>9.7584415584416</v>
      </c>
      <c r="E2643">
        <v>0.26444608925357999</v>
      </c>
      <c r="F2643">
        <v>18</v>
      </c>
      <c r="H2643" t="s">
        <v>19</v>
      </c>
      <c r="I2643">
        <f t="shared" ref="I2643" si="782">STDEVP(C2627:C2646)</f>
        <v>4.8945647014537602E-3</v>
      </c>
    </row>
    <row r="2644" spans="1:9" x14ac:dyDescent="0.25">
      <c r="A2644">
        <v>925.66326530612002</v>
      </c>
      <c r="B2644">
        <v>952.09693877552002</v>
      </c>
      <c r="C2644" s="1">
        <f t="shared" si="779"/>
        <v>2.8556468059319995E-2</v>
      </c>
      <c r="D2644">
        <v>9.7974025974026002</v>
      </c>
      <c r="E2644">
        <v>0.26299624392081999</v>
      </c>
      <c r="F2644">
        <v>19</v>
      </c>
      <c r="H2644" t="s">
        <v>20</v>
      </c>
      <c r="I2644">
        <f t="shared" ref="I2644" si="783">STDEVP(D2627:D2646)</f>
        <v>7.5824889698473896E-2</v>
      </c>
    </row>
    <row r="2645" spans="1:9" x14ac:dyDescent="0.25">
      <c r="A2645">
        <v>928.91326530612002</v>
      </c>
      <c r="B2645">
        <v>950.66836734695005</v>
      </c>
      <c r="C2645" s="1">
        <f t="shared" si="779"/>
        <v>2.3419949798715312E-2</v>
      </c>
      <c r="D2645">
        <v>9.8610389610390001</v>
      </c>
      <c r="E2645">
        <v>0.26387528618138001</v>
      </c>
      <c r="F2645">
        <v>18</v>
      </c>
      <c r="H2645" t="s">
        <v>21</v>
      </c>
      <c r="I2645">
        <f t="shared" ref="I2645" si="784">STDEVP(E2627:E2646)</f>
        <v>2.5566788484285368E-3</v>
      </c>
    </row>
    <row r="2646" spans="1:9" x14ac:dyDescent="0.25">
      <c r="A2646">
        <v>924.58163265305996</v>
      </c>
      <c r="B2646">
        <v>953.51020408164004</v>
      </c>
      <c r="C2646" s="1">
        <f t="shared" si="779"/>
        <v>3.1288282620941077E-2</v>
      </c>
      <c r="D2646">
        <v>10.016883116882999</v>
      </c>
      <c r="E2646">
        <v>0.27092632791464999</v>
      </c>
      <c r="F2646">
        <v>19</v>
      </c>
      <c r="H2646" t="s">
        <v>22</v>
      </c>
      <c r="I2646">
        <f t="shared" ref="I2646" si="785">STDEVP(F2627:F2646)</f>
        <v>0.5</v>
      </c>
    </row>
    <row r="2647" spans="1:9" x14ac:dyDescent="0.25">
      <c r="C2647" s="1" t="str">
        <f t="shared" si="779"/>
        <v/>
      </c>
    </row>
    <row r="2648" spans="1:9" x14ac:dyDescent="0.25">
      <c r="A2648">
        <v>855.0612244898</v>
      </c>
      <c r="B2648">
        <v>883.80867346939999</v>
      </c>
      <c r="C2648" s="1">
        <f t="shared" si="779"/>
        <v>3.3620339873034366E-2</v>
      </c>
      <c r="D2648">
        <v>12.974025974026</v>
      </c>
      <c r="E2648">
        <v>0.42550717636175001</v>
      </c>
      <c r="F2648">
        <v>18</v>
      </c>
    </row>
    <row r="2649" spans="1:9" x14ac:dyDescent="0.25">
      <c r="A2649">
        <v>870.84693877551001</v>
      </c>
      <c r="B2649">
        <v>893.86989795918998</v>
      </c>
      <c r="C2649" s="1">
        <f t="shared" si="779"/>
        <v>2.643743482184413E-2</v>
      </c>
      <c r="D2649">
        <v>12.837662337662</v>
      </c>
      <c r="E2649">
        <v>0.40928898015114001</v>
      </c>
      <c r="F2649">
        <v>18</v>
      </c>
    </row>
    <row r="2650" spans="1:9" x14ac:dyDescent="0.25">
      <c r="A2650">
        <v>859.83163265305996</v>
      </c>
      <c r="B2650">
        <v>887.22704081634004</v>
      </c>
      <c r="C2650" s="1">
        <f t="shared" si="779"/>
        <v>3.186136346106494E-2</v>
      </c>
      <c r="D2650">
        <v>12.971428571429</v>
      </c>
      <c r="E2650">
        <v>0.42275300181865</v>
      </c>
      <c r="F2650">
        <v>18</v>
      </c>
    </row>
    <row r="2651" spans="1:9" x14ac:dyDescent="0.25">
      <c r="A2651">
        <v>857.76530612245006</v>
      </c>
      <c r="B2651">
        <v>889.04081632654004</v>
      </c>
      <c r="C2651" s="1">
        <f t="shared" si="779"/>
        <v>3.6461617158977555E-2</v>
      </c>
      <c r="D2651">
        <v>12.975324675325</v>
      </c>
      <c r="E2651">
        <v>0.42429536771836002</v>
      </c>
      <c r="F2651">
        <v>19</v>
      </c>
    </row>
    <row r="2652" spans="1:9" x14ac:dyDescent="0.25">
      <c r="A2652">
        <v>869.37755102041001</v>
      </c>
      <c r="B2652">
        <v>897.12244897959999</v>
      </c>
      <c r="C2652" s="1">
        <f t="shared" si="779"/>
        <v>3.191352011174553E-2</v>
      </c>
      <c r="D2652">
        <v>13.106493506493999</v>
      </c>
      <c r="E2652">
        <v>0.42284409753953001</v>
      </c>
      <c r="F2652">
        <v>18</v>
      </c>
    </row>
    <row r="2653" spans="1:9" x14ac:dyDescent="0.25">
      <c r="A2653">
        <v>854.65306122448999</v>
      </c>
      <c r="B2653">
        <v>894.35969387755995</v>
      </c>
      <c r="C2653" s="1">
        <f t="shared" si="779"/>
        <v>4.6459358135546802E-2</v>
      </c>
      <c r="D2653">
        <v>12.898701298701001</v>
      </c>
      <c r="E2653">
        <v>0.42301682466850998</v>
      </c>
      <c r="F2653">
        <v>18</v>
      </c>
    </row>
    <row r="2654" spans="1:9" x14ac:dyDescent="0.25">
      <c r="A2654">
        <v>859.64795918366997</v>
      </c>
      <c r="B2654">
        <v>895.59948979593003</v>
      </c>
      <c r="C2654" s="1">
        <f t="shared" si="779"/>
        <v>4.1821224872562901E-2</v>
      </c>
      <c r="D2654">
        <v>12.967532467531999</v>
      </c>
      <c r="E2654">
        <v>0.42234459922884998</v>
      </c>
      <c r="F2654">
        <v>19</v>
      </c>
    </row>
    <row r="2655" spans="1:9" x14ac:dyDescent="0.25">
      <c r="A2655">
        <v>856.14285714285995</v>
      </c>
      <c r="B2655">
        <v>890.31632653063002</v>
      </c>
      <c r="C2655" s="1">
        <f t="shared" si="779"/>
        <v>3.9915615837541996E-2</v>
      </c>
      <c r="D2655">
        <v>13.281818181818</v>
      </c>
      <c r="E2655">
        <v>0.43988391776347002</v>
      </c>
      <c r="F2655">
        <v>18</v>
      </c>
    </row>
    <row r="2656" spans="1:9" x14ac:dyDescent="0.25">
      <c r="A2656">
        <v>847.26530612245006</v>
      </c>
      <c r="B2656">
        <v>883.19897959185005</v>
      </c>
      <c r="C2656" s="1">
        <f t="shared" si="779"/>
        <v>4.241135947587904E-2</v>
      </c>
      <c r="D2656">
        <v>12.757142857143</v>
      </c>
      <c r="E2656">
        <v>0.42119829818054</v>
      </c>
      <c r="F2656">
        <v>18</v>
      </c>
    </row>
    <row r="2657" spans="1:9" x14ac:dyDescent="0.25">
      <c r="A2657">
        <v>852.62755102041001</v>
      </c>
      <c r="B2657">
        <v>885.56887755103003</v>
      </c>
      <c r="C2657" s="1">
        <f t="shared" si="779"/>
        <v>3.8635071657250997E-2</v>
      </c>
      <c r="D2657">
        <v>13.242857142857</v>
      </c>
      <c r="E2657">
        <v>0.44012610793579998</v>
      </c>
      <c r="F2657">
        <v>19</v>
      </c>
    </row>
    <row r="2658" spans="1:9" x14ac:dyDescent="0.25">
      <c r="A2658">
        <v>863.21428571428999</v>
      </c>
      <c r="B2658">
        <v>894.60204081634004</v>
      </c>
      <c r="C2658" s="1">
        <f t="shared" si="779"/>
        <v>3.6361487085535771E-2</v>
      </c>
      <c r="D2658">
        <v>13.227272727273</v>
      </c>
      <c r="E2658">
        <v>0.43175452150360999</v>
      </c>
      <c r="F2658">
        <v>18</v>
      </c>
    </row>
    <row r="2659" spans="1:9" x14ac:dyDescent="0.25">
      <c r="A2659">
        <v>860.13775510204005</v>
      </c>
      <c r="B2659">
        <v>898.64285714286996</v>
      </c>
      <c r="C2659" s="1">
        <f t="shared" si="779"/>
        <v>4.4766203799834425E-2</v>
      </c>
      <c r="D2659">
        <v>13.168831168831</v>
      </c>
      <c r="E2659">
        <v>0.43203647767116998</v>
      </c>
      <c r="F2659">
        <v>18</v>
      </c>
    </row>
    <row r="2660" spans="1:9" x14ac:dyDescent="0.25">
      <c r="A2660">
        <v>851.98469387754994</v>
      </c>
      <c r="B2660">
        <v>881.04591836735995</v>
      </c>
      <c r="C2660" s="1">
        <f t="shared" si="779"/>
        <v>3.4110031199676483E-2</v>
      </c>
      <c r="D2660">
        <v>12.806493506494</v>
      </c>
      <c r="E2660">
        <v>0.42013882162118998</v>
      </c>
      <c r="F2660">
        <v>18</v>
      </c>
    </row>
    <row r="2661" spans="1:9" x14ac:dyDescent="0.25">
      <c r="A2661">
        <v>852.26020408163004</v>
      </c>
      <c r="B2661">
        <v>886.34183673471</v>
      </c>
      <c r="C2661" s="1">
        <f t="shared" si="779"/>
        <v>3.9989703250083553E-2</v>
      </c>
      <c r="D2661">
        <v>13.189610389609999</v>
      </c>
      <c r="E2661">
        <v>0.43796604057845001</v>
      </c>
      <c r="F2661">
        <v>19</v>
      </c>
    </row>
    <row r="2662" spans="1:9" x14ac:dyDescent="0.25">
      <c r="A2662">
        <v>860.84183673468999</v>
      </c>
      <c r="B2662">
        <v>898.00510204083002</v>
      </c>
      <c r="C2662" s="1">
        <f t="shared" si="779"/>
        <v>4.3170840124483467E-2</v>
      </c>
      <c r="D2662">
        <v>13.051948051947999</v>
      </c>
      <c r="E2662">
        <v>0.42543663581514002</v>
      </c>
      <c r="F2662">
        <v>18</v>
      </c>
      <c r="H2662" t="s">
        <v>17</v>
      </c>
      <c r="I2662">
        <f t="shared" ref="I2662" si="786">STDEVP(A2648:A2667)</f>
        <v>5.8502323593930576</v>
      </c>
    </row>
    <row r="2663" spans="1:9" x14ac:dyDescent="0.25">
      <c r="A2663">
        <v>854.51530612245006</v>
      </c>
      <c r="B2663">
        <v>887.36224489796996</v>
      </c>
      <c r="C2663" s="1">
        <f t="shared" si="779"/>
        <v>3.8439263217612929E-2</v>
      </c>
      <c r="D2663">
        <v>12.893506493506001</v>
      </c>
      <c r="E2663">
        <v>0.42264881471651</v>
      </c>
      <c r="F2663">
        <v>18</v>
      </c>
      <c r="H2663" t="s">
        <v>18</v>
      </c>
      <c r="I2663">
        <f t="shared" ref="I2663" si="787">STDEVP(B2648:B2667)</f>
        <v>5.0178844994604432</v>
      </c>
    </row>
    <row r="2664" spans="1:9" x14ac:dyDescent="0.25">
      <c r="A2664">
        <v>860.98979591836996</v>
      </c>
      <c r="B2664">
        <v>893.39795918368998</v>
      </c>
      <c r="C2664" s="1">
        <f t="shared" si="779"/>
        <v>3.764058926012237E-2</v>
      </c>
      <c r="D2664">
        <v>12.828571428570999</v>
      </c>
      <c r="E2664">
        <v>0.41511015377373001</v>
      </c>
      <c r="F2664">
        <v>19</v>
      </c>
      <c r="H2664" t="s">
        <v>19</v>
      </c>
      <c r="I2664">
        <f t="shared" ref="I2664" si="788">STDEVP(C2648:C2667)</f>
        <v>5.0106048277117777E-3</v>
      </c>
    </row>
    <row r="2665" spans="1:9" x14ac:dyDescent="0.25">
      <c r="A2665">
        <v>854.97959183674004</v>
      </c>
      <c r="B2665">
        <v>889.38520408165004</v>
      </c>
      <c r="C2665" s="1">
        <f t="shared" si="779"/>
        <v>4.0241442688704332E-2</v>
      </c>
      <c r="D2665">
        <v>12.920779220779</v>
      </c>
      <c r="E2665">
        <v>0.42378234740614001</v>
      </c>
      <c r="F2665">
        <v>18</v>
      </c>
      <c r="H2665" t="s">
        <v>20</v>
      </c>
      <c r="I2665">
        <f t="shared" ref="I2665" si="789">STDEVP(D2648:D2667)</f>
        <v>0.15594742249630153</v>
      </c>
    </row>
    <row r="2666" spans="1:9" x14ac:dyDescent="0.25">
      <c r="A2666">
        <v>863.4693877551</v>
      </c>
      <c r="B2666">
        <v>891.2168367347</v>
      </c>
      <c r="C2666" s="1">
        <f t="shared" si="779"/>
        <v>3.2134838099749485E-2</v>
      </c>
      <c r="D2666">
        <v>12.931168831169</v>
      </c>
      <c r="E2666">
        <v>0.41894243578134999</v>
      </c>
      <c r="F2666">
        <v>18</v>
      </c>
      <c r="H2666" t="s">
        <v>21</v>
      </c>
      <c r="I2666">
        <f t="shared" ref="I2666" si="790">STDEVP(E2648:E2667)</f>
        <v>7.6762109314544424E-3</v>
      </c>
    </row>
    <row r="2667" spans="1:9" x14ac:dyDescent="0.25">
      <c r="A2667">
        <v>865.30612244897998</v>
      </c>
      <c r="B2667">
        <v>893.06377551021001</v>
      </c>
      <c r="C2667" s="1">
        <f t="shared" si="779"/>
        <v>3.2078419811327086E-2</v>
      </c>
      <c r="D2667">
        <v>13.179220779221</v>
      </c>
      <c r="E2667">
        <v>0.42953267673831003</v>
      </c>
      <c r="F2667">
        <v>19</v>
      </c>
      <c r="H2667" t="s">
        <v>22</v>
      </c>
      <c r="I2667">
        <f t="shared" ref="I2667" si="791">STDEVP(F2648:F2667)</f>
        <v>0.45825756949558394</v>
      </c>
    </row>
    <row r="2668" spans="1:9" x14ac:dyDescent="0.25">
      <c r="C2668" s="1" t="str">
        <f t="shared" si="779"/>
        <v/>
      </c>
    </row>
    <row r="2669" spans="1:9" x14ac:dyDescent="0.25">
      <c r="A2669">
        <v>647.34027777777999</v>
      </c>
      <c r="B2669">
        <v>679.56944444444002</v>
      </c>
      <c r="C2669" s="1">
        <f t="shared" si="779"/>
        <v>4.9787056009086728E-2</v>
      </c>
      <c r="D2669">
        <v>9.3067375886524992</v>
      </c>
      <c r="E2669">
        <v>0.39375969897403001</v>
      </c>
      <c r="F2669">
        <v>16</v>
      </c>
    </row>
    <row r="2670" spans="1:9" x14ac:dyDescent="0.25">
      <c r="A2670">
        <v>660.8125</v>
      </c>
      <c r="B2670">
        <v>684.29166666666003</v>
      </c>
      <c r="C2670" s="1">
        <f t="shared" si="779"/>
        <v>3.5530754437393508E-2</v>
      </c>
      <c r="D2670">
        <v>9.3351063829787009</v>
      </c>
      <c r="E2670">
        <v>0.38310410396394001</v>
      </c>
      <c r="F2670">
        <v>16</v>
      </c>
    </row>
    <row r="2671" spans="1:9" x14ac:dyDescent="0.25">
      <c r="A2671">
        <v>658.20138888889005</v>
      </c>
      <c r="B2671">
        <v>700.01388888888005</v>
      </c>
      <c r="C2671" s="1">
        <f t="shared" si="779"/>
        <v>6.3525390109816726E-2</v>
      </c>
      <c r="D2671">
        <v>9.5443262411348009</v>
      </c>
      <c r="E2671">
        <v>0.39798297092182</v>
      </c>
      <c r="F2671">
        <v>17</v>
      </c>
    </row>
    <row r="2672" spans="1:9" x14ac:dyDescent="0.25">
      <c r="A2672">
        <v>647.70833333332996</v>
      </c>
      <c r="B2672">
        <v>687.54513888888005</v>
      </c>
      <c r="C2672" s="1">
        <f t="shared" si="779"/>
        <v>6.1504235016610398E-2</v>
      </c>
      <c r="D2672">
        <v>9.0638297872340008</v>
      </c>
      <c r="E2672">
        <v>0.38048808979241999</v>
      </c>
      <c r="F2672">
        <v>16</v>
      </c>
    </row>
    <row r="2673" spans="1:9" x14ac:dyDescent="0.25">
      <c r="A2673">
        <v>655.54166666667004</v>
      </c>
      <c r="B2673">
        <v>691.61458333331996</v>
      </c>
      <c r="C2673" s="1">
        <f t="shared" si="779"/>
        <v>5.5027648890840553E-2</v>
      </c>
      <c r="D2673">
        <v>9.2978723404254993</v>
      </c>
      <c r="E2673">
        <v>0.38631431632580998</v>
      </c>
      <c r="F2673">
        <v>16</v>
      </c>
    </row>
    <row r="2674" spans="1:9" x14ac:dyDescent="0.25">
      <c r="A2674">
        <v>651.26388888889005</v>
      </c>
      <c r="B2674">
        <v>687.15624999999</v>
      </c>
      <c r="C2674" s="1">
        <f t="shared" si="779"/>
        <v>5.5111855153423761E-2</v>
      </c>
      <c r="D2674">
        <v>9.1560283687942992</v>
      </c>
      <c r="E2674">
        <v>0.38145141050511</v>
      </c>
      <c r="F2674">
        <v>17</v>
      </c>
    </row>
    <row r="2675" spans="1:9" x14ac:dyDescent="0.25">
      <c r="A2675">
        <v>656.85416666667004</v>
      </c>
      <c r="B2675">
        <v>692.48263888888005</v>
      </c>
      <c r="C2675" s="1">
        <f t="shared" si="779"/>
        <v>5.4241069068669212E-2</v>
      </c>
      <c r="D2675">
        <v>9.4308510638298007</v>
      </c>
      <c r="E2675">
        <v>0.39329158636165001</v>
      </c>
      <c r="F2675">
        <v>16</v>
      </c>
    </row>
    <row r="2676" spans="1:9" x14ac:dyDescent="0.25">
      <c r="A2676">
        <v>659.95833333332996</v>
      </c>
      <c r="B2676">
        <v>691.23263888888005</v>
      </c>
      <c r="C2676" s="1">
        <f t="shared" si="779"/>
        <v>4.7388303133607312E-2</v>
      </c>
      <c r="D2676">
        <v>9.6489361702127994</v>
      </c>
      <c r="E2676">
        <v>0.40280596448042</v>
      </c>
      <c r="F2676">
        <v>16</v>
      </c>
    </row>
    <row r="2677" spans="1:9" x14ac:dyDescent="0.25">
      <c r="A2677">
        <v>650.28472222222001</v>
      </c>
      <c r="B2677">
        <v>688.99305555554997</v>
      </c>
      <c r="C2677" s="1">
        <f t="shared" si="779"/>
        <v>5.9525207975134053E-2</v>
      </c>
      <c r="D2677">
        <v>9.2464539007092004</v>
      </c>
      <c r="E2677">
        <v>0.38742531444791001</v>
      </c>
      <c r="F2677">
        <v>16</v>
      </c>
    </row>
    <row r="2678" spans="1:9" x14ac:dyDescent="0.25">
      <c r="A2678">
        <v>661.22222222222001</v>
      </c>
      <c r="B2678">
        <v>695.56597222221001</v>
      </c>
      <c r="C2678" s="1">
        <f t="shared" si="779"/>
        <v>5.1939800033592887E-2</v>
      </c>
      <c r="D2678">
        <v>9.6347517730496008</v>
      </c>
      <c r="E2678">
        <v>0.40143969703560001</v>
      </c>
      <c r="F2678">
        <v>16</v>
      </c>
    </row>
    <row r="2679" spans="1:9" x14ac:dyDescent="0.25">
      <c r="A2679">
        <v>650.69444444444002</v>
      </c>
      <c r="B2679">
        <v>681.44791666666003</v>
      </c>
      <c r="C2679" s="1">
        <f t="shared" si="779"/>
        <v>4.7262540021341559E-2</v>
      </c>
      <c r="D2679">
        <v>9.2269503546098992</v>
      </c>
      <c r="E2679">
        <v>0.38547304832443002</v>
      </c>
      <c r="F2679">
        <v>17</v>
      </c>
    </row>
    <row r="2680" spans="1:9" x14ac:dyDescent="0.25">
      <c r="A2680">
        <v>659.49305555555998</v>
      </c>
      <c r="B2680">
        <v>692.04513888888005</v>
      </c>
      <c r="C2680" s="1">
        <f t="shared" si="779"/>
        <v>4.9359251108259228E-2</v>
      </c>
      <c r="D2680">
        <v>9.6294326241135</v>
      </c>
      <c r="E2680">
        <v>0.40237868788615999</v>
      </c>
      <c r="F2680">
        <v>16</v>
      </c>
    </row>
    <row r="2681" spans="1:9" x14ac:dyDescent="0.25">
      <c r="A2681">
        <v>652.34027777777999</v>
      </c>
      <c r="B2681">
        <v>686.01736111109994</v>
      </c>
      <c r="C2681" s="1">
        <f t="shared" si="779"/>
        <v>5.1625025282881598E-2</v>
      </c>
      <c r="D2681">
        <v>9.1684397163121005</v>
      </c>
      <c r="E2681">
        <v>0.38133816475221999</v>
      </c>
      <c r="F2681">
        <v>16</v>
      </c>
    </row>
    <row r="2682" spans="1:9" x14ac:dyDescent="0.25">
      <c r="A2682">
        <v>652.95833333332996</v>
      </c>
      <c r="B2682">
        <v>679.19097222221001</v>
      </c>
      <c r="C2682" s="1">
        <f t="shared" si="779"/>
        <v>4.017505796267784E-2</v>
      </c>
      <c r="D2682">
        <v>9.3404255319148994</v>
      </c>
      <c r="E2682">
        <v>0.39100343851856001</v>
      </c>
      <c r="F2682">
        <v>16</v>
      </c>
    </row>
    <row r="2683" spans="1:9" x14ac:dyDescent="0.25">
      <c r="A2683">
        <v>657.54166666667004</v>
      </c>
      <c r="B2683">
        <v>686.52083333332996</v>
      </c>
      <c r="C2683" s="1">
        <f t="shared" si="779"/>
        <v>4.4071985298766547E-2</v>
      </c>
      <c r="D2683">
        <v>9.3085106382978999</v>
      </c>
      <c r="E2683">
        <v>0.38468958496038003</v>
      </c>
      <c r="F2683">
        <v>17</v>
      </c>
      <c r="H2683" t="s">
        <v>17</v>
      </c>
      <c r="I2683">
        <f t="shared" ref="I2683" si="792">STDEVP(A2669:A2688)</f>
        <v>5.2363178285895344</v>
      </c>
    </row>
    <row r="2684" spans="1:9" x14ac:dyDescent="0.25">
      <c r="A2684">
        <v>661.14583333332996</v>
      </c>
      <c r="B2684">
        <v>688.34027777776998</v>
      </c>
      <c r="C2684" s="1">
        <f t="shared" si="779"/>
        <v>4.1132293471975112E-2</v>
      </c>
      <c r="D2684">
        <v>9.3882978723404005</v>
      </c>
      <c r="E2684">
        <v>0.38694691113717</v>
      </c>
      <c r="F2684">
        <v>16</v>
      </c>
      <c r="H2684" t="s">
        <v>18</v>
      </c>
      <c r="I2684">
        <f t="shared" ref="I2684" si="793">STDEVP(B2669:B2688)</f>
        <v>6.5800428276716749</v>
      </c>
    </row>
    <row r="2685" spans="1:9" x14ac:dyDescent="0.25">
      <c r="A2685">
        <v>662.68055555555998</v>
      </c>
      <c r="B2685">
        <v>696.11805555554997</v>
      </c>
      <c r="C2685" s="1">
        <f t="shared" si="779"/>
        <v>5.0457946471596182E-2</v>
      </c>
      <c r="D2685">
        <v>9.6241134751772996</v>
      </c>
      <c r="E2685">
        <v>0.39984842433258</v>
      </c>
      <c r="F2685">
        <v>16</v>
      </c>
      <c r="H2685" t="s">
        <v>19</v>
      </c>
      <c r="I2685">
        <f t="shared" ref="I2685" si="794">STDEVP(C2669:C2688)</f>
        <v>7.2750206667724681E-3</v>
      </c>
    </row>
    <row r="2686" spans="1:9" x14ac:dyDescent="0.25">
      <c r="A2686">
        <v>654.45138888889005</v>
      </c>
      <c r="B2686">
        <v>693.78472222221001</v>
      </c>
      <c r="C2686" s="1">
        <f t="shared" si="779"/>
        <v>6.0101229825639146E-2</v>
      </c>
      <c r="D2686">
        <v>9.3102836879433006</v>
      </c>
      <c r="E2686">
        <v>0.38817973203161998</v>
      </c>
      <c r="F2686">
        <v>16</v>
      </c>
      <c r="H2686" t="s">
        <v>20</v>
      </c>
      <c r="I2686">
        <f t="shared" ref="I2686" si="795">STDEVP(D2669:D2688)</f>
        <v>0.17426164774602712</v>
      </c>
    </row>
    <row r="2687" spans="1:9" x14ac:dyDescent="0.25">
      <c r="A2687">
        <v>667.00694444444002</v>
      </c>
      <c r="B2687">
        <v>705.87847222221001</v>
      </c>
      <c r="C2687" s="1">
        <f t="shared" si="779"/>
        <v>5.8277545835968336E-2</v>
      </c>
      <c r="D2687">
        <v>9.5726950354610008</v>
      </c>
      <c r="E2687">
        <v>0.39198409251575</v>
      </c>
      <c r="F2687">
        <v>17</v>
      </c>
      <c r="H2687" t="s">
        <v>21</v>
      </c>
      <c r="I2687">
        <f t="shared" ref="I2687" si="796">STDEVP(E2669:E2688)</f>
        <v>7.1372188152188619E-3</v>
      </c>
    </row>
    <row r="2688" spans="1:9" x14ac:dyDescent="0.25">
      <c r="A2688">
        <v>660.56944444444002</v>
      </c>
      <c r="B2688">
        <v>696.32291666666003</v>
      </c>
      <c r="C2688" s="1">
        <f t="shared" si="779"/>
        <v>5.4125228653725932E-2</v>
      </c>
      <c r="D2688">
        <v>9.5248226950354997</v>
      </c>
      <c r="E2688">
        <v>0.39482069887413002</v>
      </c>
      <c r="F2688">
        <v>16</v>
      </c>
      <c r="H2688" t="s">
        <v>22</v>
      </c>
      <c r="I2688">
        <f t="shared" ref="I2688" si="797">STDEVP(F2669:F2688)</f>
        <v>0.4330127018922193</v>
      </c>
    </row>
    <row r="2689" spans="1:9" x14ac:dyDescent="0.25">
      <c r="C2689" s="1" t="str">
        <f t="shared" si="779"/>
        <v/>
      </c>
    </row>
    <row r="2690" spans="1:9" x14ac:dyDescent="0.25">
      <c r="A2690">
        <v>934.21433267586997</v>
      </c>
      <c r="B2690">
        <v>982.70216962526001</v>
      </c>
      <c r="C2690" s="1">
        <f t="shared" ref="C2690:C2753" si="798">IFERROR((B2690/A2690)-1,"")</f>
        <v>5.1902261882994516E-2</v>
      </c>
      <c r="D2690">
        <v>12.860998650472</v>
      </c>
      <c r="E2690">
        <v>0.36771164011219998</v>
      </c>
      <c r="F2690">
        <v>16</v>
      </c>
    </row>
    <row r="2691" spans="1:9" x14ac:dyDescent="0.25">
      <c r="A2691">
        <v>946.54043392505002</v>
      </c>
      <c r="B2691">
        <v>995.24391847469997</v>
      </c>
      <c r="C2691" s="1">
        <f t="shared" si="798"/>
        <v>5.1454203966427192E-2</v>
      </c>
      <c r="D2691">
        <v>12.898785425101</v>
      </c>
      <c r="E2691">
        <v>0.36224324864398999</v>
      </c>
      <c r="F2691">
        <v>16</v>
      </c>
    </row>
    <row r="2692" spans="1:9" x14ac:dyDescent="0.25">
      <c r="A2692">
        <v>924.61143984220996</v>
      </c>
      <c r="B2692">
        <v>971.05719921106004</v>
      </c>
      <c r="C2692" s="1">
        <f t="shared" si="798"/>
        <v>5.0232732764777799E-2</v>
      </c>
      <c r="D2692">
        <v>12.623481781377</v>
      </c>
      <c r="E2692">
        <v>0.36340130964987</v>
      </c>
      <c r="F2692">
        <v>16</v>
      </c>
    </row>
    <row r="2693" spans="1:9" x14ac:dyDescent="0.25">
      <c r="A2693">
        <v>934.22748191978997</v>
      </c>
      <c r="B2693">
        <v>976.24194608811001</v>
      </c>
      <c r="C2693" s="1">
        <f t="shared" si="798"/>
        <v>4.4972413016562518E-2</v>
      </c>
      <c r="D2693">
        <v>13.098515519568</v>
      </c>
      <c r="E2693">
        <v>0.37724647336772998</v>
      </c>
      <c r="F2693">
        <v>16</v>
      </c>
    </row>
    <row r="2694" spans="1:9" x14ac:dyDescent="0.25">
      <c r="A2694">
        <v>939.80670611439996</v>
      </c>
      <c r="B2694">
        <v>981.49506903353995</v>
      </c>
      <c r="C2694" s="1">
        <f t="shared" si="798"/>
        <v>4.4358443760738053E-2</v>
      </c>
      <c r="D2694">
        <v>13.182186234817999</v>
      </c>
      <c r="E2694">
        <v>0.37781575953798002</v>
      </c>
      <c r="F2694">
        <v>17</v>
      </c>
    </row>
    <row r="2695" spans="1:9" x14ac:dyDescent="0.25">
      <c r="A2695">
        <v>932.21827744904999</v>
      </c>
      <c r="B2695">
        <v>977.96055226826002</v>
      </c>
      <c r="C2695" s="1">
        <f t="shared" si="798"/>
        <v>4.9068202078573764E-2</v>
      </c>
      <c r="D2695">
        <v>12.974358974358999</v>
      </c>
      <c r="E2695">
        <v>0.37309172974812999</v>
      </c>
      <c r="F2695">
        <v>16</v>
      </c>
    </row>
    <row r="2696" spans="1:9" x14ac:dyDescent="0.25">
      <c r="A2696">
        <v>932.75739644969997</v>
      </c>
      <c r="B2696">
        <v>980.11702827089005</v>
      </c>
      <c r="C2696" s="1">
        <f t="shared" si="798"/>
        <v>5.0773793916244703E-2</v>
      </c>
      <c r="D2696">
        <v>13.028340080972001</v>
      </c>
      <c r="E2696">
        <v>0.37493827235228999</v>
      </c>
      <c r="F2696">
        <v>16</v>
      </c>
    </row>
    <row r="2697" spans="1:9" x14ac:dyDescent="0.25">
      <c r="A2697">
        <v>940.65877712032</v>
      </c>
      <c r="B2697">
        <v>978.49572649573997</v>
      </c>
      <c r="C2697" s="1">
        <f t="shared" si="798"/>
        <v>4.0223883830916796E-2</v>
      </c>
      <c r="D2697">
        <v>13.141700404858</v>
      </c>
      <c r="E2697">
        <v>0.37501741671650002</v>
      </c>
      <c r="F2697">
        <v>16</v>
      </c>
    </row>
    <row r="2698" spans="1:9" x14ac:dyDescent="0.25">
      <c r="A2698">
        <v>924.90335305719998</v>
      </c>
      <c r="B2698">
        <v>972.33004602236997</v>
      </c>
      <c r="C2698" s="1">
        <f t="shared" si="798"/>
        <v>5.1277458134846743E-2</v>
      </c>
      <c r="D2698">
        <v>12.485829959514</v>
      </c>
      <c r="E2698">
        <v>0.35769325331856999</v>
      </c>
      <c r="F2698">
        <v>16</v>
      </c>
    </row>
    <row r="2699" spans="1:9" x14ac:dyDescent="0.25">
      <c r="A2699">
        <v>941.24391847468996</v>
      </c>
      <c r="B2699">
        <v>981.56344510192002</v>
      </c>
      <c r="C2699" s="1">
        <f t="shared" si="798"/>
        <v>4.2836427238296393E-2</v>
      </c>
      <c r="D2699">
        <v>12.974358974358999</v>
      </c>
      <c r="E2699">
        <v>0.36839687889237999</v>
      </c>
      <c r="F2699">
        <v>16</v>
      </c>
    </row>
    <row r="2700" spans="1:9" x14ac:dyDescent="0.25">
      <c r="A2700">
        <v>927.74884944116002</v>
      </c>
      <c r="B2700">
        <v>969.39119000659002</v>
      </c>
      <c r="C2700" s="1">
        <f t="shared" si="798"/>
        <v>4.4885359427299543E-2</v>
      </c>
      <c r="D2700">
        <v>12.642375168691</v>
      </c>
      <c r="E2700">
        <v>0.36243759490593003</v>
      </c>
      <c r="F2700">
        <v>17</v>
      </c>
    </row>
    <row r="2701" spans="1:9" x14ac:dyDescent="0.25">
      <c r="A2701">
        <v>935.37541091387004</v>
      </c>
      <c r="B2701">
        <v>991.70808678501999</v>
      </c>
      <c r="C2701" s="1">
        <f t="shared" si="798"/>
        <v>6.022467045195512E-2</v>
      </c>
      <c r="D2701">
        <v>13.033738191633001</v>
      </c>
      <c r="E2701">
        <v>0.37430185517492998</v>
      </c>
      <c r="F2701">
        <v>16</v>
      </c>
    </row>
    <row r="2702" spans="1:9" x14ac:dyDescent="0.25">
      <c r="A2702">
        <v>924.45759368836002</v>
      </c>
      <c r="B2702">
        <v>964.32478632480002</v>
      </c>
      <c r="C2702" s="1">
        <f t="shared" si="798"/>
        <v>4.31249555508324E-2</v>
      </c>
      <c r="D2702">
        <v>12.518218623481999</v>
      </c>
      <c r="E2702">
        <v>0.35938138427442001</v>
      </c>
      <c r="F2702">
        <v>16</v>
      </c>
    </row>
    <row r="2703" spans="1:9" x14ac:dyDescent="0.25">
      <c r="A2703">
        <v>949.36226166995004</v>
      </c>
      <c r="B2703">
        <v>979.52531229454996</v>
      </c>
      <c r="C2703" s="1">
        <f t="shared" si="798"/>
        <v>3.1771908198185983E-2</v>
      </c>
      <c r="D2703">
        <v>13.006747638327001</v>
      </c>
      <c r="E2703">
        <v>0.36528862106900001</v>
      </c>
      <c r="F2703">
        <v>16</v>
      </c>
    </row>
    <row r="2704" spans="1:9" x14ac:dyDescent="0.25">
      <c r="A2704">
        <v>929.39381985535999</v>
      </c>
      <c r="B2704">
        <v>967.50164365549995</v>
      </c>
      <c r="C2704" s="1">
        <f t="shared" si="798"/>
        <v>4.100288057227508E-2</v>
      </c>
      <c r="D2704">
        <v>12.439946018893</v>
      </c>
      <c r="E2704">
        <v>0.35370055062120997</v>
      </c>
      <c r="F2704">
        <v>17</v>
      </c>
      <c r="H2704" t="s">
        <v>17</v>
      </c>
      <c r="I2704">
        <f t="shared" ref="I2704" si="799">STDEVP(A2690:A2709)</f>
        <v>7.0361759176868732</v>
      </c>
    </row>
    <row r="2705" spans="1:9" x14ac:dyDescent="0.25">
      <c r="A2705">
        <v>938.28665351741995</v>
      </c>
      <c r="B2705">
        <v>978.56804733728995</v>
      </c>
      <c r="C2705" s="1">
        <f t="shared" si="798"/>
        <v>4.29307969679249E-2</v>
      </c>
      <c r="D2705">
        <v>13.114709851552</v>
      </c>
      <c r="E2705">
        <v>0.37536108639459997</v>
      </c>
      <c r="F2705">
        <v>16</v>
      </c>
      <c r="H2705" t="s">
        <v>18</v>
      </c>
      <c r="I2705">
        <f t="shared" ref="I2705" si="800">STDEVP(B2690:B2709)</f>
        <v>7.3663726197537764</v>
      </c>
    </row>
    <row r="2706" spans="1:9" x14ac:dyDescent="0.25">
      <c r="A2706">
        <v>935.14924391847001</v>
      </c>
      <c r="B2706">
        <v>983.15976331362003</v>
      </c>
      <c r="C2706" s="1">
        <f t="shared" si="798"/>
        <v>5.1339954245138486E-2</v>
      </c>
      <c r="D2706">
        <v>13.095816464238</v>
      </c>
      <c r="E2706">
        <v>0.376581612851</v>
      </c>
      <c r="F2706">
        <v>16</v>
      </c>
      <c r="H2706" t="s">
        <v>19</v>
      </c>
      <c r="I2706">
        <f t="shared" ref="I2706" si="801">STDEVP(C2690:C2709)</f>
        <v>6.5862104700805443E-3</v>
      </c>
    </row>
    <row r="2707" spans="1:9" x14ac:dyDescent="0.25">
      <c r="A2707">
        <v>930.13149243918997</v>
      </c>
      <c r="B2707">
        <v>970.33530571993003</v>
      </c>
      <c r="C2707" s="1">
        <f t="shared" si="798"/>
        <v>4.3223795353180661E-2</v>
      </c>
      <c r="D2707">
        <v>12.375168690958001</v>
      </c>
      <c r="E2707">
        <v>0.35094842331611997</v>
      </c>
      <c r="F2707">
        <v>16</v>
      </c>
      <c r="H2707" t="s">
        <v>20</v>
      </c>
      <c r="I2707">
        <f t="shared" ref="I2707" si="802">STDEVP(D2690:D2709)</f>
        <v>0.25405305449919968</v>
      </c>
    </row>
    <row r="2708" spans="1:9" x14ac:dyDescent="0.25">
      <c r="A2708">
        <v>945.08612754767</v>
      </c>
      <c r="B2708">
        <v>975.41222879685995</v>
      </c>
      <c r="C2708" s="1">
        <f t="shared" si="798"/>
        <v>3.2088187907149512E-2</v>
      </c>
      <c r="D2708">
        <v>13.071524966262</v>
      </c>
      <c r="E2708">
        <v>0.37011704527587003</v>
      </c>
      <c r="F2708">
        <v>16</v>
      </c>
      <c r="H2708" t="s">
        <v>21</v>
      </c>
      <c r="I2708">
        <f t="shared" ref="I2708" si="803">STDEVP(E2690:E2709)</f>
        <v>7.921438934234212E-3</v>
      </c>
    </row>
    <row r="2709" spans="1:9" x14ac:dyDescent="0.25">
      <c r="A2709">
        <v>936.21564760026001</v>
      </c>
      <c r="B2709">
        <v>977.77909270218004</v>
      </c>
      <c r="C2709" s="1">
        <f t="shared" si="798"/>
        <v>4.4395161743404854E-2</v>
      </c>
      <c r="D2709">
        <v>12.968960863697999</v>
      </c>
      <c r="E2709">
        <v>0.37112331289861</v>
      </c>
      <c r="F2709">
        <v>16</v>
      </c>
      <c r="H2709" t="s">
        <v>22</v>
      </c>
      <c r="I2709">
        <f t="shared" ref="I2709" si="804">STDEVP(F2690:F2709)</f>
        <v>0.35707142142714249</v>
      </c>
    </row>
    <row r="2710" spans="1:9" x14ac:dyDescent="0.25">
      <c r="C2710" s="1" t="str">
        <f t="shared" si="798"/>
        <v/>
      </c>
    </row>
    <row r="2711" spans="1:9" x14ac:dyDescent="0.25">
      <c r="A2711">
        <v>1982.5566415638</v>
      </c>
      <c r="B2711">
        <v>2031.3558724562999</v>
      </c>
      <c r="C2711" s="1">
        <f t="shared" si="798"/>
        <v>2.461429341761856E-2</v>
      </c>
      <c r="D2711">
        <v>15.229470950990001</v>
      </c>
      <c r="E2711">
        <v>0.17917152700863001</v>
      </c>
      <c r="F2711">
        <v>28</v>
      </c>
    </row>
    <row r="2712" spans="1:9" x14ac:dyDescent="0.25">
      <c r="A2712">
        <v>1989.2530043262</v>
      </c>
      <c r="B2712">
        <v>2033.6971639159999</v>
      </c>
      <c r="C2712" s="1">
        <f t="shared" si="798"/>
        <v>2.2342135210123404E-2</v>
      </c>
      <c r="D2712">
        <v>15.23012009088</v>
      </c>
      <c r="E2712">
        <v>0.17839546697625999</v>
      </c>
      <c r="F2712">
        <v>27</v>
      </c>
    </row>
    <row r="2713" spans="1:9" x14ac:dyDescent="0.25">
      <c r="A2713">
        <v>1978.9466431661999</v>
      </c>
      <c r="B2713">
        <v>2026.9277359396999</v>
      </c>
      <c r="C2713" s="1">
        <f t="shared" si="798"/>
        <v>2.4245773851048869E-2</v>
      </c>
      <c r="D2713">
        <v>15.117169750081001</v>
      </c>
      <c r="E2713">
        <v>0.1779107560549</v>
      </c>
      <c r="F2713">
        <v>28</v>
      </c>
    </row>
    <row r="2714" spans="1:9" x14ac:dyDescent="0.25">
      <c r="A2714">
        <v>1982.6489344656</v>
      </c>
      <c r="B2714">
        <v>2023.2289697163999</v>
      </c>
      <c r="C2714" s="1">
        <f t="shared" si="798"/>
        <v>2.0467584828242735E-2</v>
      </c>
      <c r="D2714">
        <v>15.193119117169999</v>
      </c>
      <c r="E2714">
        <v>0.17845536026302999</v>
      </c>
      <c r="F2714">
        <v>28</v>
      </c>
    </row>
    <row r="2715" spans="1:9" x14ac:dyDescent="0.25">
      <c r="A2715">
        <v>1983.8221438871999</v>
      </c>
      <c r="B2715">
        <v>2027.7135074507</v>
      </c>
      <c r="C2715" s="1">
        <f t="shared" si="798"/>
        <v>2.2124646455199404E-2</v>
      </c>
      <c r="D2715">
        <v>15.176890619929001</v>
      </c>
      <c r="E2715">
        <v>0.1782082279094</v>
      </c>
      <c r="F2715">
        <v>27</v>
      </c>
    </row>
    <row r="2716" spans="1:9" x14ac:dyDescent="0.25">
      <c r="A2716">
        <v>1986.1355551995</v>
      </c>
      <c r="B2716">
        <v>2033.7471559045</v>
      </c>
      <c r="C2716" s="1">
        <f t="shared" si="798"/>
        <v>2.3971979445389646E-2</v>
      </c>
      <c r="D2716">
        <v>15.215839013307001</v>
      </c>
      <c r="E2716">
        <v>0.17863124842162001</v>
      </c>
      <c r="F2716">
        <v>28</v>
      </c>
    </row>
    <row r="2717" spans="1:9" x14ac:dyDescent="0.25">
      <c r="A2717">
        <v>1994.6944399936001</v>
      </c>
      <c r="B2717">
        <v>2031.5215510334999</v>
      </c>
      <c r="C2717" s="1">
        <f t="shared" si="798"/>
        <v>1.8462532557125932E-2</v>
      </c>
      <c r="D2717">
        <v>15.274910743265</v>
      </c>
      <c r="E2717">
        <v>0.17843197918008</v>
      </c>
      <c r="F2717">
        <v>27</v>
      </c>
    </row>
    <row r="2718" spans="1:9" x14ac:dyDescent="0.25">
      <c r="A2718">
        <v>1963.2196763339</v>
      </c>
      <c r="B2718">
        <v>2011.9916680019001</v>
      </c>
      <c r="C2718" s="1">
        <f t="shared" si="798"/>
        <v>2.4842860050728666E-2</v>
      </c>
      <c r="D2718">
        <v>15.197663096396999</v>
      </c>
      <c r="E2718">
        <v>0.18069257619845</v>
      </c>
      <c r="F2718">
        <v>28</v>
      </c>
    </row>
    <row r="2719" spans="1:9" x14ac:dyDescent="0.25">
      <c r="A2719">
        <v>1997.8904021791</v>
      </c>
      <c r="B2719">
        <v>2032.2361800993001</v>
      </c>
      <c r="C2719" s="1">
        <f t="shared" si="798"/>
        <v>1.719102203140821E-2</v>
      </c>
      <c r="D2719">
        <v>15.197013956508</v>
      </c>
      <c r="E2719">
        <v>0.17700367384178001</v>
      </c>
      <c r="F2719">
        <v>27</v>
      </c>
    </row>
    <row r="2720" spans="1:9" x14ac:dyDescent="0.25">
      <c r="A2720">
        <v>1978.0349302996001</v>
      </c>
      <c r="B2720">
        <v>2025.5866047108</v>
      </c>
      <c r="C2720" s="1">
        <f t="shared" si="798"/>
        <v>2.4039855759269813E-2</v>
      </c>
      <c r="D2720">
        <v>15.269717624148001</v>
      </c>
      <c r="E2720">
        <v>0.18013430956647</v>
      </c>
      <c r="F2720">
        <v>28</v>
      </c>
    </row>
    <row r="2721" spans="1:9" x14ac:dyDescent="0.25">
      <c r="A2721">
        <v>1971.7824066656001</v>
      </c>
      <c r="B2721">
        <v>2008.3768626823</v>
      </c>
      <c r="C2721" s="1">
        <f t="shared" si="798"/>
        <v>1.8559074212749049E-2</v>
      </c>
      <c r="D2721">
        <v>15.272314183707</v>
      </c>
      <c r="E2721">
        <v>0.18071209775600999</v>
      </c>
      <c r="F2721">
        <v>28</v>
      </c>
    </row>
    <row r="2722" spans="1:9" x14ac:dyDescent="0.25">
      <c r="A2722">
        <v>1992.6662393847</v>
      </c>
      <c r="B2722">
        <v>2040.5717032527</v>
      </c>
      <c r="C2722" s="1">
        <f t="shared" si="798"/>
        <v>2.4040886989078691E-2</v>
      </c>
      <c r="D2722">
        <v>15.211944173969</v>
      </c>
      <c r="E2722">
        <v>0.17780815704405001</v>
      </c>
      <c r="F2722">
        <v>28</v>
      </c>
    </row>
    <row r="2723" spans="1:9" x14ac:dyDescent="0.25">
      <c r="A2723">
        <v>1973.3475404583</v>
      </c>
      <c r="B2723">
        <v>2029.1866688031</v>
      </c>
      <c r="C2723" s="1">
        <f t="shared" si="798"/>
        <v>2.8296651856789312E-2</v>
      </c>
      <c r="D2723">
        <v>15.049010061668</v>
      </c>
      <c r="E2723">
        <v>0.17758432283410999</v>
      </c>
      <c r="F2723">
        <v>28</v>
      </c>
    </row>
    <row r="2724" spans="1:9" x14ac:dyDescent="0.25">
      <c r="A2724">
        <v>1982.4041019066999</v>
      </c>
      <c r="B2724">
        <v>2026.1736901137999</v>
      </c>
      <c r="C2724" s="1">
        <f t="shared" si="798"/>
        <v>2.2079044411279058E-2</v>
      </c>
      <c r="D2724">
        <v>15.175592340149</v>
      </c>
      <c r="E2724">
        <v>0.17836464964049001</v>
      </c>
      <c r="F2724">
        <v>28</v>
      </c>
    </row>
    <row r="2725" spans="1:9" x14ac:dyDescent="0.25">
      <c r="A2725">
        <v>1971.3094055439999</v>
      </c>
      <c r="B2725">
        <v>2018.410511136</v>
      </c>
      <c r="C2725" s="1">
        <f t="shared" si="798"/>
        <v>2.3893309421410658E-2</v>
      </c>
      <c r="D2725">
        <v>15.253489126907001</v>
      </c>
      <c r="E2725">
        <v>0.18054001674476</v>
      </c>
      <c r="F2725">
        <v>27</v>
      </c>
      <c r="H2725" t="s">
        <v>17</v>
      </c>
      <c r="I2725">
        <f t="shared" ref="I2725" si="805">STDEVP(A2711:A2730)</f>
        <v>8.6008566737992709</v>
      </c>
    </row>
    <row r="2726" spans="1:9" x14ac:dyDescent="0.25">
      <c r="A2726">
        <v>1977.0921326709999</v>
      </c>
      <c r="B2726">
        <v>2019.6128825508999</v>
      </c>
      <c r="C2726" s="1">
        <f t="shared" si="798"/>
        <v>2.1506711385500976E-2</v>
      </c>
      <c r="D2726">
        <v>15.296332359622999</v>
      </c>
      <c r="E2726">
        <v>0.18058365359517001</v>
      </c>
      <c r="F2726">
        <v>28</v>
      </c>
      <c r="H2726" t="s">
        <v>18</v>
      </c>
      <c r="I2726">
        <f t="shared" ref="I2726" si="806">STDEVP(B2711:B2730)</f>
        <v>7.6111114599576011</v>
      </c>
    </row>
    <row r="2727" spans="1:9" x14ac:dyDescent="0.25">
      <c r="A2727">
        <v>1978.500881269</v>
      </c>
      <c r="B2727">
        <v>2027.5975004006</v>
      </c>
      <c r="C2727" s="1">
        <f t="shared" si="798"/>
        <v>2.481506053214888E-2</v>
      </c>
      <c r="D2727">
        <v>15.362544628367001</v>
      </c>
      <c r="E2727">
        <v>0.18138465830565001</v>
      </c>
      <c r="F2727">
        <v>28</v>
      </c>
      <c r="H2727" t="s">
        <v>19</v>
      </c>
      <c r="I2727">
        <f t="shared" ref="I2727" si="807">STDEVP(C2711:C2730)</f>
        <v>2.660967930893942E-3</v>
      </c>
    </row>
    <row r="2728" spans="1:9" x14ac:dyDescent="0.25">
      <c r="A2728">
        <v>1968.9123537895</v>
      </c>
      <c r="B2728">
        <v>2018.0451850664999</v>
      </c>
      <c r="C2728" s="1">
        <f t="shared" si="798"/>
        <v>2.4954300877048086E-2</v>
      </c>
      <c r="D2728">
        <v>15.029535864979</v>
      </c>
      <c r="E2728">
        <v>0.17770990261486</v>
      </c>
      <c r="F2728">
        <v>27</v>
      </c>
      <c r="H2728" t="s">
        <v>20</v>
      </c>
      <c r="I2728">
        <f t="shared" ref="I2728" si="808">STDEVP(D2711:D2730)</f>
        <v>8.1505348990702067E-2</v>
      </c>
    </row>
    <row r="2729" spans="1:9" x14ac:dyDescent="0.25">
      <c r="A2729">
        <v>1985.3135715430001</v>
      </c>
      <c r="B2729">
        <v>2030.8360839608999</v>
      </c>
      <c r="C2729" s="1">
        <f t="shared" si="798"/>
        <v>2.2929633419328965E-2</v>
      </c>
      <c r="D2729">
        <v>15.32164881532</v>
      </c>
      <c r="E2729">
        <v>0.18004103161154</v>
      </c>
      <c r="F2729">
        <v>29</v>
      </c>
      <c r="H2729" t="s">
        <v>21</v>
      </c>
      <c r="I2729">
        <f t="shared" ref="I2729" si="809">STDEVP(E2711:E2730)</f>
        <v>1.2575356690717639E-3</v>
      </c>
    </row>
    <row r="2730" spans="1:9" x14ac:dyDescent="0.25">
      <c r="A2730">
        <v>1983.9137958660001</v>
      </c>
      <c r="B2730">
        <v>2022.4374298990001</v>
      </c>
      <c r="C2730" s="1">
        <f t="shared" si="798"/>
        <v>1.9417997955996968E-2</v>
      </c>
      <c r="D2730">
        <v>15.291788380396</v>
      </c>
      <c r="E2730">
        <v>0.17975428876904001</v>
      </c>
      <c r="F2730">
        <v>27</v>
      </c>
      <c r="H2730" t="s">
        <v>22</v>
      </c>
      <c r="I2730">
        <f t="shared" ref="I2730" si="810">STDEVP(F2711:F2730)</f>
        <v>0.55677643628300222</v>
      </c>
    </row>
    <row r="2731" spans="1:9" x14ac:dyDescent="0.25">
      <c r="C2731" s="1" t="str">
        <f t="shared" si="798"/>
        <v/>
      </c>
    </row>
    <row r="2732" spans="1:9" x14ac:dyDescent="0.25">
      <c r="A2732">
        <v>573.10682583410005</v>
      </c>
      <c r="B2732">
        <v>593.61779410264</v>
      </c>
      <c r="C2732" s="1">
        <f t="shared" si="798"/>
        <v>3.578908389145119E-2</v>
      </c>
      <c r="D2732">
        <v>9.4273345701917002</v>
      </c>
      <c r="E2732">
        <v>0.48538918593892999</v>
      </c>
      <c r="F2732">
        <v>16</v>
      </c>
    </row>
    <row r="2733" spans="1:9" x14ac:dyDescent="0.25">
      <c r="A2733">
        <v>578.41648811345999</v>
      </c>
      <c r="B2733">
        <v>596.66258545047003</v>
      </c>
      <c r="C2733" s="1">
        <f t="shared" si="798"/>
        <v>3.1544912207673637E-2</v>
      </c>
      <c r="D2733">
        <v>9.5526695526696006</v>
      </c>
      <c r="E2733">
        <v>0.48847189481177999</v>
      </c>
      <c r="F2733">
        <v>17</v>
      </c>
    </row>
    <row r="2734" spans="1:9" x14ac:dyDescent="0.25">
      <c r="A2734">
        <v>579.85919804102002</v>
      </c>
      <c r="B2734">
        <v>595.26701357005004</v>
      </c>
      <c r="C2734" s="1">
        <f t="shared" si="798"/>
        <v>2.6571649774778772E-2</v>
      </c>
      <c r="D2734">
        <v>9.5337043908472001</v>
      </c>
      <c r="E2734">
        <v>0.48486708669577</v>
      </c>
      <c r="F2734">
        <v>17</v>
      </c>
    </row>
    <row r="2735" spans="1:9" x14ac:dyDescent="0.25">
      <c r="A2735">
        <v>579.15131109070001</v>
      </c>
      <c r="B2735">
        <v>594.37261503928005</v>
      </c>
      <c r="C2735" s="1">
        <f t="shared" si="798"/>
        <v>2.6282084935479455E-2</v>
      </c>
      <c r="D2735">
        <v>9.3663162234590995</v>
      </c>
      <c r="E2735">
        <v>0.47376166621887</v>
      </c>
      <c r="F2735">
        <v>16</v>
      </c>
    </row>
    <row r="2736" spans="1:9" x14ac:dyDescent="0.25">
      <c r="A2736">
        <v>573.52392612998995</v>
      </c>
      <c r="B2736">
        <v>593.87225793286996</v>
      </c>
      <c r="C2736" s="1">
        <f t="shared" si="798"/>
        <v>3.547948198113704E-2</v>
      </c>
      <c r="D2736">
        <v>9.3708513708513994</v>
      </c>
      <c r="E2736">
        <v>0.48078044651481</v>
      </c>
      <c r="F2736">
        <v>17</v>
      </c>
    </row>
    <row r="2737" spans="1:9" x14ac:dyDescent="0.25">
      <c r="A2737">
        <v>579.479848995</v>
      </c>
      <c r="B2737">
        <v>596.58034894398997</v>
      </c>
      <c r="C2737" s="1">
        <f t="shared" si="798"/>
        <v>2.9510085602886038E-2</v>
      </c>
      <c r="D2737">
        <v>9.5563801278086995</v>
      </c>
      <c r="E2737">
        <v>0.48765814441033001</v>
      </c>
      <c r="F2737">
        <v>17</v>
      </c>
    </row>
    <row r="2738" spans="1:9" x14ac:dyDescent="0.25">
      <c r="A2738">
        <v>576.78563411897005</v>
      </c>
      <c r="B2738">
        <v>592.24446485052999</v>
      </c>
      <c r="C2738" s="1">
        <f t="shared" si="798"/>
        <v>2.6801691680780282E-2</v>
      </c>
      <c r="D2738">
        <v>9.5600907029478002</v>
      </c>
      <c r="E2738">
        <v>0.49040465237537001</v>
      </c>
      <c r="F2738">
        <v>16</v>
      </c>
    </row>
    <row r="2739" spans="1:9" x14ac:dyDescent="0.25">
      <c r="A2739">
        <v>575.16661565146001</v>
      </c>
      <c r="B2739">
        <v>593.47842056932996</v>
      </c>
      <c r="C2739" s="1">
        <f t="shared" si="798"/>
        <v>3.1837391843629881E-2</v>
      </c>
      <c r="D2739">
        <v>9.5456606885178008</v>
      </c>
      <c r="E2739">
        <v>0.49303431541533999</v>
      </c>
      <c r="F2739">
        <v>17</v>
      </c>
    </row>
    <row r="2740" spans="1:9" x14ac:dyDescent="0.25">
      <c r="A2740">
        <v>580.77767574737004</v>
      </c>
      <c r="B2740">
        <v>596.38506274869997</v>
      </c>
      <c r="C2740" s="1">
        <f t="shared" si="798"/>
        <v>2.6873255727754453E-2</v>
      </c>
      <c r="D2740">
        <v>9.5811172954030006</v>
      </c>
      <c r="E2740">
        <v>0.48767733087365001</v>
      </c>
      <c r="F2740">
        <v>17</v>
      </c>
    </row>
    <row r="2741" spans="1:9" x14ac:dyDescent="0.25">
      <c r="A2741">
        <v>577.25558616468004</v>
      </c>
      <c r="B2741">
        <v>592.91398836854</v>
      </c>
      <c r="C2741" s="1">
        <f t="shared" si="798"/>
        <v>2.7125596666626173E-2</v>
      </c>
      <c r="D2741">
        <v>9.5052566481138001</v>
      </c>
      <c r="E2741">
        <v>0.48586538654798</v>
      </c>
      <c r="F2741">
        <v>16</v>
      </c>
    </row>
    <row r="2742" spans="1:9" x14ac:dyDescent="0.25">
      <c r="A2742">
        <v>579.32904805631995</v>
      </c>
      <c r="B2742">
        <v>594.78481787573003</v>
      </c>
      <c r="C2742" s="1">
        <f t="shared" si="798"/>
        <v>2.6678741332348155E-2</v>
      </c>
      <c r="D2742">
        <v>9.3865182436611008</v>
      </c>
      <c r="E2742">
        <v>0.47468336052899002</v>
      </c>
      <c r="F2742">
        <v>17</v>
      </c>
    </row>
    <row r="2743" spans="1:9" x14ac:dyDescent="0.25">
      <c r="A2743">
        <v>571.29068462401995</v>
      </c>
      <c r="B2743">
        <v>588.98581777369998</v>
      </c>
      <c r="C2743" s="1">
        <f t="shared" si="798"/>
        <v>3.0973957086882331E-2</v>
      </c>
      <c r="D2743">
        <v>9.4376417233560002</v>
      </c>
      <c r="E2743">
        <v>0.48829495390425998</v>
      </c>
      <c r="F2743">
        <v>17</v>
      </c>
    </row>
    <row r="2744" spans="1:9" x14ac:dyDescent="0.25">
      <c r="A2744">
        <v>571.23742475257995</v>
      </c>
      <c r="B2744">
        <v>592.20099989796995</v>
      </c>
      <c r="C2744" s="1">
        <f t="shared" si="798"/>
        <v>3.6698532408778961E-2</v>
      </c>
      <c r="D2744">
        <v>9.2706658420944006</v>
      </c>
      <c r="E2744">
        <v>0.47612318377579999</v>
      </c>
      <c r="F2744">
        <v>16</v>
      </c>
    </row>
    <row r="2745" spans="1:9" x14ac:dyDescent="0.25">
      <c r="A2745">
        <v>578.51464136312995</v>
      </c>
      <c r="B2745">
        <v>594.21344760738998</v>
      </c>
      <c r="C2745" s="1">
        <f t="shared" si="798"/>
        <v>2.7136402645349778E-2</v>
      </c>
      <c r="D2745">
        <v>9.5382395382395</v>
      </c>
      <c r="E2745">
        <v>0.48620196185960002</v>
      </c>
      <c r="F2745">
        <v>17</v>
      </c>
    </row>
    <row r="2746" spans="1:9" x14ac:dyDescent="0.25">
      <c r="A2746">
        <v>574.44097541067003</v>
      </c>
      <c r="B2746">
        <v>590.80134680134995</v>
      </c>
      <c r="C2746" s="1">
        <f t="shared" si="798"/>
        <v>2.8480509035734736E-2</v>
      </c>
      <c r="D2746">
        <v>9.3906411049268002</v>
      </c>
      <c r="E2746">
        <v>0.48052280652573998</v>
      </c>
      <c r="F2746">
        <v>17</v>
      </c>
      <c r="H2746" t="s">
        <v>17</v>
      </c>
      <c r="I2746">
        <f t="shared" ref="I2746" si="811">STDEVP(A2732:A2751)</f>
        <v>3.165102923388333</v>
      </c>
    </row>
    <row r="2747" spans="1:9" x14ac:dyDescent="0.25">
      <c r="A2747">
        <v>578.83338434853999</v>
      </c>
      <c r="B2747">
        <v>595.48025711662001</v>
      </c>
      <c r="C2747" s="1">
        <f t="shared" si="798"/>
        <v>2.8759351513243381E-2</v>
      </c>
      <c r="D2747">
        <v>9.5155638012781001</v>
      </c>
      <c r="E2747">
        <v>0.48481588358098998</v>
      </c>
      <c r="F2747">
        <v>16</v>
      </c>
      <c r="H2747" t="s">
        <v>18</v>
      </c>
      <c r="I2747">
        <f t="shared" ref="I2747" si="812">STDEVP(B2732:B2751)</f>
        <v>2.673809544480529</v>
      </c>
    </row>
    <row r="2748" spans="1:9" x14ac:dyDescent="0.25">
      <c r="A2748">
        <v>575.47842056932996</v>
      </c>
      <c r="B2748">
        <v>592.35690235690004</v>
      </c>
      <c r="C2748" s="1">
        <f t="shared" si="798"/>
        <v>2.9329478194633163E-2</v>
      </c>
      <c r="D2748">
        <v>9.4471243042672004</v>
      </c>
      <c r="E2748">
        <v>0.48344936261802002</v>
      </c>
      <c r="F2748">
        <v>17</v>
      </c>
      <c r="H2748" t="s">
        <v>19</v>
      </c>
      <c r="I2748">
        <f t="shared" ref="I2748" si="813">STDEVP(C2732:C2751)</f>
        <v>3.2257742309938246E-3</v>
      </c>
    </row>
    <row r="2749" spans="1:9" x14ac:dyDescent="0.25">
      <c r="A2749">
        <v>576.78889909193003</v>
      </c>
      <c r="B2749">
        <v>591.83430262217996</v>
      </c>
      <c r="C2749" s="1">
        <f t="shared" si="798"/>
        <v>2.6084766114494728E-2</v>
      </c>
      <c r="D2749">
        <v>9.5765821480107007</v>
      </c>
      <c r="E2749">
        <v>0.49187594640110999</v>
      </c>
      <c r="F2749">
        <v>17</v>
      </c>
      <c r="H2749" t="s">
        <v>20</v>
      </c>
      <c r="I2749">
        <f t="shared" ref="I2749" si="814">STDEVP(D2732:D2751)</f>
        <v>8.7427846852014671E-2</v>
      </c>
    </row>
    <row r="2750" spans="1:9" x14ac:dyDescent="0.25">
      <c r="A2750">
        <v>581.60697887971003</v>
      </c>
      <c r="B2750">
        <v>599.85368839913997</v>
      </c>
      <c r="C2750" s="1">
        <f t="shared" si="798"/>
        <v>3.1372920515116087E-2</v>
      </c>
      <c r="D2750">
        <v>9.5658627087198997</v>
      </c>
      <c r="E2750">
        <v>0.48509547797128</v>
      </c>
      <c r="F2750">
        <v>17</v>
      </c>
      <c r="H2750" t="s">
        <v>21</v>
      </c>
      <c r="I2750">
        <f t="shared" ref="I2750" si="815">STDEVP(E2732:E2751)</f>
        <v>5.1510688537928237E-3</v>
      </c>
    </row>
    <row r="2751" spans="1:9" x14ac:dyDescent="0.25">
      <c r="A2751">
        <v>582.28711355984001</v>
      </c>
      <c r="B2751">
        <v>599.97673706764999</v>
      </c>
      <c r="C2751" s="1">
        <f t="shared" si="798"/>
        <v>3.0379555198574826E-2</v>
      </c>
      <c r="D2751">
        <v>9.5522572665430001</v>
      </c>
      <c r="E2751">
        <v>0.48421590666278003</v>
      </c>
      <c r="F2751">
        <v>16</v>
      </c>
      <c r="H2751" t="s">
        <v>22</v>
      </c>
      <c r="I2751">
        <f t="shared" ref="I2751" si="816">STDEVP(F2732:F2751)</f>
        <v>0.47696960070847289</v>
      </c>
    </row>
    <row r="2752" spans="1:9" x14ac:dyDescent="0.25">
      <c r="C2752" s="1" t="str">
        <f t="shared" si="798"/>
        <v/>
      </c>
    </row>
    <row r="2753" spans="1:9" x14ac:dyDescent="0.25">
      <c r="A2753">
        <v>804.63195266271998</v>
      </c>
      <c r="B2753">
        <v>837.75147928992999</v>
      </c>
      <c r="C2753" s="1">
        <f t="shared" si="798"/>
        <v>4.1161088019944447E-2</v>
      </c>
      <c r="D2753">
        <v>10.021153846154</v>
      </c>
      <c r="E2753">
        <v>0.32580085149879001</v>
      </c>
      <c r="F2753">
        <v>18</v>
      </c>
    </row>
    <row r="2754" spans="1:9" x14ac:dyDescent="0.25">
      <c r="A2754">
        <v>795.91242603549995</v>
      </c>
      <c r="B2754">
        <v>825.82248520709004</v>
      </c>
      <c r="C2754" s="1">
        <f t="shared" ref="C2754:C2817" si="817">IFERROR((B2754/A2754)-1,"")</f>
        <v>3.7579585634281765E-2</v>
      </c>
      <c r="D2754">
        <v>9.9721153846153996</v>
      </c>
      <c r="E2754">
        <v>0.32831599333643002</v>
      </c>
      <c r="F2754">
        <v>19</v>
      </c>
    </row>
    <row r="2755" spans="1:9" x14ac:dyDescent="0.25">
      <c r="A2755">
        <v>801.01538461538996</v>
      </c>
      <c r="B2755">
        <v>823.53609467453998</v>
      </c>
      <c r="C2755" s="1">
        <f t="shared" si="817"/>
        <v>2.8115202893342017E-2</v>
      </c>
      <c r="D2755">
        <v>10.175000000000001</v>
      </c>
      <c r="E2755">
        <v>0.33498695926477001</v>
      </c>
      <c r="F2755">
        <v>19</v>
      </c>
    </row>
    <row r="2756" spans="1:9" x14ac:dyDescent="0.25">
      <c r="A2756">
        <v>807.72307692308004</v>
      </c>
      <c r="B2756">
        <v>838.19408284021995</v>
      </c>
      <c r="C2756" s="1">
        <f t="shared" si="817"/>
        <v>3.7724570199498819E-2</v>
      </c>
      <c r="D2756">
        <v>10.112500000000001</v>
      </c>
      <c r="E2756">
        <v>0.32773181474729002</v>
      </c>
      <c r="F2756">
        <v>19</v>
      </c>
    </row>
    <row r="2757" spans="1:9" x14ac:dyDescent="0.25">
      <c r="A2757">
        <v>796.90414201183</v>
      </c>
      <c r="B2757">
        <v>835.23313609466004</v>
      </c>
      <c r="C2757" s="1">
        <f t="shared" si="817"/>
        <v>4.8097370890890723E-2</v>
      </c>
      <c r="D2757">
        <v>9.9115384615385</v>
      </c>
      <c r="E2757">
        <v>0.32553445914498003</v>
      </c>
      <c r="F2757">
        <v>18</v>
      </c>
    </row>
    <row r="2758" spans="1:9" x14ac:dyDescent="0.25">
      <c r="A2758">
        <v>806.57278106509</v>
      </c>
      <c r="B2758">
        <v>829.05562130175997</v>
      </c>
      <c r="C2758" s="1">
        <f t="shared" si="817"/>
        <v>2.7874533786003797E-2</v>
      </c>
      <c r="D2758">
        <v>10.113461538461999</v>
      </c>
      <c r="E2758">
        <v>0.32888177515099998</v>
      </c>
      <c r="F2758">
        <v>18</v>
      </c>
    </row>
    <row r="2759" spans="1:9" x14ac:dyDescent="0.25">
      <c r="A2759">
        <v>797.83195266272003</v>
      </c>
      <c r="B2759">
        <v>822.91360946743998</v>
      </c>
      <c r="C2759" s="1">
        <f t="shared" si="817"/>
        <v>3.1437267861999407E-2</v>
      </c>
      <c r="D2759">
        <v>9.9461538461538002</v>
      </c>
      <c r="E2759">
        <v>0.32606421673459002</v>
      </c>
      <c r="F2759">
        <v>19</v>
      </c>
    </row>
    <row r="2760" spans="1:9" x14ac:dyDescent="0.25">
      <c r="A2760">
        <v>799.26863905326002</v>
      </c>
      <c r="B2760">
        <v>823.57869822483997</v>
      </c>
      <c r="C2760" s="1">
        <f t="shared" si="817"/>
        <v>3.0415379740628135E-2</v>
      </c>
      <c r="D2760">
        <v>10.026923076923</v>
      </c>
      <c r="E2760">
        <v>0.32901386801068</v>
      </c>
      <c r="F2760">
        <v>18</v>
      </c>
    </row>
    <row r="2761" spans="1:9" x14ac:dyDescent="0.25">
      <c r="A2761">
        <v>804.05443786982005</v>
      </c>
      <c r="B2761">
        <v>830.65088757394994</v>
      </c>
      <c r="C2761" s="1">
        <f t="shared" si="817"/>
        <v>3.3077921657383991E-2</v>
      </c>
      <c r="D2761">
        <v>10.160576923077</v>
      </c>
      <c r="E2761">
        <v>0.33197809424588998</v>
      </c>
      <c r="F2761">
        <v>19</v>
      </c>
    </row>
    <row r="2762" spans="1:9" x14ac:dyDescent="0.25">
      <c r="A2762">
        <v>805.44142011834003</v>
      </c>
      <c r="B2762">
        <v>828.36213017750003</v>
      </c>
      <c r="C2762" s="1">
        <f t="shared" si="817"/>
        <v>2.8457327232801477E-2</v>
      </c>
      <c r="D2762">
        <v>10.065384615385</v>
      </c>
      <c r="E2762">
        <v>0.32758007827643998</v>
      </c>
      <c r="F2762">
        <v>19</v>
      </c>
    </row>
    <row r="2763" spans="1:9" x14ac:dyDescent="0.25">
      <c r="A2763">
        <v>800.72426035502997</v>
      </c>
      <c r="B2763">
        <v>824.76213017750001</v>
      </c>
      <c r="C2763" s="1">
        <f t="shared" si="817"/>
        <v>3.0020159264079194E-2</v>
      </c>
      <c r="D2763">
        <v>10.008653846154001</v>
      </c>
      <c r="E2763">
        <v>0.32749989367767002</v>
      </c>
      <c r="F2763">
        <v>19</v>
      </c>
    </row>
    <row r="2764" spans="1:9" x14ac:dyDescent="0.25">
      <c r="A2764">
        <v>798.10177514792997</v>
      </c>
      <c r="B2764">
        <v>824.22958579880003</v>
      </c>
      <c r="C2764" s="1">
        <f t="shared" si="817"/>
        <v>3.273744209631313E-2</v>
      </c>
      <c r="D2764">
        <v>9.9942307692307999</v>
      </c>
      <c r="E2764">
        <v>0.32790423754247</v>
      </c>
      <c r="F2764">
        <v>18</v>
      </c>
    </row>
    <row r="2765" spans="1:9" x14ac:dyDescent="0.25">
      <c r="A2765">
        <v>809.98343195266</v>
      </c>
      <c r="B2765">
        <v>831.31597633135004</v>
      </c>
      <c r="C2765" s="1">
        <f t="shared" si="817"/>
        <v>2.6337013248854735E-2</v>
      </c>
      <c r="D2765">
        <v>10.178846153845999</v>
      </c>
      <c r="E2765">
        <v>0.32957593517533001</v>
      </c>
      <c r="F2765">
        <v>19</v>
      </c>
    </row>
    <row r="2766" spans="1:9" x14ac:dyDescent="0.25">
      <c r="A2766">
        <v>803.41538461538005</v>
      </c>
      <c r="B2766">
        <v>830.01183431950994</v>
      </c>
      <c r="C2766" s="1">
        <f t="shared" si="817"/>
        <v>3.3104232522087385E-2</v>
      </c>
      <c r="D2766">
        <v>9.9749999999999996</v>
      </c>
      <c r="E2766">
        <v>0.32463515487237998</v>
      </c>
      <c r="F2766">
        <v>19</v>
      </c>
    </row>
    <row r="2767" spans="1:9" x14ac:dyDescent="0.25">
      <c r="A2767">
        <v>794.53727810651003</v>
      </c>
      <c r="B2767">
        <v>826.95621301773997</v>
      </c>
      <c r="C2767" s="1">
        <f t="shared" si="817"/>
        <v>4.0802283045156429E-2</v>
      </c>
      <c r="D2767">
        <v>9.9288461538461998</v>
      </c>
      <c r="E2767">
        <v>0.32739424266518002</v>
      </c>
      <c r="F2767">
        <v>19</v>
      </c>
      <c r="H2767" t="s">
        <v>17</v>
      </c>
      <c r="I2767">
        <f t="shared" ref="I2767" si="818">STDEVP(A2753:A2772)</f>
        <v>4.3000582983253768</v>
      </c>
    </row>
    <row r="2768" spans="1:9" x14ac:dyDescent="0.25">
      <c r="A2768">
        <v>797.51479289941005</v>
      </c>
      <c r="B2768">
        <v>822.93964497039997</v>
      </c>
      <c r="C2768" s="1">
        <f t="shared" si="817"/>
        <v>3.1880100905158582E-2</v>
      </c>
      <c r="D2768">
        <v>10.001923076922999</v>
      </c>
      <c r="E2768">
        <v>0.32875640672604001</v>
      </c>
      <c r="F2768">
        <v>19</v>
      </c>
      <c r="H2768" t="s">
        <v>18</v>
      </c>
      <c r="I2768">
        <f t="shared" ref="I2768" si="819">STDEVP(B2753:B2772)</f>
        <v>5.1941632329056899</v>
      </c>
    </row>
    <row r="2769" spans="1:9" x14ac:dyDescent="0.25">
      <c r="A2769">
        <v>800.57041420118003</v>
      </c>
      <c r="B2769">
        <v>829.22603550294002</v>
      </c>
      <c r="C2769" s="1">
        <f t="shared" si="817"/>
        <v>3.5794004866333884E-2</v>
      </c>
      <c r="D2769">
        <v>9.9336538461538009</v>
      </c>
      <c r="E2769">
        <v>0.32413728169792999</v>
      </c>
      <c r="F2769">
        <v>19</v>
      </c>
      <c r="H2769" t="s">
        <v>19</v>
      </c>
      <c r="I2769">
        <f t="shared" ref="I2769" si="820">STDEVP(C2753:C2772)</f>
        <v>5.4002345967603125E-3</v>
      </c>
    </row>
    <row r="2770" spans="1:9" x14ac:dyDescent="0.25">
      <c r="A2770">
        <v>807.15739644969995</v>
      </c>
      <c r="B2770">
        <v>838.90650887572997</v>
      </c>
      <c r="C2770" s="1">
        <f t="shared" si="817"/>
        <v>3.9334474992955837E-2</v>
      </c>
      <c r="D2770">
        <v>10.213461538461999</v>
      </c>
      <c r="E2770">
        <v>0.33268403319999001</v>
      </c>
      <c r="F2770">
        <v>18</v>
      </c>
      <c r="H2770" t="s">
        <v>20</v>
      </c>
      <c r="I2770">
        <f t="shared" ref="I2770" si="821">STDEVP(D2753:D2772)</f>
        <v>9.2264550715857166E-2</v>
      </c>
    </row>
    <row r="2771" spans="1:9" x14ac:dyDescent="0.25">
      <c r="A2771">
        <v>798.76449704141999</v>
      </c>
      <c r="B2771">
        <v>822.43076923076001</v>
      </c>
      <c r="C2771" s="1">
        <f t="shared" si="817"/>
        <v>2.9628598012303442E-2</v>
      </c>
      <c r="D2771">
        <v>10.077884615385001</v>
      </c>
      <c r="E2771">
        <v>0.33169010589238002</v>
      </c>
      <c r="F2771">
        <v>19</v>
      </c>
      <c r="H2771" t="s">
        <v>21</v>
      </c>
      <c r="I2771">
        <f t="shared" ref="I2771" si="822">STDEVP(E2753:E2772)</f>
        <v>2.7871270466011911E-3</v>
      </c>
    </row>
    <row r="2772" spans="1:9" x14ac:dyDescent="0.25">
      <c r="A2772">
        <v>804.84733727810999</v>
      </c>
      <c r="B2772">
        <v>830.22485207098998</v>
      </c>
      <c r="C2772" s="1">
        <f t="shared" si="817"/>
        <v>3.15308427045351E-2</v>
      </c>
      <c r="D2772">
        <v>10.158653846153999</v>
      </c>
      <c r="E2772">
        <v>0.33197348830500001</v>
      </c>
      <c r="F2772">
        <v>19</v>
      </c>
      <c r="H2772" t="s">
        <v>22</v>
      </c>
      <c r="I2772">
        <f t="shared" ref="I2772" si="823">STDEVP(F2753:F2772)</f>
        <v>0.45825756949558394</v>
      </c>
    </row>
    <row r="2773" spans="1:9" x14ac:dyDescent="0.25">
      <c r="C2773" s="1" t="str">
        <f t="shared" si="817"/>
        <v/>
      </c>
    </row>
    <row r="2774" spans="1:9" x14ac:dyDescent="0.25">
      <c r="A2774">
        <v>980.19387755102002</v>
      </c>
      <c r="B2774">
        <v>1034.4183673468999</v>
      </c>
      <c r="C2774" s="1">
        <f t="shared" si="817"/>
        <v>5.5320167813492027E-2</v>
      </c>
      <c r="D2774">
        <v>10.132275132275</v>
      </c>
      <c r="E2774">
        <v>0.24947513416318001</v>
      </c>
      <c r="F2774">
        <v>12</v>
      </c>
    </row>
    <row r="2775" spans="1:9" x14ac:dyDescent="0.25">
      <c r="A2775">
        <v>989.84693877551001</v>
      </c>
      <c r="B2775">
        <v>1040.9693877550999</v>
      </c>
      <c r="C2775" s="1">
        <f t="shared" si="817"/>
        <v>5.1646822328744069E-2</v>
      </c>
      <c r="D2775">
        <v>9.9735449735449997</v>
      </c>
      <c r="E2775">
        <v>0.24223336630594999</v>
      </c>
      <c r="F2775">
        <v>12</v>
      </c>
    </row>
    <row r="2776" spans="1:9" x14ac:dyDescent="0.25">
      <c r="A2776">
        <v>987.5612244898</v>
      </c>
      <c r="B2776">
        <v>1026.2040816326</v>
      </c>
      <c r="C2776" s="1">
        <f t="shared" si="817"/>
        <v>3.9129581219396137E-2</v>
      </c>
      <c r="D2776">
        <v>10.15873015873</v>
      </c>
      <c r="E2776">
        <v>0.24789368479488</v>
      </c>
      <c r="F2776">
        <v>12</v>
      </c>
    </row>
    <row r="2777" spans="1:9" x14ac:dyDescent="0.25">
      <c r="A2777">
        <v>987.15306122448999</v>
      </c>
      <c r="B2777">
        <v>1033.5</v>
      </c>
      <c r="C2777" s="1">
        <f t="shared" si="817"/>
        <v>4.6950103885632588E-2</v>
      </c>
      <c r="D2777">
        <v>10.100529100529</v>
      </c>
      <c r="E2777">
        <v>0.24696629898504999</v>
      </c>
      <c r="F2777">
        <v>13</v>
      </c>
    </row>
    <row r="2778" spans="1:9" x14ac:dyDescent="0.25">
      <c r="A2778">
        <v>986.74489795917998</v>
      </c>
      <c r="B2778">
        <v>1034.1734693876999</v>
      </c>
      <c r="C2778" s="1">
        <f t="shared" si="817"/>
        <v>4.8065687014560154E-2</v>
      </c>
      <c r="D2778">
        <v>10.227513227513001</v>
      </c>
      <c r="E2778">
        <v>0.25057144510397</v>
      </c>
      <c r="F2778">
        <v>12</v>
      </c>
    </row>
    <row r="2779" spans="1:9" x14ac:dyDescent="0.25">
      <c r="A2779">
        <v>985.66326530612002</v>
      </c>
      <c r="B2779">
        <v>1030.9897959184</v>
      </c>
      <c r="C2779" s="1">
        <f t="shared" si="817"/>
        <v>4.5985817071312551E-2</v>
      </c>
      <c r="D2779">
        <v>9.9417989417989006</v>
      </c>
      <c r="E2779">
        <v>0.24218272550254999</v>
      </c>
      <c r="F2779">
        <v>12</v>
      </c>
    </row>
    <row r="2780" spans="1:9" x14ac:dyDescent="0.25">
      <c r="A2780">
        <v>975.4693877551</v>
      </c>
      <c r="B2780">
        <v>1029.8775510204</v>
      </c>
      <c r="C2780" s="1">
        <f t="shared" si="817"/>
        <v>5.5776392317663959E-2</v>
      </c>
      <c r="D2780">
        <v>9.9576719576719999</v>
      </c>
      <c r="E2780">
        <v>0.24582682105027001</v>
      </c>
      <c r="F2780">
        <v>12</v>
      </c>
    </row>
    <row r="2781" spans="1:9" x14ac:dyDescent="0.25">
      <c r="A2781">
        <v>975.45918367346997</v>
      </c>
      <c r="B2781">
        <v>1024.3775510204</v>
      </c>
      <c r="C2781" s="1">
        <f t="shared" si="817"/>
        <v>5.014906637375538E-2</v>
      </c>
      <c r="D2781">
        <v>10.042328042328</v>
      </c>
      <c r="E2781">
        <v>0.24814027677792999</v>
      </c>
      <c r="F2781">
        <v>13</v>
      </c>
    </row>
    <row r="2782" spans="1:9" x14ac:dyDescent="0.25">
      <c r="A2782">
        <v>978.97959183673004</v>
      </c>
      <c r="B2782">
        <v>1043.2346938774999</v>
      </c>
      <c r="C2782" s="1">
        <f t="shared" si="817"/>
        <v>6.5634771732285602E-2</v>
      </c>
      <c r="D2782">
        <v>10.021164021163999</v>
      </c>
      <c r="E2782">
        <v>0.24682788570334999</v>
      </c>
      <c r="F2782">
        <v>12</v>
      </c>
    </row>
    <row r="2783" spans="1:9" x14ac:dyDescent="0.25">
      <c r="A2783">
        <v>988.4693877551</v>
      </c>
      <c r="B2783">
        <v>1022.9591836735</v>
      </c>
      <c r="C2783" s="1">
        <f t="shared" si="817"/>
        <v>3.4892123464469904E-2</v>
      </c>
      <c r="D2783">
        <v>10.142857142857</v>
      </c>
      <c r="E2783">
        <v>0.24700993557055001</v>
      </c>
      <c r="F2783">
        <v>12</v>
      </c>
    </row>
    <row r="2784" spans="1:9" x14ac:dyDescent="0.25">
      <c r="A2784">
        <v>989.07142857143003</v>
      </c>
      <c r="B2784">
        <v>1037.3367346939001</v>
      </c>
      <c r="C2784" s="1">
        <f t="shared" si="817"/>
        <v>4.8798605164626307E-2</v>
      </c>
      <c r="D2784">
        <v>10.111111111111001</v>
      </c>
      <c r="E2784">
        <v>0.24654191724748001</v>
      </c>
      <c r="F2784">
        <v>12</v>
      </c>
    </row>
    <row r="2785" spans="1:9" x14ac:dyDescent="0.25">
      <c r="A2785">
        <v>996.41836734694004</v>
      </c>
      <c r="B2785">
        <v>1022.0102040816</v>
      </c>
      <c r="C2785" s="1">
        <f t="shared" si="817"/>
        <v>2.5683826767265217E-2</v>
      </c>
      <c r="D2785">
        <v>10.084656084656</v>
      </c>
      <c r="E2785">
        <v>0.24302284760314</v>
      </c>
      <c r="F2785">
        <v>13</v>
      </c>
    </row>
    <row r="2786" spans="1:9" x14ac:dyDescent="0.25">
      <c r="A2786">
        <v>987.86734693877997</v>
      </c>
      <c r="B2786">
        <v>1033.1326530612</v>
      </c>
      <c r="C2786" s="1">
        <f t="shared" si="817"/>
        <v>4.582123932194837E-2</v>
      </c>
      <c r="D2786">
        <v>10.211640211640001</v>
      </c>
      <c r="E2786">
        <v>0.24948959513409</v>
      </c>
      <c r="F2786">
        <v>12</v>
      </c>
    </row>
    <row r="2787" spans="1:9" x14ac:dyDescent="0.25">
      <c r="A2787">
        <v>996.29591836735005</v>
      </c>
      <c r="B2787">
        <v>1035.2755102041001</v>
      </c>
      <c r="C2787" s="1">
        <f t="shared" si="817"/>
        <v>3.9124512223864816E-2</v>
      </c>
      <c r="D2787">
        <v>10.100529100529</v>
      </c>
      <c r="E2787">
        <v>0.24347217803811999</v>
      </c>
      <c r="F2787">
        <v>12</v>
      </c>
    </row>
    <row r="2788" spans="1:9" x14ac:dyDescent="0.25">
      <c r="A2788">
        <v>980.57142857143003</v>
      </c>
      <c r="B2788">
        <v>1023.4897959184</v>
      </c>
      <c r="C2788" s="1">
        <f t="shared" si="817"/>
        <v>4.3768731268762906E-2</v>
      </c>
      <c r="D2788">
        <v>9.7037037037037006</v>
      </c>
      <c r="E2788">
        <v>0.23686761938250001</v>
      </c>
      <c r="F2788">
        <v>12</v>
      </c>
      <c r="H2788" t="s">
        <v>17</v>
      </c>
      <c r="I2788">
        <f t="shared" ref="I2788" si="824">STDEVP(A2774:A2793)</f>
        <v>5.9454323752532581</v>
      </c>
    </row>
    <row r="2789" spans="1:9" x14ac:dyDescent="0.25">
      <c r="A2789">
        <v>990.87755102041001</v>
      </c>
      <c r="B2789">
        <v>1042.3367346939001</v>
      </c>
      <c r="C2789" s="1">
        <f t="shared" si="817"/>
        <v>5.1932939262270272E-2</v>
      </c>
      <c r="D2789">
        <v>10.126984126984</v>
      </c>
      <c r="E2789">
        <v>0.24642992189821999</v>
      </c>
      <c r="F2789">
        <v>13</v>
      </c>
      <c r="H2789" t="s">
        <v>18</v>
      </c>
      <c r="I2789">
        <f t="shared" ref="I2789" si="825">STDEVP(B2774:B2793)</f>
        <v>7.4651979404036295</v>
      </c>
    </row>
    <row r="2790" spans="1:9" x14ac:dyDescent="0.25">
      <c r="A2790">
        <v>995.0612244898</v>
      </c>
      <c r="B2790">
        <v>1026.3775510204</v>
      </c>
      <c r="C2790" s="1">
        <f t="shared" si="817"/>
        <v>3.1471758480647205E-2</v>
      </c>
      <c r="D2790">
        <v>10.047619047618999</v>
      </c>
      <c r="E2790">
        <v>0.24250557512533999</v>
      </c>
      <c r="F2790">
        <v>12</v>
      </c>
      <c r="H2790" t="s">
        <v>19</v>
      </c>
      <c r="I2790">
        <f t="shared" ref="I2790" si="826">STDEVP(C2774:C2793)</f>
        <v>9.7472708995382743E-3</v>
      </c>
    </row>
    <row r="2791" spans="1:9" x14ac:dyDescent="0.25">
      <c r="A2791">
        <v>985.80612244897998</v>
      </c>
      <c r="B2791">
        <v>1045.4387755102</v>
      </c>
      <c r="C2791" s="1">
        <f t="shared" si="817"/>
        <v>6.0491258578388774E-2</v>
      </c>
      <c r="D2791">
        <v>10.126984126984</v>
      </c>
      <c r="E2791">
        <v>0.24782911159700999</v>
      </c>
      <c r="F2791">
        <v>12</v>
      </c>
      <c r="H2791" t="s">
        <v>20</v>
      </c>
      <c r="I2791">
        <f t="shared" ref="I2791" si="827">STDEVP(D2774:D2793)</f>
        <v>0.11396529401268289</v>
      </c>
    </row>
    <row r="2792" spans="1:9" x14ac:dyDescent="0.25">
      <c r="A2792">
        <v>985.20408163264995</v>
      </c>
      <c r="B2792">
        <v>1044.8163265306</v>
      </c>
      <c r="C2792" s="1">
        <f t="shared" si="817"/>
        <v>6.0507509062652787E-2</v>
      </c>
      <c r="D2792">
        <v>10.15873015873</v>
      </c>
      <c r="E2792">
        <v>0.24887851365670999</v>
      </c>
      <c r="F2792">
        <v>13</v>
      </c>
      <c r="H2792" t="s">
        <v>21</v>
      </c>
      <c r="I2792">
        <f t="shared" ref="I2792" si="828">STDEVP(E2774:E2793)</f>
        <v>3.2818170614230622E-3</v>
      </c>
    </row>
    <row r="2793" spans="1:9" x14ac:dyDescent="0.25">
      <c r="A2793">
        <v>990.70408163264995</v>
      </c>
      <c r="B2793">
        <v>1040.2959183672999</v>
      </c>
      <c r="C2793" s="1">
        <f t="shared" si="817"/>
        <v>5.0057164045316238E-2</v>
      </c>
      <c r="D2793">
        <v>10.010582010582</v>
      </c>
      <c r="E2793">
        <v>0.24302663798957999</v>
      </c>
      <c r="F2793">
        <v>12</v>
      </c>
      <c r="H2793" t="s">
        <v>22</v>
      </c>
      <c r="I2793">
        <f t="shared" ref="I2793" si="829">STDEVP(F2774:F2793)</f>
        <v>0.4330127018922193</v>
      </c>
    </row>
    <row r="2794" spans="1:9" x14ac:dyDescent="0.25">
      <c r="C2794" s="1" t="str">
        <f t="shared" si="817"/>
        <v/>
      </c>
    </row>
    <row r="2795" spans="1:9" x14ac:dyDescent="0.25">
      <c r="A2795">
        <v>2973.1701155603</v>
      </c>
      <c r="B2795">
        <v>3020.2386455255</v>
      </c>
      <c r="C2795" s="1">
        <f t="shared" si="817"/>
        <v>1.5831092112376544E-2</v>
      </c>
      <c r="D2795">
        <v>21.197814207650001</v>
      </c>
      <c r="E2795">
        <v>0.16328217087057001</v>
      </c>
      <c r="F2795">
        <v>28</v>
      </c>
    </row>
    <row r="2796" spans="1:9" x14ac:dyDescent="0.25">
      <c r="A2796">
        <v>2982.1112604138998</v>
      </c>
      <c r="B2796">
        <v>3045.3609244827999</v>
      </c>
      <c r="C2796" s="1">
        <f t="shared" si="817"/>
        <v>2.120969291404684E-2</v>
      </c>
      <c r="D2796">
        <v>21.227322404372</v>
      </c>
      <c r="E2796">
        <v>0.16306136419018999</v>
      </c>
      <c r="F2796">
        <v>29</v>
      </c>
    </row>
    <row r="2797" spans="1:9" x14ac:dyDescent="0.25">
      <c r="A2797">
        <v>2965.5984950282</v>
      </c>
      <c r="B2797">
        <v>3028.0709486698001</v>
      </c>
      <c r="C2797" s="1">
        <f t="shared" si="817"/>
        <v>2.106571531727397E-2</v>
      </c>
      <c r="D2797">
        <v>21.124590163933998</v>
      </c>
      <c r="E2797">
        <v>0.16308839242507001</v>
      </c>
      <c r="F2797">
        <v>28</v>
      </c>
    </row>
    <row r="2798" spans="1:9" x14ac:dyDescent="0.25">
      <c r="A2798">
        <v>2968.5509271700998</v>
      </c>
      <c r="B2798">
        <v>3024.7304488042</v>
      </c>
      <c r="C2798" s="1">
        <f t="shared" si="817"/>
        <v>1.8924897369928528E-2</v>
      </c>
      <c r="D2798">
        <v>21.219672131147998</v>
      </c>
      <c r="E2798">
        <v>0.16377955870190999</v>
      </c>
      <c r="F2798">
        <v>29</v>
      </c>
    </row>
    <row r="2799" spans="1:9" x14ac:dyDescent="0.25">
      <c r="A2799">
        <v>2982.7621607095002</v>
      </c>
      <c r="B2799">
        <v>3027.8602526203999</v>
      </c>
      <c r="C2799" s="1">
        <f t="shared" si="817"/>
        <v>1.5119573563375344E-2</v>
      </c>
      <c r="D2799">
        <v>21.275409836066</v>
      </c>
      <c r="E2799">
        <v>0.16339134417491</v>
      </c>
      <c r="F2799">
        <v>28</v>
      </c>
    </row>
    <row r="2800" spans="1:9" x14ac:dyDescent="0.25">
      <c r="A2800">
        <v>2969.1464660038</v>
      </c>
      <c r="B2800">
        <v>3028.0467616234</v>
      </c>
      <c r="C2800" s="1">
        <f t="shared" si="817"/>
        <v>1.9837450356187558E-2</v>
      </c>
      <c r="D2800">
        <v>21.269945355190998</v>
      </c>
      <c r="E2800">
        <v>0.16422257098439999</v>
      </c>
      <c r="F2800">
        <v>29</v>
      </c>
    </row>
    <row r="2801" spans="1:9" x14ac:dyDescent="0.25">
      <c r="A2801">
        <v>2968.1580220371002</v>
      </c>
      <c r="B2801">
        <v>3024.6320881484999</v>
      </c>
      <c r="C2801" s="1">
        <f t="shared" si="817"/>
        <v>1.9026637292255844E-2</v>
      </c>
      <c r="D2801">
        <v>21.318032786884999</v>
      </c>
      <c r="E2801">
        <v>0.16467540634221001</v>
      </c>
      <c r="F2801">
        <v>28</v>
      </c>
    </row>
    <row r="2802" spans="1:9" x14ac:dyDescent="0.25">
      <c r="A2802">
        <v>2967.9951625907001</v>
      </c>
      <c r="B2802">
        <v>3022.8245095406</v>
      </c>
      <c r="C2802" s="1">
        <f t="shared" si="817"/>
        <v>1.8473529755365314E-2</v>
      </c>
      <c r="D2802">
        <v>21.048087431694</v>
      </c>
      <c r="E2802">
        <v>0.16227474031663999</v>
      </c>
      <c r="F2802">
        <v>29</v>
      </c>
    </row>
    <row r="2803" spans="1:9" x14ac:dyDescent="0.25">
      <c r="A2803">
        <v>2973.7242676699998</v>
      </c>
      <c r="B2803">
        <v>3031.7855415211998</v>
      </c>
      <c r="C2803" s="1">
        <f t="shared" si="817"/>
        <v>1.9524767135418619E-2</v>
      </c>
      <c r="D2803">
        <v>21.207650273224001</v>
      </c>
      <c r="E2803">
        <v>0.16335486928319001</v>
      </c>
      <c r="F2803">
        <v>28</v>
      </c>
    </row>
    <row r="2804" spans="1:9" x14ac:dyDescent="0.25">
      <c r="A2804">
        <v>2956.9293200751999</v>
      </c>
      <c r="B2804">
        <v>3021.7597420050001</v>
      </c>
      <c r="C2804" s="1">
        <f t="shared" si="817"/>
        <v>2.1924914298645293E-2</v>
      </c>
      <c r="D2804">
        <v>21.198907103825</v>
      </c>
      <c r="E2804">
        <v>0.16431425975996999</v>
      </c>
      <c r="F2804">
        <v>29</v>
      </c>
    </row>
    <row r="2805" spans="1:9" x14ac:dyDescent="0.25">
      <c r="A2805">
        <v>2968.8884708412002</v>
      </c>
      <c r="B2805">
        <v>3025.3028755711998</v>
      </c>
      <c r="C2805" s="1">
        <f t="shared" si="817"/>
        <v>1.9001860556255634E-2</v>
      </c>
      <c r="D2805">
        <v>20.923497267759998</v>
      </c>
      <c r="E2805">
        <v>0.16109129806968001</v>
      </c>
      <c r="F2805">
        <v>28</v>
      </c>
    </row>
    <row r="2806" spans="1:9" x14ac:dyDescent="0.25">
      <c r="A2806">
        <v>2953.8677774792</v>
      </c>
      <c r="B2806">
        <v>3021.0153184628998</v>
      </c>
      <c r="C2806" s="1">
        <f t="shared" si="817"/>
        <v>2.2732074027024707E-2</v>
      </c>
      <c r="D2806">
        <v>21.003278688525</v>
      </c>
      <c r="E2806">
        <v>0.16276295658684001</v>
      </c>
      <c r="F2806">
        <v>29</v>
      </c>
    </row>
    <row r="2807" spans="1:9" x14ac:dyDescent="0.25">
      <c r="A2807">
        <v>2982.9303950550998</v>
      </c>
      <c r="B2807">
        <v>3038.8196721313002</v>
      </c>
      <c r="C2807" s="1">
        <f t="shared" si="817"/>
        <v>1.8736366483391498E-2</v>
      </c>
      <c r="D2807">
        <v>21.462295081967</v>
      </c>
      <c r="E2807">
        <v>0.16504515544247</v>
      </c>
      <c r="F2807">
        <v>28</v>
      </c>
    </row>
    <row r="2808" spans="1:9" x14ac:dyDescent="0.25">
      <c r="A2808">
        <v>2979.4995968826001</v>
      </c>
      <c r="B2808">
        <v>3030.9153453374001</v>
      </c>
      <c r="C2808" s="1">
        <f t="shared" si="817"/>
        <v>1.725650458506367E-2</v>
      </c>
      <c r="D2808">
        <v>21.35956284153</v>
      </c>
      <c r="E2808">
        <v>0.16430137440018999</v>
      </c>
      <c r="F2808">
        <v>29</v>
      </c>
    </row>
    <row r="2809" spans="1:9" x14ac:dyDescent="0.25">
      <c r="A2809">
        <v>2969.6425692018001</v>
      </c>
      <c r="B2809">
        <v>3023.4404729912999</v>
      </c>
      <c r="C2809" s="1">
        <f t="shared" si="817"/>
        <v>1.8115952521504886E-2</v>
      </c>
      <c r="D2809">
        <v>21.123497267760001</v>
      </c>
      <c r="E2809">
        <v>0.16281256957911999</v>
      </c>
      <c r="F2809">
        <v>29</v>
      </c>
      <c r="H2809" t="s">
        <v>17</v>
      </c>
      <c r="I2809">
        <f t="shared" ref="I2809" si="830">STDEVP(A2795:A2814)</f>
        <v>9.7292723637900185</v>
      </c>
    </row>
    <row r="2810" spans="1:9" x14ac:dyDescent="0.25">
      <c r="A2810">
        <v>2976.5272776134998</v>
      </c>
      <c r="B2810">
        <v>3032.3380811611</v>
      </c>
      <c r="C2810" s="1">
        <f t="shared" si="817"/>
        <v>1.8750308108161473E-2</v>
      </c>
      <c r="D2810">
        <v>21.025136612021999</v>
      </c>
      <c r="E2810">
        <v>0.16150302104830999</v>
      </c>
      <c r="F2810">
        <v>28</v>
      </c>
      <c r="H2810" t="s">
        <v>18</v>
      </c>
      <c r="I2810">
        <f t="shared" ref="I2810" si="831">STDEVP(B2795:B2814)</f>
        <v>7.1086191437677613</v>
      </c>
    </row>
    <row r="2811" spans="1:9" x14ac:dyDescent="0.25">
      <c r="A2811">
        <v>2954.6906745499</v>
      </c>
      <c r="B2811">
        <v>3021.2367643108</v>
      </c>
      <c r="C2811" s="1">
        <f t="shared" si="817"/>
        <v>2.2522184922466382E-2</v>
      </c>
      <c r="D2811">
        <v>21.126775956284</v>
      </c>
      <c r="E2811">
        <v>0.16379615182466001</v>
      </c>
      <c r="F2811">
        <v>29</v>
      </c>
      <c r="H2811" t="s">
        <v>19</v>
      </c>
      <c r="I2811">
        <f t="shared" ref="I2811" si="832">STDEVP(C2795:C2814)</f>
        <v>2.0372126374031273E-3</v>
      </c>
    </row>
    <row r="2812" spans="1:9" x14ac:dyDescent="0.25">
      <c r="A2812">
        <v>2953.3625369524002</v>
      </c>
      <c r="B2812">
        <v>3013.4915345339</v>
      </c>
      <c r="C2812" s="1">
        <f t="shared" si="817"/>
        <v>2.0359504405289552E-2</v>
      </c>
      <c r="D2812">
        <v>21.144262295082001</v>
      </c>
      <c r="E2812">
        <v>0.16405666095327001</v>
      </c>
      <c r="F2812">
        <v>28</v>
      </c>
      <c r="H2812" t="s">
        <v>20</v>
      </c>
      <c r="I2812">
        <f t="shared" ref="I2812" si="833">STDEVP(D2795:D2814)</f>
        <v>0.12330294446089399</v>
      </c>
    </row>
    <row r="2813" spans="1:9" x14ac:dyDescent="0.25">
      <c r="A2813">
        <v>2986.7938726149</v>
      </c>
      <c r="B2813">
        <v>3036.6245632895998</v>
      </c>
      <c r="C2813" s="1">
        <f t="shared" si="817"/>
        <v>1.6683672459483656E-2</v>
      </c>
      <c r="D2813">
        <v>21.212021857922998</v>
      </c>
      <c r="E2813">
        <v>0.16256066620444001</v>
      </c>
      <c r="F2813">
        <v>29</v>
      </c>
      <c r="H2813" t="s">
        <v>21</v>
      </c>
      <c r="I2813">
        <f t="shared" ref="I2813" si="834">STDEVP(E2795:E2814)</f>
        <v>9.8282839336537764E-4</v>
      </c>
    </row>
    <row r="2814" spans="1:9" x14ac:dyDescent="0.25">
      <c r="A2814">
        <v>2972.6062886321001</v>
      </c>
      <c r="B2814">
        <v>3025.0792797636</v>
      </c>
      <c r="C2814" s="1">
        <f t="shared" si="817"/>
        <v>1.7652183315418624E-2</v>
      </c>
      <c r="D2814">
        <v>21.150819672131</v>
      </c>
      <c r="E2814">
        <v>0.16296599340267001</v>
      </c>
      <c r="F2814">
        <v>28</v>
      </c>
      <c r="H2814" t="s">
        <v>22</v>
      </c>
      <c r="I2814">
        <f t="shared" ref="I2814" si="835">STDEVP(F2795:F2814)</f>
        <v>0.5</v>
      </c>
    </row>
    <row r="2815" spans="1:9" x14ac:dyDescent="0.25">
      <c r="C2815" s="1" t="str">
        <f t="shared" si="817"/>
        <v/>
      </c>
    </row>
    <row r="2816" spans="1:9" x14ac:dyDescent="0.25">
      <c r="A2816">
        <v>737.32421177870003</v>
      </c>
      <c r="B2816">
        <v>772.03331350386998</v>
      </c>
      <c r="C2816" s="1">
        <f t="shared" si="817"/>
        <v>4.7074409290641217E-2</v>
      </c>
      <c r="D2816">
        <v>12.385365853659</v>
      </c>
      <c r="E2816">
        <v>0.48927034237020001</v>
      </c>
      <c r="F2816">
        <v>16</v>
      </c>
    </row>
    <row r="2817" spans="1:9" x14ac:dyDescent="0.25">
      <c r="A2817">
        <v>726.79595478882004</v>
      </c>
      <c r="B2817">
        <v>760.52111838192002</v>
      </c>
      <c r="C2817" s="1">
        <f t="shared" si="817"/>
        <v>4.6402519676790543E-2</v>
      </c>
      <c r="D2817">
        <v>12.268292682926999</v>
      </c>
      <c r="E2817">
        <v>0.49328513316060002</v>
      </c>
      <c r="F2817">
        <v>16</v>
      </c>
    </row>
    <row r="2818" spans="1:9" x14ac:dyDescent="0.25">
      <c r="A2818">
        <v>741.13027959548003</v>
      </c>
      <c r="B2818">
        <v>772.61867935753003</v>
      </c>
      <c r="C2818" s="1">
        <f t="shared" ref="C2818:C2881" si="836">IFERROR((B2818/A2818)-1,"")</f>
        <v>4.2486996725105808E-2</v>
      </c>
      <c r="D2818">
        <v>12.382926829267999</v>
      </c>
      <c r="E2818">
        <v>0.48515266033093002</v>
      </c>
      <c r="F2818">
        <v>16</v>
      </c>
    </row>
    <row r="2819" spans="1:9" x14ac:dyDescent="0.25">
      <c r="A2819">
        <v>744.58774538964997</v>
      </c>
      <c r="B2819">
        <v>773.74419988103</v>
      </c>
      <c r="C2819" s="1">
        <f t="shared" si="836"/>
        <v>3.9157848986786981E-2</v>
      </c>
      <c r="D2819">
        <v>12.49512195122</v>
      </c>
      <c r="E2819">
        <v>0.48811224366849998</v>
      </c>
      <c r="F2819">
        <v>16</v>
      </c>
    </row>
    <row r="2820" spans="1:9" x14ac:dyDescent="0.25">
      <c r="A2820">
        <v>735.16359309935001</v>
      </c>
      <c r="B2820">
        <v>768.88637715645996</v>
      </c>
      <c r="C2820" s="1">
        <f t="shared" si="836"/>
        <v>4.5871129057056814E-2</v>
      </c>
      <c r="D2820">
        <v>12.114634146341</v>
      </c>
      <c r="E2820">
        <v>0.47590801172335001</v>
      </c>
      <c r="F2820">
        <v>17</v>
      </c>
    </row>
    <row r="2821" spans="1:9" x14ac:dyDescent="0.25">
      <c r="A2821">
        <v>722.88994646044</v>
      </c>
      <c r="B2821">
        <v>762.91850089233003</v>
      </c>
      <c r="C2821" s="1">
        <f t="shared" si="836"/>
        <v>5.5372957706613546E-2</v>
      </c>
      <c r="D2821">
        <v>12.075609756098</v>
      </c>
      <c r="E2821">
        <v>0.48521585711363002</v>
      </c>
      <c r="F2821">
        <v>16</v>
      </c>
    </row>
    <row r="2822" spans="1:9" x14ac:dyDescent="0.25">
      <c r="A2822">
        <v>740.58655562164995</v>
      </c>
      <c r="B2822">
        <v>768.20701963117995</v>
      </c>
      <c r="C2822" s="1">
        <f t="shared" si="836"/>
        <v>3.7295389444850668E-2</v>
      </c>
      <c r="D2822">
        <v>12.49756097561</v>
      </c>
      <c r="E2822">
        <v>0.49202873009603998</v>
      </c>
      <c r="F2822">
        <v>16</v>
      </c>
    </row>
    <row r="2823" spans="1:9" x14ac:dyDescent="0.25">
      <c r="A2823">
        <v>733.53361094587001</v>
      </c>
      <c r="B2823">
        <v>765.14812611541004</v>
      </c>
      <c r="C2823" s="1">
        <f t="shared" si="836"/>
        <v>4.309893193411285E-2</v>
      </c>
      <c r="D2823">
        <v>12.356097560976</v>
      </c>
      <c r="E2823">
        <v>0.49157255918587001</v>
      </c>
      <c r="F2823">
        <v>16</v>
      </c>
    </row>
    <row r="2824" spans="1:9" x14ac:dyDescent="0.25">
      <c r="A2824">
        <v>736.45330160619005</v>
      </c>
      <c r="B2824">
        <v>763.78703152885998</v>
      </c>
      <c r="C2824" s="1">
        <f t="shared" si="836"/>
        <v>3.7115360693007471E-2</v>
      </c>
      <c r="D2824">
        <v>12.170731707317</v>
      </c>
      <c r="E2824">
        <v>0.47846919241435998</v>
      </c>
      <c r="F2824">
        <v>16</v>
      </c>
    </row>
    <row r="2825" spans="1:9" x14ac:dyDescent="0.25">
      <c r="A2825">
        <v>736.09637120760999</v>
      </c>
      <c r="B2825">
        <v>773.28019036288003</v>
      </c>
      <c r="C2825" s="1">
        <f t="shared" si="836"/>
        <v>5.0514879042628413E-2</v>
      </c>
      <c r="D2825">
        <v>12.40243902439</v>
      </c>
      <c r="E2825">
        <v>0.49305314644780002</v>
      </c>
      <c r="F2825">
        <v>17</v>
      </c>
    </row>
    <row r="2826" spans="1:9" x14ac:dyDescent="0.25">
      <c r="A2826">
        <v>736.22605591909996</v>
      </c>
      <c r="B2826">
        <v>762.04164187983997</v>
      </c>
      <c r="C2826" s="1">
        <f t="shared" si="836"/>
        <v>3.5064754572577517E-2</v>
      </c>
      <c r="D2826">
        <v>12.236585365853999</v>
      </c>
      <c r="E2826">
        <v>0.48163870607685</v>
      </c>
      <c r="F2826">
        <v>16</v>
      </c>
    </row>
    <row r="2827" spans="1:9" x14ac:dyDescent="0.25">
      <c r="A2827">
        <v>738.43902439023998</v>
      </c>
      <c r="B2827">
        <v>768.74955383701001</v>
      </c>
      <c r="C2827" s="1">
        <f t="shared" si="836"/>
        <v>4.1046760051445919E-2</v>
      </c>
      <c r="D2827">
        <v>12.5</v>
      </c>
      <c r="E2827">
        <v>0.49462577118057</v>
      </c>
      <c r="F2827">
        <v>16</v>
      </c>
    </row>
    <row r="2828" spans="1:9" x14ac:dyDescent="0.25">
      <c r="A2828">
        <v>738.39976204640004</v>
      </c>
      <c r="B2828">
        <v>776.43783462224997</v>
      </c>
      <c r="C2828" s="1">
        <f t="shared" si="836"/>
        <v>5.1514199395773508E-2</v>
      </c>
      <c r="D2828">
        <v>12.480487804878001</v>
      </c>
      <c r="E2828">
        <v>0.49425445491212</v>
      </c>
      <c r="F2828">
        <v>16</v>
      </c>
    </row>
    <row r="2829" spans="1:9" x14ac:dyDescent="0.25">
      <c r="A2829">
        <v>733.80130874479005</v>
      </c>
      <c r="B2829">
        <v>765.74063057703995</v>
      </c>
      <c r="C2829" s="1">
        <f t="shared" si="836"/>
        <v>4.3525844737022812E-2</v>
      </c>
      <c r="D2829">
        <v>12.307317073170999</v>
      </c>
      <c r="E2829">
        <v>0.48892706441445999</v>
      </c>
      <c r="F2829">
        <v>16</v>
      </c>
    </row>
    <row r="2830" spans="1:9" x14ac:dyDescent="0.25">
      <c r="A2830">
        <v>730.70910172516005</v>
      </c>
      <c r="B2830">
        <v>766.31290898274995</v>
      </c>
      <c r="C2830" s="1">
        <f t="shared" si="836"/>
        <v>4.8725008588960339E-2</v>
      </c>
      <c r="D2830">
        <v>12.146341463415</v>
      </c>
      <c r="E2830">
        <v>0.48201324192297001</v>
      </c>
      <c r="F2830">
        <v>17</v>
      </c>
      <c r="H2830" t="s">
        <v>17</v>
      </c>
      <c r="I2830">
        <f t="shared" ref="I2830" si="837">STDEVP(A2816:A2835)</f>
        <v>5.4571404580154139</v>
      </c>
    </row>
    <row r="2831" spans="1:9" x14ac:dyDescent="0.25">
      <c r="A2831">
        <v>743.36228435454996</v>
      </c>
      <c r="B2831">
        <v>772.57465794170002</v>
      </c>
      <c r="C2831" s="1">
        <f t="shared" si="836"/>
        <v>3.9297626745369074E-2</v>
      </c>
      <c r="D2831">
        <v>12.207317073171</v>
      </c>
      <c r="E2831">
        <v>0.47414747509645999</v>
      </c>
      <c r="F2831">
        <v>16</v>
      </c>
      <c r="H2831" t="s">
        <v>18</v>
      </c>
      <c r="I2831">
        <f t="shared" ref="I2831" si="838">STDEVP(B2816:B2835)</f>
        <v>4.7601048027842898</v>
      </c>
    </row>
    <row r="2832" spans="1:9" x14ac:dyDescent="0.25">
      <c r="A2832">
        <v>730.19631171922003</v>
      </c>
      <c r="B2832">
        <v>764.28673408685995</v>
      </c>
      <c r="C2832" s="1">
        <f t="shared" si="836"/>
        <v>4.6686653740245943E-2</v>
      </c>
      <c r="D2832">
        <v>11.89756097561</v>
      </c>
      <c r="E2832">
        <v>0.46949485811808001</v>
      </c>
      <c r="F2832">
        <v>16</v>
      </c>
      <c r="H2832" t="s">
        <v>19</v>
      </c>
      <c r="I2832">
        <f t="shared" ref="I2832" si="839">STDEVP(C2816:C2835)</f>
        <v>5.2189017235208246E-3</v>
      </c>
    </row>
    <row r="2833" spans="1:9" x14ac:dyDescent="0.25">
      <c r="A2833">
        <v>726.50565139798005</v>
      </c>
      <c r="B2833">
        <v>758.86020226055996</v>
      </c>
      <c r="C2833" s="1">
        <f t="shared" si="836"/>
        <v>4.4534479257417381E-2</v>
      </c>
      <c r="D2833">
        <v>12.063414634146</v>
      </c>
      <c r="E2833">
        <v>0.48048826417924001</v>
      </c>
      <c r="F2833">
        <v>16</v>
      </c>
      <c r="H2833" t="s">
        <v>20</v>
      </c>
      <c r="I2833">
        <f t="shared" ref="I2833" si="840">STDEVP(D2816:D2835)</f>
        <v>0.16334654569865967</v>
      </c>
    </row>
    <row r="2834" spans="1:9" x14ac:dyDescent="0.25">
      <c r="A2834">
        <v>734.76859012493003</v>
      </c>
      <c r="B2834">
        <v>771.45508625818002</v>
      </c>
      <c r="C2834" s="1">
        <f t="shared" si="836"/>
        <v>4.992932009656581E-2</v>
      </c>
      <c r="D2834">
        <v>12.224390243902</v>
      </c>
      <c r="E2834">
        <v>0.48242516843576999</v>
      </c>
      <c r="F2834">
        <v>16</v>
      </c>
      <c r="H2834" t="s">
        <v>21</v>
      </c>
      <c r="I2834">
        <f t="shared" ref="I2834" si="841">STDEVP(E2816:E2835)</f>
        <v>7.0827979440204886E-3</v>
      </c>
    </row>
    <row r="2835" spans="1:9" x14ac:dyDescent="0.25">
      <c r="A2835">
        <v>735.66210588934996</v>
      </c>
      <c r="B2835">
        <v>766.37477691849995</v>
      </c>
      <c r="C2835" s="1">
        <f t="shared" si="836"/>
        <v>4.1748339058488071E-2</v>
      </c>
      <c r="D2835">
        <v>12.192682926829001</v>
      </c>
      <c r="E2835">
        <v>0.48001984962172001</v>
      </c>
      <c r="F2835">
        <v>17</v>
      </c>
      <c r="H2835" t="s">
        <v>22</v>
      </c>
      <c r="I2835">
        <f t="shared" ref="I2835" si="842">STDEVP(F2816:F2835)</f>
        <v>0.39999999999999997</v>
      </c>
    </row>
    <row r="2836" spans="1:9" x14ac:dyDescent="0.25">
      <c r="C2836" s="1" t="str">
        <f t="shared" si="836"/>
        <v/>
      </c>
    </row>
    <row r="2837" spans="1:9" x14ac:dyDescent="0.25">
      <c r="A2837">
        <v>588.94444444444002</v>
      </c>
      <c r="B2837">
        <v>618.94444444444002</v>
      </c>
      <c r="C2837" s="1">
        <f t="shared" si="836"/>
        <v>5.0938590698990982E-2</v>
      </c>
      <c r="D2837">
        <v>10.878787878788</v>
      </c>
      <c r="E2837">
        <v>0.51343760883766998</v>
      </c>
      <c r="F2837">
        <v>12</v>
      </c>
    </row>
    <row r="2838" spans="1:9" x14ac:dyDescent="0.25">
      <c r="A2838">
        <v>575.05555555555998</v>
      </c>
      <c r="B2838">
        <v>625.88888888889005</v>
      </c>
      <c r="C2838" s="1">
        <f t="shared" si="836"/>
        <v>8.8397256303732519E-2</v>
      </c>
      <c r="D2838">
        <v>10.757575757575999</v>
      </c>
      <c r="E2838">
        <v>0.52477009701531996</v>
      </c>
      <c r="F2838">
        <v>12</v>
      </c>
    </row>
    <row r="2839" spans="1:9" x14ac:dyDescent="0.25">
      <c r="A2839">
        <v>568.16666666667004</v>
      </c>
      <c r="B2839">
        <v>633.88888888889005</v>
      </c>
      <c r="C2839" s="1">
        <f t="shared" si="836"/>
        <v>0.11567419575632676</v>
      </c>
      <c r="D2839">
        <v>10.181818181818</v>
      </c>
      <c r="E2839">
        <v>0.49497776080109002</v>
      </c>
      <c r="F2839">
        <v>12</v>
      </c>
    </row>
    <row r="2840" spans="1:9" x14ac:dyDescent="0.25">
      <c r="A2840">
        <v>568</v>
      </c>
      <c r="B2840">
        <v>627.33333333332996</v>
      </c>
      <c r="C2840" s="1">
        <f t="shared" si="836"/>
        <v>0.10446009389670774</v>
      </c>
      <c r="D2840">
        <v>10</v>
      </c>
      <c r="E2840">
        <v>0.48062516674208999</v>
      </c>
      <c r="F2840">
        <v>12</v>
      </c>
    </row>
    <row r="2841" spans="1:9" x14ac:dyDescent="0.25">
      <c r="A2841">
        <v>557.33333333332996</v>
      </c>
      <c r="B2841">
        <v>619.94444444444002</v>
      </c>
      <c r="C2841" s="1">
        <f t="shared" si="836"/>
        <v>0.11234051036682491</v>
      </c>
      <c r="D2841">
        <v>11</v>
      </c>
      <c r="E2841">
        <v>0.57041519959453002</v>
      </c>
      <c r="F2841">
        <v>12</v>
      </c>
    </row>
    <row r="2842" spans="1:9" x14ac:dyDescent="0.25">
      <c r="A2842">
        <v>570.77777777777999</v>
      </c>
      <c r="B2842">
        <v>618.61111111110995</v>
      </c>
      <c r="C2842" s="1">
        <f t="shared" si="836"/>
        <v>8.3803776523256435E-2</v>
      </c>
      <c r="D2842">
        <v>10.696969696969999</v>
      </c>
      <c r="E2842">
        <v>0.52564889645504997</v>
      </c>
      <c r="F2842">
        <v>12</v>
      </c>
    </row>
    <row r="2843" spans="1:9" x14ac:dyDescent="0.25">
      <c r="A2843">
        <v>568.44444444444002</v>
      </c>
      <c r="B2843">
        <v>629.72222222222001</v>
      </c>
      <c r="C2843" s="1">
        <f t="shared" si="836"/>
        <v>0.10779906176701015</v>
      </c>
      <c r="D2843">
        <v>10.151515151515</v>
      </c>
      <c r="E2843">
        <v>0.48970561582435002</v>
      </c>
      <c r="F2843">
        <v>12</v>
      </c>
    </row>
    <row r="2844" spans="1:9" x14ac:dyDescent="0.25">
      <c r="A2844">
        <v>567.33333333332996</v>
      </c>
      <c r="B2844">
        <v>628.27777777777999</v>
      </c>
      <c r="C2844" s="1">
        <f t="shared" si="836"/>
        <v>0.10742264003134627</v>
      </c>
      <c r="D2844">
        <v>10.454545454545</v>
      </c>
      <c r="E2844">
        <v>0.51102068857660998</v>
      </c>
      <c r="F2844">
        <v>12</v>
      </c>
    </row>
    <row r="2845" spans="1:9" x14ac:dyDescent="0.25">
      <c r="A2845">
        <v>579.5</v>
      </c>
      <c r="B2845">
        <v>635.16666666667004</v>
      </c>
      <c r="C2845" s="1">
        <f t="shared" si="836"/>
        <v>9.6059821685366753E-2</v>
      </c>
      <c r="D2845">
        <v>10.636363636364001</v>
      </c>
      <c r="E2845">
        <v>0.51044330628573997</v>
      </c>
      <c r="F2845">
        <v>12</v>
      </c>
    </row>
    <row r="2846" spans="1:9" x14ac:dyDescent="0.25">
      <c r="A2846">
        <v>567</v>
      </c>
      <c r="B2846">
        <v>634.55555555554997</v>
      </c>
      <c r="C2846" s="1">
        <f t="shared" si="836"/>
        <v>0.11914560062707236</v>
      </c>
      <c r="D2846">
        <v>10.090909090908999</v>
      </c>
      <c r="E2846">
        <v>0.48515675705141997</v>
      </c>
      <c r="F2846">
        <v>12</v>
      </c>
    </row>
    <row r="2847" spans="1:9" x14ac:dyDescent="0.25">
      <c r="A2847">
        <v>568.38888888889005</v>
      </c>
      <c r="B2847">
        <v>629.16666666667004</v>
      </c>
      <c r="C2847" s="1">
        <f t="shared" si="836"/>
        <v>0.10692991887401404</v>
      </c>
      <c r="D2847">
        <v>10.484848484847999</v>
      </c>
      <c r="E2847">
        <v>0.51198996302160005</v>
      </c>
      <c r="F2847">
        <v>12</v>
      </c>
    </row>
    <row r="2848" spans="1:9" x14ac:dyDescent="0.25">
      <c r="A2848">
        <v>572.38888888889005</v>
      </c>
      <c r="B2848">
        <v>637.77777777777999</v>
      </c>
      <c r="C2848" s="1">
        <f t="shared" si="836"/>
        <v>0.11423857128991721</v>
      </c>
      <c r="D2848">
        <v>10.848484848485</v>
      </c>
      <c r="E2848">
        <v>0.53422482992259002</v>
      </c>
      <c r="F2848">
        <v>12</v>
      </c>
    </row>
    <row r="2849" spans="1:9" x14ac:dyDescent="0.25">
      <c r="A2849">
        <v>574.44444444444002</v>
      </c>
      <c r="B2849">
        <v>632.83333333332996</v>
      </c>
      <c r="C2849" s="1">
        <f t="shared" si="836"/>
        <v>0.10164410058027351</v>
      </c>
      <c r="D2849">
        <v>10.878787878788</v>
      </c>
      <c r="E2849">
        <v>0.53448885585490002</v>
      </c>
      <c r="F2849">
        <v>12</v>
      </c>
    </row>
    <row r="2850" spans="1:9" x14ac:dyDescent="0.25">
      <c r="A2850">
        <v>584.77777777777999</v>
      </c>
      <c r="B2850">
        <v>643.55555555554997</v>
      </c>
      <c r="C2850" s="1">
        <f t="shared" si="836"/>
        <v>0.1005130153904481</v>
      </c>
      <c r="D2850">
        <v>10.878787878788</v>
      </c>
      <c r="E2850">
        <v>0.52028313308704</v>
      </c>
      <c r="F2850">
        <v>12</v>
      </c>
    </row>
    <row r="2851" spans="1:9" x14ac:dyDescent="0.25">
      <c r="A2851">
        <v>571.05555555555998</v>
      </c>
      <c r="B2851">
        <v>613.33333333332996</v>
      </c>
      <c r="C2851" s="1">
        <f t="shared" si="836"/>
        <v>7.4034439147762754E-2</v>
      </c>
      <c r="D2851">
        <v>10.757575757575999</v>
      </c>
      <c r="E2851">
        <v>0.52905111576276997</v>
      </c>
      <c r="F2851">
        <v>12</v>
      </c>
      <c r="H2851" t="s">
        <v>17</v>
      </c>
      <c r="I2851">
        <f t="shared" ref="I2851" si="843">STDEVP(A2837:A2856)</f>
        <v>7.5624860983452278</v>
      </c>
    </row>
    <row r="2852" spans="1:9" x14ac:dyDescent="0.25">
      <c r="A2852">
        <v>587.66666666667004</v>
      </c>
      <c r="B2852">
        <v>632.61111111110995</v>
      </c>
      <c r="C2852" s="1">
        <f t="shared" si="836"/>
        <v>7.6479485725081675E-2</v>
      </c>
      <c r="D2852">
        <v>11.454545454545</v>
      </c>
      <c r="E2852">
        <v>0.55896741971215003</v>
      </c>
      <c r="F2852">
        <v>12</v>
      </c>
      <c r="H2852" t="s">
        <v>18</v>
      </c>
      <c r="I2852">
        <f t="shared" ref="I2852" si="844">STDEVP(B2837:B2856)</f>
        <v>8.5747277968533488</v>
      </c>
    </row>
    <row r="2853" spans="1:9" x14ac:dyDescent="0.25">
      <c r="A2853">
        <v>570.61111111110995</v>
      </c>
      <c r="B2853">
        <v>628.88888888889005</v>
      </c>
      <c r="C2853" s="1">
        <f t="shared" si="836"/>
        <v>0.10213221692143359</v>
      </c>
      <c r="D2853">
        <v>10.515151515152001</v>
      </c>
      <c r="E2853">
        <v>0.51323394691030999</v>
      </c>
      <c r="F2853">
        <v>12</v>
      </c>
      <c r="H2853" t="s">
        <v>19</v>
      </c>
      <c r="I2853">
        <f t="shared" ref="I2853" si="845">STDEVP(C2837:C2856)</f>
        <v>2.0040780546158765E-2</v>
      </c>
    </row>
    <row r="2854" spans="1:9" x14ac:dyDescent="0.25">
      <c r="A2854">
        <v>564.44444444444002</v>
      </c>
      <c r="B2854">
        <v>648.83333333332996</v>
      </c>
      <c r="C2854" s="1">
        <f t="shared" si="836"/>
        <v>0.14950787401575116</v>
      </c>
      <c r="D2854">
        <v>10.242424242424001</v>
      </c>
      <c r="E2854">
        <v>0.50124461589251001</v>
      </c>
      <c r="F2854">
        <v>12</v>
      </c>
      <c r="H2854" t="s">
        <v>20</v>
      </c>
      <c r="I2854">
        <f t="shared" ref="I2854" si="846">STDEVP(D2837:D2856)</f>
        <v>0.35592840872795045</v>
      </c>
    </row>
    <row r="2855" spans="1:9" x14ac:dyDescent="0.25">
      <c r="A2855">
        <v>572.11111111110995</v>
      </c>
      <c r="B2855">
        <v>618.44444444444002</v>
      </c>
      <c r="C2855" s="1">
        <f t="shared" si="836"/>
        <v>8.0986599339672116E-2</v>
      </c>
      <c r="D2855">
        <v>10.424242424241999</v>
      </c>
      <c r="E2855">
        <v>0.50328222044419002</v>
      </c>
      <c r="F2855">
        <v>13</v>
      </c>
      <c r="H2855" t="s">
        <v>21</v>
      </c>
      <c r="I2855">
        <f t="shared" ref="I2855" si="847">STDEVP(E2837:E2856)</f>
        <v>2.2571754257190439E-2</v>
      </c>
    </row>
    <row r="2856" spans="1:9" x14ac:dyDescent="0.25">
      <c r="A2856">
        <v>571.83333333332996</v>
      </c>
      <c r="B2856">
        <v>626.33333333332996</v>
      </c>
      <c r="C2856" s="1">
        <f t="shared" si="836"/>
        <v>9.5307490527543504E-2</v>
      </c>
      <c r="D2856">
        <v>10.909090909091001</v>
      </c>
      <c r="E2856">
        <v>0.54058968143482</v>
      </c>
      <c r="F2856">
        <v>12</v>
      </c>
      <c r="H2856" t="s">
        <v>22</v>
      </c>
      <c r="I2856">
        <f t="shared" ref="I2856" si="848">STDEVP(F2837:F2856)</f>
        <v>0.21794494717703367</v>
      </c>
    </row>
    <row r="2857" spans="1:9" x14ac:dyDescent="0.25">
      <c r="C2857" s="1" t="str">
        <f t="shared" si="836"/>
        <v/>
      </c>
    </row>
    <row r="2858" spans="1:9" x14ac:dyDescent="0.25">
      <c r="A2858">
        <v>2274.9408327246001</v>
      </c>
      <c r="B2858">
        <v>2318.4631117604999</v>
      </c>
      <c r="C2858" s="1">
        <f t="shared" si="836"/>
        <v>1.9131169659377445E-2</v>
      </c>
      <c r="D2858">
        <v>17.138097001110999</v>
      </c>
      <c r="E2858">
        <v>0.17472722895444001</v>
      </c>
      <c r="F2858">
        <v>46</v>
      </c>
    </row>
    <row r="2859" spans="1:9" x14ac:dyDescent="0.25">
      <c r="A2859">
        <v>2282.1300219138002</v>
      </c>
      <c r="B2859">
        <v>2318.3308984660998</v>
      </c>
      <c r="C2859" s="1">
        <f t="shared" si="836"/>
        <v>1.5862758127138443E-2</v>
      </c>
      <c r="D2859">
        <v>17.41206960385</v>
      </c>
      <c r="E2859">
        <v>0.17734687359849</v>
      </c>
      <c r="F2859">
        <v>44</v>
      </c>
    </row>
    <row r="2860" spans="1:9" x14ac:dyDescent="0.25">
      <c r="A2860">
        <v>2271.6055514974</v>
      </c>
      <c r="B2860">
        <v>2301.4243973704001</v>
      </c>
      <c r="C2860" s="1">
        <f t="shared" si="836"/>
        <v>1.3126770998311832E-2</v>
      </c>
      <c r="D2860">
        <v>17.158089596446001</v>
      </c>
      <c r="E2860">
        <v>0.17524581300924999</v>
      </c>
      <c r="F2860">
        <v>46</v>
      </c>
    </row>
    <row r="2861" spans="1:9" x14ac:dyDescent="0.25">
      <c r="A2861">
        <v>2270.7238860481998</v>
      </c>
      <c r="B2861">
        <v>2310.2023374727</v>
      </c>
      <c r="C2861" s="1">
        <f t="shared" si="836"/>
        <v>1.7385844076888368E-2</v>
      </c>
      <c r="D2861">
        <v>17.265457238060002</v>
      </c>
      <c r="E2861">
        <v>0.17658824923826999</v>
      </c>
      <c r="F2861">
        <v>48</v>
      </c>
    </row>
    <row r="2862" spans="1:9" x14ac:dyDescent="0.25">
      <c r="A2862">
        <v>2280.1796932067</v>
      </c>
      <c r="B2862">
        <v>2318.0971512053002</v>
      </c>
      <c r="C2862" s="1">
        <f t="shared" si="836"/>
        <v>1.6629153444163602E-2</v>
      </c>
      <c r="D2862">
        <v>17.025546094039001</v>
      </c>
      <c r="E2862">
        <v>0.17290572470637999</v>
      </c>
      <c r="F2862">
        <v>44</v>
      </c>
    </row>
    <row r="2863" spans="1:9" x14ac:dyDescent="0.25">
      <c r="A2863">
        <v>2277.0847333820002</v>
      </c>
      <c r="B2863">
        <v>2310.8612125640002</v>
      </c>
      <c r="C2863" s="1">
        <f t="shared" si="836"/>
        <v>1.4833211380691269E-2</v>
      </c>
      <c r="D2863">
        <v>17.308404294706001</v>
      </c>
      <c r="E2863">
        <v>0.17653311583278</v>
      </c>
      <c r="F2863">
        <v>45</v>
      </c>
    </row>
    <row r="2864" spans="1:9" x14ac:dyDescent="0.25">
      <c r="A2864">
        <v>2256.3871439006998</v>
      </c>
      <c r="B2864">
        <v>2300.7180423667</v>
      </c>
      <c r="C2864" s="1">
        <f t="shared" si="836"/>
        <v>1.9646849427338964E-2</v>
      </c>
      <c r="D2864">
        <v>17.074416882636001</v>
      </c>
      <c r="E2864">
        <v>0.17556949693047</v>
      </c>
      <c r="F2864">
        <v>47</v>
      </c>
    </row>
    <row r="2865" spans="1:9" x14ac:dyDescent="0.25">
      <c r="A2865">
        <v>2274.7392257122001</v>
      </c>
      <c r="B2865">
        <v>2318.3586559533001</v>
      </c>
      <c r="C2865" s="1">
        <f t="shared" si="836"/>
        <v>1.9175573950654945E-2</v>
      </c>
      <c r="D2865">
        <v>17.275823768974</v>
      </c>
      <c r="E2865">
        <v>0.17639686612514999</v>
      </c>
      <c r="F2865">
        <v>46</v>
      </c>
    </row>
    <row r="2866" spans="1:9" x14ac:dyDescent="0.25">
      <c r="A2866">
        <v>2271.6245434624002</v>
      </c>
      <c r="B2866">
        <v>2310.3981008035998</v>
      </c>
      <c r="C2866" s="1">
        <f t="shared" si="836"/>
        <v>1.7068646952590694E-2</v>
      </c>
      <c r="D2866">
        <v>17.134394668641001</v>
      </c>
      <c r="E2866">
        <v>0.17488128089237001</v>
      </c>
      <c r="F2866">
        <v>46</v>
      </c>
    </row>
    <row r="2867" spans="1:9" x14ac:dyDescent="0.25">
      <c r="A2867">
        <v>2272.2352081812001</v>
      </c>
      <c r="B2867">
        <v>2305.7954711469001</v>
      </c>
      <c r="C2867" s="1">
        <f t="shared" si="836"/>
        <v>1.4769713471944224E-2</v>
      </c>
      <c r="D2867">
        <v>17.236579044797999</v>
      </c>
      <c r="E2867">
        <v>0.17611537501739999</v>
      </c>
      <c r="F2867">
        <v>46</v>
      </c>
    </row>
    <row r="2868" spans="1:9" x14ac:dyDescent="0.25">
      <c r="A2868">
        <v>2267.2235208181</v>
      </c>
      <c r="B2868">
        <v>2307.9357195032999</v>
      </c>
      <c r="C2868" s="1">
        <f t="shared" si="836"/>
        <v>1.7956852648789212E-2</v>
      </c>
      <c r="D2868">
        <v>17.055164753795001</v>
      </c>
      <c r="E2868">
        <v>0.17442051375263001</v>
      </c>
      <c r="F2868">
        <v>48</v>
      </c>
    </row>
    <row r="2869" spans="1:9" x14ac:dyDescent="0.25">
      <c r="A2869">
        <v>2281.7531044558</v>
      </c>
      <c r="B2869">
        <v>2331.7443389335999</v>
      </c>
      <c r="C2869" s="1">
        <f t="shared" si="836"/>
        <v>2.1909133981313333E-2</v>
      </c>
      <c r="D2869">
        <v>17.102554609403999</v>
      </c>
      <c r="E2869">
        <v>0.17365527122856</v>
      </c>
      <c r="F2869">
        <v>44</v>
      </c>
    </row>
    <row r="2870" spans="1:9" x14ac:dyDescent="0.25">
      <c r="A2870">
        <v>2265.4265887509</v>
      </c>
      <c r="B2870">
        <v>2302.1862673485002</v>
      </c>
      <c r="C2870" s="1">
        <f t="shared" si="836"/>
        <v>1.6226382607201773E-2</v>
      </c>
      <c r="D2870">
        <v>17.238059977786001</v>
      </c>
      <c r="E2870">
        <v>0.17673488184005001</v>
      </c>
      <c r="F2870">
        <v>43</v>
      </c>
    </row>
    <row r="2871" spans="1:9" x14ac:dyDescent="0.25">
      <c r="A2871">
        <v>2279.6157779401001</v>
      </c>
      <c r="B2871">
        <v>2320.8137326515998</v>
      </c>
      <c r="C2871" s="1">
        <f t="shared" si="836"/>
        <v>1.807232390220026E-2</v>
      </c>
      <c r="D2871">
        <v>17.347649018881999</v>
      </c>
      <c r="E2871">
        <v>0.1767212155075</v>
      </c>
      <c r="F2871">
        <v>46</v>
      </c>
    </row>
    <row r="2872" spans="1:9" x14ac:dyDescent="0.25">
      <c r="A2872">
        <v>2270.0525931337002</v>
      </c>
      <c r="B2872">
        <v>2304.8268809350002</v>
      </c>
      <c r="C2872" s="1">
        <f t="shared" si="836"/>
        <v>1.531871460004175E-2</v>
      </c>
      <c r="D2872">
        <v>16.857460199925999</v>
      </c>
      <c r="E2872">
        <v>0.17174939473081999</v>
      </c>
      <c r="F2872">
        <v>46</v>
      </c>
      <c r="H2872" t="s">
        <v>17</v>
      </c>
      <c r="I2872">
        <f t="shared" ref="I2872" si="849">STDEVP(A2858:A2877)</f>
        <v>9.0358635444230568</v>
      </c>
    </row>
    <row r="2873" spans="1:9" x14ac:dyDescent="0.25">
      <c r="A2873">
        <v>2248.3170197223999</v>
      </c>
      <c r="B2873">
        <v>2291.0189919650002</v>
      </c>
      <c r="C2873" s="1">
        <f t="shared" si="836"/>
        <v>1.8992860823458413E-2</v>
      </c>
      <c r="D2873">
        <v>16.862643465383002</v>
      </c>
      <c r="E2873">
        <v>0.17375881014476999</v>
      </c>
      <c r="F2873">
        <v>47</v>
      </c>
      <c r="H2873" t="s">
        <v>18</v>
      </c>
      <c r="I2873">
        <f t="shared" ref="I2873" si="850">STDEVP(B2858:B2877)</f>
        <v>9.853181036551625</v>
      </c>
    </row>
    <row r="2874" spans="1:9" x14ac:dyDescent="0.25">
      <c r="A2874">
        <v>2255.5865595324999</v>
      </c>
      <c r="B2874">
        <v>2291.2227903580001</v>
      </c>
      <c r="C2874" s="1">
        <f t="shared" si="836"/>
        <v>1.5799096990933625E-2</v>
      </c>
      <c r="D2874">
        <v>16.688633839318999</v>
      </c>
      <c r="E2874">
        <v>0.17101775153382001</v>
      </c>
      <c r="F2874">
        <v>48</v>
      </c>
      <c r="H2874" t="s">
        <v>19</v>
      </c>
      <c r="I2874">
        <f t="shared" ref="I2874" si="851">STDEVP(C2858:C2877)</f>
        <v>2.2775275844847107E-3</v>
      </c>
    </row>
    <row r="2875" spans="1:9" x14ac:dyDescent="0.25">
      <c r="A2875">
        <v>2273.9138056975999</v>
      </c>
      <c r="B2875">
        <v>2319.2885317751002</v>
      </c>
      <c r="C2875" s="1">
        <f t="shared" si="836"/>
        <v>1.9954461758316278E-2</v>
      </c>
      <c r="D2875">
        <v>17.165494261385</v>
      </c>
      <c r="E2875">
        <v>0.17509992175898001</v>
      </c>
      <c r="F2875">
        <v>47</v>
      </c>
      <c r="H2875" t="s">
        <v>20</v>
      </c>
      <c r="I2875">
        <f t="shared" ref="I2875" si="852">STDEVP(D2858:D2877)</f>
        <v>0.18284702361350333</v>
      </c>
    </row>
    <row r="2876" spans="1:9" x14ac:dyDescent="0.25">
      <c r="A2876">
        <v>2270.8926223520998</v>
      </c>
      <c r="B2876">
        <v>2310.7311906502</v>
      </c>
      <c r="C2876" s="1">
        <f t="shared" si="836"/>
        <v>1.7543131676933665E-2</v>
      </c>
      <c r="D2876">
        <v>17.078119215106</v>
      </c>
      <c r="E2876">
        <v>0.17437397333617999</v>
      </c>
      <c r="F2876">
        <v>45</v>
      </c>
      <c r="H2876" t="s">
        <v>21</v>
      </c>
      <c r="I2876">
        <f t="shared" ref="I2876" si="853">STDEVP(E2858:E2877)</f>
        <v>1.7407943931474293E-3</v>
      </c>
    </row>
    <row r="2877" spans="1:9" x14ac:dyDescent="0.25">
      <c r="A2877">
        <v>2258.3294375456999</v>
      </c>
      <c r="B2877">
        <v>2307.6705624544002</v>
      </c>
      <c r="C2877" s="1">
        <f t="shared" si="836"/>
        <v>2.1848506284505298E-2</v>
      </c>
      <c r="D2877">
        <v>16.834505738615</v>
      </c>
      <c r="E2877">
        <v>0.17247692743581</v>
      </c>
      <c r="F2877">
        <v>45</v>
      </c>
      <c r="H2877" t="s">
        <v>22</v>
      </c>
      <c r="I2877">
        <f t="shared" ref="I2877" si="854">STDEVP(F2858:F2877)</f>
        <v>1.3883443376914821</v>
      </c>
    </row>
    <row r="2878" spans="1:9" x14ac:dyDescent="0.25">
      <c r="C2878" s="1" t="str">
        <f t="shared" si="836"/>
        <v/>
      </c>
    </row>
    <row r="2879" spans="1:9" x14ac:dyDescent="0.25">
      <c r="A2879">
        <v>2594.2011834320001</v>
      </c>
      <c r="B2879">
        <v>2678.4852071005998</v>
      </c>
      <c r="C2879" s="1">
        <f t="shared" si="836"/>
        <v>3.2489393732022087E-2</v>
      </c>
      <c r="D2879">
        <v>15.769230769230999</v>
      </c>
      <c r="E2879">
        <v>0.12659329944191</v>
      </c>
      <c r="F2879">
        <v>45</v>
      </c>
    </row>
    <row r="2880" spans="1:9" x14ac:dyDescent="0.25">
      <c r="A2880">
        <v>2593.3372781065</v>
      </c>
      <c r="B2880">
        <v>2685.9526627219002</v>
      </c>
      <c r="C2880" s="1">
        <f t="shared" si="836"/>
        <v>3.5712818921502798E-2</v>
      </c>
      <c r="D2880">
        <v>15.897435897436001</v>
      </c>
      <c r="E2880">
        <v>0.12765762907864001</v>
      </c>
      <c r="F2880">
        <v>45</v>
      </c>
    </row>
    <row r="2881" spans="1:9" x14ac:dyDescent="0.25">
      <c r="A2881">
        <v>2560.5207100592002</v>
      </c>
      <c r="B2881">
        <v>2643.7633136094</v>
      </c>
      <c r="C2881" s="1">
        <f t="shared" si="836"/>
        <v>3.2510029394870799E-2</v>
      </c>
      <c r="D2881">
        <v>15.794871794872</v>
      </c>
      <c r="E2881">
        <v>0.12852845334561999</v>
      </c>
      <c r="F2881">
        <v>47</v>
      </c>
    </row>
    <row r="2882" spans="1:9" x14ac:dyDescent="0.25">
      <c r="A2882">
        <v>2574.6390532544001</v>
      </c>
      <c r="B2882">
        <v>2678.1893491124001</v>
      </c>
      <c r="C2882" s="1">
        <f t="shared" ref="C2882:C2945" si="855">IFERROR((B2882/A2882)-1,"")</f>
        <v>4.0219344815386915E-2</v>
      </c>
      <c r="D2882">
        <v>16.051282051282001</v>
      </c>
      <c r="E2882">
        <v>0.13008421850683999</v>
      </c>
      <c r="F2882">
        <v>52</v>
      </c>
    </row>
    <row r="2883" spans="1:9" x14ac:dyDescent="0.25">
      <c r="A2883">
        <v>2582.1420118342999</v>
      </c>
      <c r="B2883">
        <v>2663.0769230769001</v>
      </c>
      <c r="C2883" s="1">
        <f t="shared" si="855"/>
        <v>3.1344097602558296E-2</v>
      </c>
      <c r="D2883">
        <v>15.974358974358999</v>
      </c>
      <c r="E2883">
        <v>0.12900300905192</v>
      </c>
      <c r="F2883">
        <v>43</v>
      </c>
    </row>
    <row r="2884" spans="1:9" x14ac:dyDescent="0.25">
      <c r="A2884">
        <v>2575.4082840237002</v>
      </c>
      <c r="B2884">
        <v>2687.7396449704001</v>
      </c>
      <c r="C2884" s="1">
        <f t="shared" si="855"/>
        <v>4.3616913731130191E-2</v>
      </c>
      <c r="D2884">
        <v>15.717948717949</v>
      </c>
      <c r="E2884">
        <v>0.12713380608614</v>
      </c>
      <c r="F2884">
        <v>45</v>
      </c>
    </row>
    <row r="2885" spans="1:9" x14ac:dyDescent="0.25">
      <c r="A2885">
        <v>2582.6863905324999</v>
      </c>
      <c r="B2885">
        <v>2697.9053254437999</v>
      </c>
      <c r="C2885" s="1">
        <f t="shared" si="855"/>
        <v>4.4612050202325948E-2</v>
      </c>
      <c r="D2885">
        <v>15.820512820513001</v>
      </c>
      <c r="E2885">
        <v>0.12758790778029999</v>
      </c>
      <c r="F2885">
        <v>42</v>
      </c>
    </row>
    <row r="2886" spans="1:9" x14ac:dyDescent="0.25">
      <c r="A2886">
        <v>2567.2662721892998</v>
      </c>
      <c r="B2886">
        <v>2659.3136094674001</v>
      </c>
      <c r="C2886" s="1">
        <f t="shared" si="855"/>
        <v>3.585422294338203E-2</v>
      </c>
      <c r="D2886">
        <v>16.410256410256</v>
      </c>
      <c r="E2886">
        <v>0.13387741594939001</v>
      </c>
      <c r="F2886">
        <v>44</v>
      </c>
    </row>
    <row r="2887" spans="1:9" x14ac:dyDescent="0.25">
      <c r="A2887">
        <v>2589.5384615385001</v>
      </c>
      <c r="B2887">
        <v>2674.0118343194999</v>
      </c>
      <c r="C2887" s="1">
        <f t="shared" si="855"/>
        <v>3.262101491661662E-2</v>
      </c>
      <c r="D2887">
        <v>16</v>
      </c>
      <c r="E2887">
        <v>0.12890823470835</v>
      </c>
      <c r="F2887">
        <v>49</v>
      </c>
    </row>
    <row r="2888" spans="1:9" x14ac:dyDescent="0.25">
      <c r="A2888">
        <v>2562.7810650888</v>
      </c>
      <c r="B2888">
        <v>2665.2899408284002</v>
      </c>
      <c r="C2888" s="1">
        <f t="shared" si="855"/>
        <v>3.99990764470739E-2</v>
      </c>
      <c r="D2888">
        <v>15.692307692308001</v>
      </c>
      <c r="E2888">
        <v>0.12748272894401</v>
      </c>
      <c r="F2888">
        <v>37</v>
      </c>
    </row>
    <row r="2889" spans="1:9" x14ac:dyDescent="0.25">
      <c r="A2889">
        <v>2601.0059171598</v>
      </c>
      <c r="B2889">
        <v>2695.3727810650998</v>
      </c>
      <c r="C2889" s="1">
        <f t="shared" si="855"/>
        <v>3.628091089017782E-2</v>
      </c>
      <c r="D2889">
        <v>16.179487179487001</v>
      </c>
      <c r="E2889">
        <v>0.13008711768122999</v>
      </c>
      <c r="F2889">
        <v>47</v>
      </c>
    </row>
    <row r="2890" spans="1:9" x14ac:dyDescent="0.25">
      <c r="A2890">
        <v>2580.5562130178</v>
      </c>
      <c r="B2890">
        <v>2669.9644970414001</v>
      </c>
      <c r="C2890" s="1">
        <f t="shared" si="855"/>
        <v>3.4646904249779009E-2</v>
      </c>
      <c r="D2890">
        <v>15.538461538462</v>
      </c>
      <c r="E2890">
        <v>0.1254406361782</v>
      </c>
      <c r="F2890">
        <v>43</v>
      </c>
    </row>
    <row r="2891" spans="1:9" x14ac:dyDescent="0.25">
      <c r="A2891">
        <v>2560.2603550295999</v>
      </c>
      <c r="B2891">
        <v>2682.3550295857999</v>
      </c>
      <c r="C2891" s="1">
        <f t="shared" si="855"/>
        <v>4.7688382283601172E-2</v>
      </c>
      <c r="D2891">
        <v>15.897435897436001</v>
      </c>
      <c r="E2891">
        <v>0.12952275868829999</v>
      </c>
      <c r="F2891">
        <v>41</v>
      </c>
    </row>
    <row r="2892" spans="1:9" x14ac:dyDescent="0.25">
      <c r="A2892">
        <v>2591.3491124259999</v>
      </c>
      <c r="B2892">
        <v>2676.3905325443998</v>
      </c>
      <c r="C2892" s="1">
        <f t="shared" si="855"/>
        <v>3.2817430777895007E-2</v>
      </c>
      <c r="D2892">
        <v>15.923076923077</v>
      </c>
      <c r="E2892">
        <v>0.12808783830018999</v>
      </c>
      <c r="F2892">
        <v>47</v>
      </c>
    </row>
    <row r="2893" spans="1:9" x14ac:dyDescent="0.25">
      <c r="A2893">
        <v>2583.9644970414001</v>
      </c>
      <c r="B2893">
        <v>2692.8402366864002</v>
      </c>
      <c r="C2893" s="1">
        <f t="shared" si="855"/>
        <v>4.2135153083434851E-2</v>
      </c>
      <c r="D2893">
        <v>15.923076923077</v>
      </c>
      <c r="E2893">
        <v>0.12858263331988001</v>
      </c>
      <c r="F2893">
        <v>57</v>
      </c>
      <c r="H2893" t="s">
        <v>17</v>
      </c>
      <c r="I2893">
        <f t="shared" ref="I2893" si="856">STDEVP(A2879:A2898)</f>
        <v>12.970634081741579</v>
      </c>
    </row>
    <row r="2894" spans="1:9" x14ac:dyDescent="0.25">
      <c r="A2894">
        <v>2573.8224852070998</v>
      </c>
      <c r="B2894">
        <v>2697.7988165679999</v>
      </c>
      <c r="C2894" s="1">
        <f t="shared" si="855"/>
        <v>4.8168174795832686E-2</v>
      </c>
      <c r="D2894">
        <v>16.282051282051</v>
      </c>
      <c r="E2894">
        <v>0.13229961123462</v>
      </c>
      <c r="F2894">
        <v>58</v>
      </c>
      <c r="H2894" t="s">
        <v>18</v>
      </c>
      <c r="I2894">
        <f t="shared" ref="I2894" si="857">STDEVP(B2879:B2898)</f>
        <v>14.447370758407656</v>
      </c>
    </row>
    <row r="2895" spans="1:9" x14ac:dyDescent="0.25">
      <c r="A2895">
        <v>2592.5562130178</v>
      </c>
      <c r="B2895">
        <v>2672.6508875740001</v>
      </c>
      <c r="C2895" s="1">
        <f t="shared" si="855"/>
        <v>3.0894093695645664E-2</v>
      </c>
      <c r="D2895">
        <v>15.871794871795</v>
      </c>
      <c r="E2895">
        <v>0.12747714723688999</v>
      </c>
      <c r="F2895">
        <v>47</v>
      </c>
      <c r="H2895" t="s">
        <v>19</v>
      </c>
      <c r="I2895">
        <f t="shared" ref="I2895" si="858">STDEVP(C2879:C2898)</f>
        <v>6.3040828672625464E-3</v>
      </c>
    </row>
    <row r="2896" spans="1:9" x14ac:dyDescent="0.25">
      <c r="A2896">
        <v>2599.5384615385001</v>
      </c>
      <c r="B2896">
        <v>2658.2840236686002</v>
      </c>
      <c r="C2896" s="1">
        <f t="shared" si="855"/>
        <v>2.2598458533801491E-2</v>
      </c>
      <c r="D2896">
        <v>16</v>
      </c>
      <c r="E2896">
        <v>0.12827462324523001</v>
      </c>
      <c r="F2896">
        <v>50</v>
      </c>
      <c r="H2896" t="s">
        <v>20</v>
      </c>
      <c r="I2896">
        <f t="shared" ref="I2896" si="859">STDEVP(D2879:D2898)</f>
        <v>0.31977093625982195</v>
      </c>
    </row>
    <row r="2897" spans="1:9" x14ac:dyDescent="0.25">
      <c r="A2897">
        <v>2591.6686390533</v>
      </c>
      <c r="B2897">
        <v>2669.7159763313002</v>
      </c>
      <c r="C2897" s="1">
        <f t="shared" si="855"/>
        <v>3.0114705291379273E-2</v>
      </c>
      <c r="D2897">
        <v>16.615384615385</v>
      </c>
      <c r="E2897">
        <v>0.13436669422885</v>
      </c>
      <c r="F2897">
        <v>44</v>
      </c>
      <c r="H2897" t="s">
        <v>21</v>
      </c>
      <c r="I2897">
        <f t="shared" ref="I2897" si="860">STDEVP(E2879:E2898)</f>
        <v>2.7479946353338863E-3</v>
      </c>
    </row>
    <row r="2898" spans="1:9" x14ac:dyDescent="0.25">
      <c r="A2898">
        <v>2562.0118343194999</v>
      </c>
      <c r="B2898">
        <v>2659.4319526627</v>
      </c>
      <c r="C2898" s="1">
        <f t="shared" si="855"/>
        <v>3.8024851032382623E-2</v>
      </c>
      <c r="D2898">
        <v>15.025641025641001</v>
      </c>
      <c r="E2898">
        <v>0.12154489328531</v>
      </c>
      <c r="F2898">
        <v>52</v>
      </c>
      <c r="H2898" t="s">
        <v>22</v>
      </c>
      <c r="I2898">
        <f t="shared" ref="I2898" si="861">STDEVP(F2879:F2898)</f>
        <v>5.028667815634674</v>
      </c>
    </row>
    <row r="2899" spans="1:9" x14ac:dyDescent="0.25">
      <c r="C2899" s="1" t="str">
        <f t="shared" si="855"/>
        <v/>
      </c>
    </row>
    <row r="2900" spans="1:9" x14ac:dyDescent="0.25">
      <c r="A2900">
        <v>1418.401743012</v>
      </c>
      <c r="B2900">
        <v>1449.4120522904</v>
      </c>
      <c r="C2900" s="1">
        <f t="shared" si="855"/>
        <v>2.1862853335578247E-2</v>
      </c>
      <c r="D2900">
        <v>13.259879725086</v>
      </c>
      <c r="E2900">
        <v>0.22754761185913999</v>
      </c>
      <c r="F2900">
        <v>26</v>
      </c>
    </row>
    <row r="2901" spans="1:9" x14ac:dyDescent="0.25">
      <c r="A2901">
        <v>1425.0494207674001</v>
      </c>
      <c r="B2901">
        <v>1451.9732171326</v>
      </c>
      <c r="C2901" s="1">
        <f t="shared" si="855"/>
        <v>1.8893236945215053E-2</v>
      </c>
      <c r="D2901">
        <v>13.135309278351</v>
      </c>
      <c r="E2901">
        <v>0.22356919210497</v>
      </c>
      <c r="F2901">
        <v>26</v>
      </c>
    </row>
    <row r="2902" spans="1:9" x14ac:dyDescent="0.25">
      <c r="A2902">
        <v>1421.9880965033001</v>
      </c>
      <c r="B2902">
        <v>1453.3890955469001</v>
      </c>
      <c r="C2902" s="1">
        <f t="shared" si="855"/>
        <v>2.2082462659719582E-2</v>
      </c>
      <c r="D2902">
        <v>13.216065292095999</v>
      </c>
      <c r="E2902">
        <v>0.22588207919351</v>
      </c>
      <c r="F2902">
        <v>26</v>
      </c>
    </row>
    <row r="2903" spans="1:9" x14ac:dyDescent="0.25">
      <c r="A2903">
        <v>1427.0872568816999</v>
      </c>
      <c r="B2903">
        <v>1459.427781911</v>
      </c>
      <c r="C2903" s="1">
        <f t="shared" si="855"/>
        <v>2.2661911437683813E-2</v>
      </c>
      <c r="D2903">
        <v>13.476804123711</v>
      </c>
      <c r="E2903">
        <v>0.23029270170048999</v>
      </c>
      <c r="F2903">
        <v>26</v>
      </c>
    </row>
    <row r="2904" spans="1:9" x14ac:dyDescent="0.25">
      <c r="A2904">
        <v>1425.8114571154999</v>
      </c>
      <c r="B2904">
        <v>1456.3864385163999</v>
      </c>
      <c r="C2904" s="1">
        <f t="shared" si="855"/>
        <v>2.1443916198257362E-2</v>
      </c>
      <c r="D2904">
        <v>13.272766323023999</v>
      </c>
      <c r="E2904">
        <v>0.22631259468607001</v>
      </c>
      <c r="F2904">
        <v>26</v>
      </c>
    </row>
    <row r="2905" spans="1:9" x14ac:dyDescent="0.25">
      <c r="A2905">
        <v>1425.7087894568999</v>
      </c>
      <c r="B2905">
        <v>1456.8039111488999</v>
      </c>
      <c r="C2905" s="1">
        <f t="shared" si="855"/>
        <v>2.1810289676228445E-2</v>
      </c>
      <c r="D2905">
        <v>13.287371134021001</v>
      </c>
      <c r="E2905">
        <v>0.22666443502711001</v>
      </c>
      <c r="F2905">
        <v>25</v>
      </c>
    </row>
    <row r="2906" spans="1:9" x14ac:dyDescent="0.25">
      <c r="A2906">
        <v>1412.8772451908001</v>
      </c>
      <c r="B2906">
        <v>1447.1312573068999</v>
      </c>
      <c r="C2906" s="1">
        <f t="shared" si="855"/>
        <v>2.4244153009537639E-2</v>
      </c>
      <c r="D2906">
        <v>13.012027491409</v>
      </c>
      <c r="E2906">
        <v>0.22326199417122</v>
      </c>
      <c r="F2906">
        <v>26</v>
      </c>
    </row>
    <row r="2907" spans="1:9" x14ac:dyDescent="0.25">
      <c r="A2907">
        <v>1416.9074290573001</v>
      </c>
      <c r="B2907">
        <v>1450.3171431608</v>
      </c>
      <c r="C2907" s="1">
        <f t="shared" si="855"/>
        <v>2.3579320298806161E-2</v>
      </c>
      <c r="D2907">
        <v>12.965635738832001</v>
      </c>
      <c r="E2907">
        <v>0.22165837577583999</v>
      </c>
      <c r="F2907">
        <v>27</v>
      </c>
    </row>
    <row r="2908" spans="1:9" x14ac:dyDescent="0.25">
      <c r="A2908">
        <v>1424.5373578489</v>
      </c>
      <c r="B2908">
        <v>1455.0353916463</v>
      </c>
      <c r="C2908" s="1">
        <f t="shared" si="855"/>
        <v>2.1409079677245479E-2</v>
      </c>
      <c r="D2908">
        <v>13.168814432990001</v>
      </c>
      <c r="E2908">
        <v>0.22436589035171001</v>
      </c>
      <c r="F2908">
        <v>26</v>
      </c>
    </row>
    <row r="2909" spans="1:9" x14ac:dyDescent="0.25">
      <c r="A2909">
        <v>1423.6743543416001</v>
      </c>
      <c r="B2909">
        <v>1452.21341269</v>
      </c>
      <c r="C2909" s="1">
        <f t="shared" si="855"/>
        <v>2.004605776690993E-2</v>
      </c>
      <c r="D2909">
        <v>13.187714776631999</v>
      </c>
      <c r="E2909">
        <v>0.2248837673472</v>
      </c>
      <c r="F2909">
        <v>26</v>
      </c>
    </row>
    <row r="2910" spans="1:9" x14ac:dyDescent="0.25">
      <c r="A2910">
        <v>1426.8396216389001</v>
      </c>
      <c r="B2910">
        <v>1458.0484642363999</v>
      </c>
      <c r="C2910" s="1">
        <f t="shared" si="855"/>
        <v>2.1872705330156617E-2</v>
      </c>
      <c r="D2910">
        <v>13.302835051545999</v>
      </c>
      <c r="E2910">
        <v>0.22665776597401999</v>
      </c>
      <c r="F2910">
        <v>25</v>
      </c>
    </row>
    <row r="2911" spans="1:9" x14ac:dyDescent="0.25">
      <c r="A2911">
        <v>1424.4604102455</v>
      </c>
      <c r="B2911">
        <v>1455.8148581145999</v>
      </c>
      <c r="C2911" s="1">
        <f t="shared" si="855"/>
        <v>2.2011456158122389E-2</v>
      </c>
      <c r="D2911">
        <v>13.067010309278</v>
      </c>
      <c r="E2911">
        <v>0.22228412789744001</v>
      </c>
      <c r="F2911">
        <v>26</v>
      </c>
    </row>
    <row r="2912" spans="1:9" x14ac:dyDescent="0.25">
      <c r="A2912">
        <v>1419.7731958763</v>
      </c>
      <c r="B2912">
        <v>1449.0589860772</v>
      </c>
      <c r="C2912" s="1">
        <f t="shared" si="855"/>
        <v>2.0627090500060064E-2</v>
      </c>
      <c r="D2912">
        <v>13.083333333333</v>
      </c>
      <c r="E2912">
        <v>0.22355234507715999</v>
      </c>
      <c r="F2912">
        <v>26</v>
      </c>
    </row>
    <row r="2913" spans="1:9" x14ac:dyDescent="0.25">
      <c r="A2913">
        <v>1424.9522797321999</v>
      </c>
      <c r="B2913">
        <v>1456.9860771602</v>
      </c>
      <c r="C2913" s="1">
        <f t="shared" si="855"/>
        <v>2.248061067281526E-2</v>
      </c>
      <c r="D2913">
        <v>13.173109965636</v>
      </c>
      <c r="E2913">
        <v>0.22439847063943</v>
      </c>
      <c r="F2913">
        <v>26</v>
      </c>
    </row>
    <row r="2914" spans="1:9" x14ac:dyDescent="0.25">
      <c r="A2914">
        <v>1418.2472101180001</v>
      </c>
      <c r="B2914">
        <v>1453.3944096078999</v>
      </c>
      <c r="C2914" s="1">
        <f t="shared" si="855"/>
        <v>2.4782138994636549E-2</v>
      </c>
      <c r="D2914">
        <v>13.367697594501999</v>
      </c>
      <c r="E2914">
        <v>0.22973230031231001</v>
      </c>
      <c r="F2914">
        <v>26</v>
      </c>
      <c r="H2914" t="s">
        <v>17</v>
      </c>
      <c r="I2914">
        <f t="shared" ref="I2914" si="862">STDEVP(A2900:A2919)</f>
        <v>3.8229866307092273</v>
      </c>
    </row>
    <row r="2915" spans="1:9" x14ac:dyDescent="0.25">
      <c r="A2915">
        <v>1418.0656817940001</v>
      </c>
      <c r="B2915">
        <v>1445.3742161759999</v>
      </c>
      <c r="C2915" s="1">
        <f t="shared" si="855"/>
        <v>1.9257594857984062E-2</v>
      </c>
      <c r="D2915">
        <v>13.298109965636</v>
      </c>
      <c r="E2915">
        <v>0.22830513631794999</v>
      </c>
      <c r="F2915">
        <v>26</v>
      </c>
      <c r="H2915" t="s">
        <v>18</v>
      </c>
      <c r="I2915">
        <f t="shared" ref="I2915" si="863">STDEVP(B2900:B2919)</f>
        <v>3.6098857503020958</v>
      </c>
    </row>
    <row r="2916" spans="1:9" x14ac:dyDescent="0.25">
      <c r="A2916">
        <v>1423.0853438197</v>
      </c>
      <c r="B2916">
        <v>1452.7244127962999</v>
      </c>
      <c r="C2916" s="1">
        <f t="shared" si="855"/>
        <v>2.0827330634328511E-2</v>
      </c>
      <c r="D2916">
        <v>13.286082474226999</v>
      </c>
      <c r="E2916">
        <v>0.22705998129336999</v>
      </c>
      <c r="F2916">
        <v>26</v>
      </c>
      <c r="H2916" t="s">
        <v>19</v>
      </c>
      <c r="I2916">
        <f t="shared" ref="I2916" si="864">STDEVP(C2900:C2919)</f>
        <v>1.4852760298375411E-3</v>
      </c>
    </row>
    <row r="2917" spans="1:9" x14ac:dyDescent="0.25">
      <c r="A2917">
        <v>1426.0114783718</v>
      </c>
      <c r="B2917">
        <v>1455.2317993411</v>
      </c>
      <c r="C2917" s="1">
        <f t="shared" si="855"/>
        <v>2.0490943735364198E-2</v>
      </c>
      <c r="D2917">
        <v>13.227663230240999</v>
      </c>
      <c r="E2917">
        <v>0.22522417285446</v>
      </c>
      <c r="F2917">
        <v>26</v>
      </c>
      <c r="H2917" t="s">
        <v>20</v>
      </c>
      <c r="I2917">
        <f t="shared" ref="I2917" si="865">STDEVP(D2900:D2919)</f>
        <v>0.12479168313442666</v>
      </c>
    </row>
    <row r="2918" spans="1:9" x14ac:dyDescent="0.25">
      <c r="A2918">
        <v>1419.1873737911001</v>
      </c>
      <c r="B2918">
        <v>1451.0700393241</v>
      </c>
      <c r="C2918" s="1">
        <f t="shared" si="855"/>
        <v>2.2465437701739921E-2</v>
      </c>
      <c r="D2918">
        <v>13.374570446735</v>
      </c>
      <c r="E2918">
        <v>0.2297754061518</v>
      </c>
      <c r="F2918">
        <v>26</v>
      </c>
      <c r="H2918" t="s">
        <v>21</v>
      </c>
      <c r="I2918">
        <f t="shared" ref="I2918" si="866">STDEVP(E2900:E2919)</f>
        <v>2.4387719734863364E-3</v>
      </c>
    </row>
    <row r="2919" spans="1:9" x14ac:dyDescent="0.25">
      <c r="A2919">
        <v>1423.1325326814999</v>
      </c>
      <c r="B2919">
        <v>1451.9413327665</v>
      </c>
      <c r="C2919" s="1">
        <f t="shared" si="855"/>
        <v>2.0243230636234344E-2</v>
      </c>
      <c r="D2919">
        <v>13.323883161512001</v>
      </c>
      <c r="E2919">
        <v>0.22784723680099001</v>
      </c>
      <c r="F2919">
        <v>26</v>
      </c>
      <c r="H2919" t="s">
        <v>22</v>
      </c>
      <c r="I2919">
        <f t="shared" ref="I2919" si="867">STDEVP(F2900:F2919)</f>
        <v>0.38405728739343031</v>
      </c>
    </row>
    <row r="2920" spans="1:9" x14ac:dyDescent="0.25">
      <c r="C2920" s="1" t="str">
        <f t="shared" si="855"/>
        <v/>
      </c>
    </row>
    <row r="2921" spans="1:9" x14ac:dyDescent="0.25">
      <c r="A2921">
        <v>759.34417464913997</v>
      </c>
      <c r="B2921">
        <v>783.76475829804997</v>
      </c>
      <c r="C2921" s="1">
        <f t="shared" si="855"/>
        <v>3.2160098759161038E-2</v>
      </c>
      <c r="D2921">
        <v>7.8697421981003997</v>
      </c>
      <c r="E2921">
        <v>0.25727943387952001</v>
      </c>
      <c r="F2921">
        <v>10</v>
      </c>
    </row>
    <row r="2922" spans="1:9" x14ac:dyDescent="0.25">
      <c r="A2922">
        <v>761.24927600802005</v>
      </c>
      <c r="B2922">
        <v>781.18467364668004</v>
      </c>
      <c r="C2922" s="1">
        <f t="shared" si="855"/>
        <v>2.6187739373889407E-2</v>
      </c>
      <c r="D2922">
        <v>7.8634102216192003</v>
      </c>
      <c r="E2922">
        <v>0.25620104236968</v>
      </c>
      <c r="F2922">
        <v>10</v>
      </c>
    </row>
    <row r="2923" spans="1:9" x14ac:dyDescent="0.25">
      <c r="A2923">
        <v>764.39117843617998</v>
      </c>
      <c r="B2923">
        <v>781.60302962797005</v>
      </c>
      <c r="C2923" s="1">
        <f t="shared" si="855"/>
        <v>2.2517071987935067E-2</v>
      </c>
      <c r="D2923">
        <v>7.9077340569877999</v>
      </c>
      <c r="E2923">
        <v>0.25665196743091001</v>
      </c>
      <c r="F2923">
        <v>10</v>
      </c>
    </row>
    <row r="2924" spans="1:9" x14ac:dyDescent="0.25">
      <c r="A2924">
        <v>759.19313878368996</v>
      </c>
      <c r="B2924">
        <v>780.16395633770003</v>
      </c>
      <c r="C2924" s="1">
        <f t="shared" si="855"/>
        <v>2.7622506688624204E-2</v>
      </c>
      <c r="D2924">
        <v>7.8878335594753999</v>
      </c>
      <c r="E2924">
        <v>0.25787864308258002</v>
      </c>
      <c r="F2924">
        <v>10</v>
      </c>
    </row>
    <row r="2925" spans="1:9" x14ac:dyDescent="0.25">
      <c r="A2925">
        <v>758.42058364892</v>
      </c>
      <c r="B2925">
        <v>782.98061929158996</v>
      </c>
      <c r="C2925" s="1">
        <f t="shared" si="855"/>
        <v>3.2383134334918129E-2</v>
      </c>
      <c r="D2925">
        <v>7.8516508367254998</v>
      </c>
      <c r="E2925">
        <v>0.25670155060907002</v>
      </c>
      <c r="F2925">
        <v>11</v>
      </c>
    </row>
    <row r="2926" spans="1:9" x14ac:dyDescent="0.25">
      <c r="A2926">
        <v>760.73557585208005</v>
      </c>
      <c r="B2926">
        <v>778.80775228335006</v>
      </c>
      <c r="C2926" s="1">
        <f t="shared" si="855"/>
        <v>2.3756186781494826E-2</v>
      </c>
      <c r="D2926">
        <v>7.8055178652194002</v>
      </c>
      <c r="E2926">
        <v>0.2539126528549</v>
      </c>
      <c r="F2926">
        <v>10</v>
      </c>
    </row>
    <row r="2927" spans="1:9" x14ac:dyDescent="0.25">
      <c r="A2927">
        <v>754.07262196479996</v>
      </c>
      <c r="B2927">
        <v>773.66050345287999</v>
      </c>
      <c r="C2927" s="1">
        <f t="shared" si="855"/>
        <v>2.597612075749689E-2</v>
      </c>
      <c r="D2927">
        <v>7.9294436906376999</v>
      </c>
      <c r="E2927">
        <v>0.26167614734937999</v>
      </c>
      <c r="F2927">
        <v>10</v>
      </c>
    </row>
    <row r="2928" spans="1:9" x14ac:dyDescent="0.25">
      <c r="A2928">
        <v>755.75896636222001</v>
      </c>
      <c r="B2928">
        <v>773.82668745822002</v>
      </c>
      <c r="C2928" s="1">
        <f t="shared" si="855"/>
        <v>2.3906724101425469E-2</v>
      </c>
      <c r="D2928">
        <v>7.9014020805065996</v>
      </c>
      <c r="E2928">
        <v>0.25994137665477002</v>
      </c>
      <c r="F2928">
        <v>10</v>
      </c>
    </row>
    <row r="2929" spans="1:9" x14ac:dyDescent="0.25">
      <c r="A2929">
        <v>751.70728447316003</v>
      </c>
      <c r="B2929">
        <v>774.66607262194998</v>
      </c>
      <c r="C2929" s="1">
        <f t="shared" si="855"/>
        <v>3.0542191918335293E-2</v>
      </c>
      <c r="D2929">
        <v>7.8199909543192998</v>
      </c>
      <c r="E2929">
        <v>0.25822834482884</v>
      </c>
      <c r="F2929">
        <v>10</v>
      </c>
    </row>
    <row r="2930" spans="1:9" x14ac:dyDescent="0.25">
      <c r="A2930">
        <v>759.10625974605</v>
      </c>
      <c r="B2930">
        <v>776.81532635329995</v>
      </c>
      <c r="C2930" s="1">
        <f t="shared" si="855"/>
        <v>2.3328837537414548E-2</v>
      </c>
      <c r="D2930">
        <v>7.8606965174129</v>
      </c>
      <c r="E2930">
        <v>0.25669955599160998</v>
      </c>
      <c r="F2930">
        <v>11</v>
      </c>
    </row>
    <row r="2931" spans="1:9" x14ac:dyDescent="0.25">
      <c r="A2931">
        <v>762.53508576520005</v>
      </c>
      <c r="B2931">
        <v>778.95789708175005</v>
      </c>
      <c r="C2931" s="1">
        <f t="shared" si="855"/>
        <v>2.1537122190344649E-2</v>
      </c>
      <c r="D2931">
        <v>7.9014020805065996</v>
      </c>
      <c r="E2931">
        <v>0.25700660000902997</v>
      </c>
      <c r="F2931">
        <v>10</v>
      </c>
    </row>
    <row r="2932" spans="1:9" x14ac:dyDescent="0.25">
      <c r="A2932">
        <v>765.08576520382996</v>
      </c>
      <c r="B2932">
        <v>780.48295834261</v>
      </c>
      <c r="C2932" s="1">
        <f t="shared" si="855"/>
        <v>2.012479363627695E-2</v>
      </c>
      <c r="D2932">
        <v>7.8869289914065996</v>
      </c>
      <c r="E2932">
        <v>0.25535688845808002</v>
      </c>
      <c r="F2932">
        <v>10</v>
      </c>
    </row>
    <row r="2933" spans="1:9" x14ac:dyDescent="0.25">
      <c r="A2933">
        <v>760.38895076854999</v>
      </c>
      <c r="B2933">
        <v>781.12586322120001</v>
      </c>
      <c r="C2933" s="1">
        <f t="shared" si="855"/>
        <v>2.7271454209967905E-2</v>
      </c>
      <c r="D2933">
        <v>7.8697421981003997</v>
      </c>
      <c r="E2933">
        <v>0.25684007274241999</v>
      </c>
      <c r="F2933">
        <v>10</v>
      </c>
    </row>
    <row r="2934" spans="1:9" x14ac:dyDescent="0.25">
      <c r="A2934">
        <v>754.11583871686003</v>
      </c>
      <c r="B2934">
        <v>778.27400311871997</v>
      </c>
      <c r="C2934" s="1">
        <f t="shared" si="855"/>
        <v>3.2035084215928267E-2</v>
      </c>
      <c r="D2934">
        <v>7.8543645409316998</v>
      </c>
      <c r="E2934">
        <v>0.25862110425170998</v>
      </c>
      <c r="F2934">
        <v>10</v>
      </c>
    </row>
    <row r="2935" spans="1:9" x14ac:dyDescent="0.25">
      <c r="A2935">
        <v>762.08910670527996</v>
      </c>
      <c r="B2935">
        <v>782.38850523501003</v>
      </c>
      <c r="C2935" s="1">
        <f t="shared" si="855"/>
        <v>2.6636515797332283E-2</v>
      </c>
      <c r="D2935">
        <v>7.9439167797376999</v>
      </c>
      <c r="E2935">
        <v>0.25934715745616999</v>
      </c>
      <c r="F2935">
        <v>10</v>
      </c>
      <c r="H2935" t="s">
        <v>17</v>
      </c>
      <c r="I2935">
        <f t="shared" ref="I2935" si="868">STDEVP(A2921:A2940)</f>
        <v>3.2607669727869841</v>
      </c>
    </row>
    <row r="2936" spans="1:9" x14ac:dyDescent="0.25">
      <c r="A2936">
        <v>759.15393183337005</v>
      </c>
      <c r="B2936">
        <v>783.99643573178002</v>
      </c>
      <c r="C2936" s="1">
        <f t="shared" si="855"/>
        <v>3.2723934971152557E-2</v>
      </c>
      <c r="D2936">
        <v>7.8616010854817002</v>
      </c>
      <c r="E2936">
        <v>0.25704605410214998</v>
      </c>
      <c r="F2936">
        <v>11</v>
      </c>
      <c r="H2936" t="s">
        <v>18</v>
      </c>
      <c r="I2936">
        <f t="shared" ref="I2936" si="869">STDEVP(B2921:B2940)</f>
        <v>2.9408024940286559</v>
      </c>
    </row>
    <row r="2937" spans="1:9" x14ac:dyDescent="0.25">
      <c r="A2937">
        <v>759.16729783916003</v>
      </c>
      <c r="B2937">
        <v>779.68768099799001</v>
      </c>
      <c r="C2937" s="1">
        <f t="shared" si="855"/>
        <v>2.703011999757865E-2</v>
      </c>
      <c r="D2937">
        <v>7.8471279963817002</v>
      </c>
      <c r="E2937">
        <v>0.25645134857223001</v>
      </c>
      <c r="F2937">
        <v>10</v>
      </c>
      <c r="H2937" t="s">
        <v>19</v>
      </c>
      <c r="I2937">
        <f t="shared" ref="I2937" si="870">STDEVP(C2921:C2940)</f>
        <v>3.72134538147913E-3</v>
      </c>
    </row>
    <row r="2938" spans="1:9" x14ac:dyDescent="0.25">
      <c r="A2938">
        <v>760.61706393405996</v>
      </c>
      <c r="B2938">
        <v>778.87369124526003</v>
      </c>
      <c r="C2938" s="1">
        <f t="shared" si="855"/>
        <v>2.4002389871156993E-2</v>
      </c>
      <c r="D2938">
        <v>7.8570782451378998</v>
      </c>
      <c r="E2938">
        <v>0.25597507604719</v>
      </c>
      <c r="F2938">
        <v>10</v>
      </c>
      <c r="H2938" t="s">
        <v>20</v>
      </c>
      <c r="I2938">
        <f t="shared" ref="I2938" si="871">STDEVP(D2921:D2940)</f>
        <v>3.6919095501933986E-2</v>
      </c>
    </row>
    <row r="2939" spans="1:9" x14ac:dyDescent="0.25">
      <c r="A2939">
        <v>758.41434617954997</v>
      </c>
      <c r="B2939">
        <v>779.54822900422005</v>
      </c>
      <c r="C2939" s="1">
        <f t="shared" si="855"/>
        <v>2.7865879556643769E-2</v>
      </c>
      <c r="D2939">
        <v>7.9149706015378003</v>
      </c>
      <c r="E2939">
        <v>0.25941140761977999</v>
      </c>
      <c r="F2939">
        <v>10</v>
      </c>
      <c r="H2939" t="s">
        <v>21</v>
      </c>
      <c r="I2939">
        <f t="shared" ref="I2939" si="872">STDEVP(E2921:E2940)</f>
        <v>1.7890233589715246E-3</v>
      </c>
    </row>
    <row r="2940" spans="1:9" x14ac:dyDescent="0.25">
      <c r="A2940">
        <v>759.76654043217002</v>
      </c>
      <c r="B2940">
        <v>777.67253285808999</v>
      </c>
      <c r="C2940" s="1">
        <f t="shared" si="855"/>
        <v>2.3567755979007288E-2</v>
      </c>
      <c r="D2940">
        <v>7.9457259158752001</v>
      </c>
      <c r="E2940">
        <v>0.25998667418811</v>
      </c>
      <c r="F2940">
        <v>11</v>
      </c>
      <c r="H2940" t="s">
        <v>22</v>
      </c>
      <c r="I2940">
        <f t="shared" ref="I2940" si="873">STDEVP(F2921:F2940)</f>
        <v>0.4</v>
      </c>
    </row>
    <row r="2941" spans="1:9" x14ac:dyDescent="0.25">
      <c r="C2941" s="1" t="str">
        <f t="shared" si="855"/>
        <v/>
      </c>
    </row>
    <row r="2942" spans="1:9" x14ac:dyDescent="0.25">
      <c r="A2942">
        <v>1014.551800554</v>
      </c>
      <c r="B2942">
        <v>1036.7047091413001</v>
      </c>
      <c r="C2942" s="1">
        <f t="shared" si="855"/>
        <v>2.1835167583560855E-2</v>
      </c>
      <c r="D2942">
        <v>15.476819708847</v>
      </c>
      <c r="E2942">
        <v>0.43369475456583001</v>
      </c>
      <c r="F2942">
        <v>25</v>
      </c>
    </row>
    <row r="2943" spans="1:9" x14ac:dyDescent="0.25">
      <c r="A2943">
        <v>1017.1423822715</v>
      </c>
      <c r="B2943">
        <v>1046.2847645428999</v>
      </c>
      <c r="C2943" s="1">
        <f t="shared" si="855"/>
        <v>2.8651231901593466E-2</v>
      </c>
      <c r="D2943">
        <v>15.592833146697</v>
      </c>
      <c r="E2943">
        <v>0.43654638297185</v>
      </c>
      <c r="F2943">
        <v>25</v>
      </c>
    </row>
    <row r="2944" spans="1:9" x14ac:dyDescent="0.25">
      <c r="A2944">
        <v>1010.1063711911</v>
      </c>
      <c r="B2944">
        <v>1036.9307479224001</v>
      </c>
      <c r="C2944" s="1">
        <f t="shared" si="855"/>
        <v>2.6555992018612029E-2</v>
      </c>
      <c r="D2944">
        <v>15.443673012317999</v>
      </c>
      <c r="E2944">
        <v>0.43535110489857998</v>
      </c>
      <c r="F2944">
        <v>26</v>
      </c>
    </row>
    <row r="2945" spans="1:9" x14ac:dyDescent="0.25">
      <c r="A2945">
        <v>1008.8897506925</v>
      </c>
      <c r="B2945">
        <v>1034.0886426592999</v>
      </c>
      <c r="C2945" s="1">
        <f t="shared" si="855"/>
        <v>2.4976853961994783E-2</v>
      </c>
      <c r="D2945">
        <v>15.431131019037</v>
      </c>
      <c r="E2945">
        <v>0.43545903666802999</v>
      </c>
      <c r="F2945">
        <v>26</v>
      </c>
    </row>
    <row r="2946" spans="1:9" x14ac:dyDescent="0.25">
      <c r="A2946">
        <v>1010.6182825485</v>
      </c>
      <c r="B2946">
        <v>1037.4349030471001</v>
      </c>
      <c r="C2946" s="1">
        <f t="shared" ref="C2946:C3009" si="874">IFERROR((B2946/A2946)-1,"")</f>
        <v>2.6534865796189688E-2</v>
      </c>
      <c r="D2946">
        <v>15.637625979843</v>
      </c>
      <c r="E2946">
        <v>0.44289227037154999</v>
      </c>
      <c r="F2946">
        <v>25</v>
      </c>
    </row>
    <row r="2947" spans="1:9" x14ac:dyDescent="0.25">
      <c r="A2947">
        <v>1013.8570637119</v>
      </c>
      <c r="B2947">
        <v>1041.9290858725999</v>
      </c>
      <c r="C2947" s="1">
        <f t="shared" si="874"/>
        <v>2.7688343027293838E-2</v>
      </c>
      <c r="D2947">
        <v>15.527883538634001</v>
      </c>
      <c r="E2947">
        <v>0.43608253477967002</v>
      </c>
      <c r="F2947">
        <v>25</v>
      </c>
    </row>
    <row r="2948" spans="1:9" x14ac:dyDescent="0.25">
      <c r="A2948">
        <v>1018.8753462604</v>
      </c>
      <c r="B2948">
        <v>1045.9146814404</v>
      </c>
      <c r="C2948" s="1">
        <f t="shared" si="874"/>
        <v>2.6538413437171782E-2</v>
      </c>
      <c r="D2948">
        <v>15.676147816348999</v>
      </c>
      <c r="E2948">
        <v>0.43973355905783001</v>
      </c>
      <c r="F2948">
        <v>26</v>
      </c>
    </row>
    <row r="2949" spans="1:9" x14ac:dyDescent="0.25">
      <c r="A2949">
        <v>1031.1634349030001</v>
      </c>
      <c r="B2949">
        <v>1057.9080332410001</v>
      </c>
      <c r="C2949" s="1">
        <f t="shared" si="874"/>
        <v>2.5936333109519039E-2</v>
      </c>
      <c r="D2949">
        <v>15.643896976483999</v>
      </c>
      <c r="E2949">
        <v>0.43036378241975998</v>
      </c>
      <c r="F2949">
        <v>26</v>
      </c>
    </row>
    <row r="2950" spans="1:9" x14ac:dyDescent="0.25">
      <c r="A2950">
        <v>1016.5684210526</v>
      </c>
      <c r="B2950">
        <v>1041.9445983379001</v>
      </c>
      <c r="C2950" s="1">
        <f t="shared" si="874"/>
        <v>2.4962586639298179E-2</v>
      </c>
      <c r="D2950">
        <v>15.531914893617</v>
      </c>
      <c r="E2950">
        <v>0.43505863640794001</v>
      </c>
      <c r="F2950">
        <v>25</v>
      </c>
    </row>
    <row r="2951" spans="1:9" x14ac:dyDescent="0.25">
      <c r="A2951">
        <v>1014.9684210526</v>
      </c>
      <c r="B2951">
        <v>1041.8349030470999</v>
      </c>
      <c r="C2951" s="1">
        <f t="shared" si="874"/>
        <v>2.6470263938495053E-2</v>
      </c>
      <c r="D2951">
        <v>15.710638297872</v>
      </c>
      <c r="E2951">
        <v>0.44312271114009</v>
      </c>
      <c r="F2951">
        <v>26</v>
      </c>
    </row>
    <row r="2952" spans="1:9" x14ac:dyDescent="0.25">
      <c r="A2952">
        <v>1009.9290858726</v>
      </c>
      <c r="B2952">
        <v>1034.9916897507001</v>
      </c>
      <c r="C2952" s="1">
        <f t="shared" si="874"/>
        <v>2.481620168058174E-2</v>
      </c>
      <c r="D2952">
        <v>15.358118701007999</v>
      </c>
      <c r="E2952">
        <v>0.43182723742043</v>
      </c>
      <c r="F2952">
        <v>26</v>
      </c>
    </row>
    <row r="2953" spans="1:9" x14ac:dyDescent="0.25">
      <c r="A2953">
        <v>1003.6077562327</v>
      </c>
      <c r="B2953">
        <v>1031.0592797784</v>
      </c>
      <c r="C2953" s="1">
        <f t="shared" si="874"/>
        <v>2.7352841162513908E-2</v>
      </c>
      <c r="D2953">
        <v>15.365285554311001</v>
      </c>
      <c r="E2953">
        <v>0.43614501827344998</v>
      </c>
      <c r="F2953">
        <v>25</v>
      </c>
    </row>
    <row r="2954" spans="1:9" x14ac:dyDescent="0.25">
      <c r="A2954">
        <v>1011.8969529086</v>
      </c>
      <c r="B2954">
        <v>1039.7961218836999</v>
      </c>
      <c r="C2954" s="1">
        <f t="shared" si="874"/>
        <v>2.7571156227821803E-2</v>
      </c>
      <c r="D2954">
        <v>15.440537513998001</v>
      </c>
      <c r="E2954">
        <v>0.43363651645008</v>
      </c>
      <c r="F2954">
        <v>26</v>
      </c>
    </row>
    <row r="2955" spans="1:9" x14ac:dyDescent="0.25">
      <c r="A2955">
        <v>1012.7412742382</v>
      </c>
      <c r="B2955">
        <v>1040.6182825485</v>
      </c>
      <c r="C2955" s="1">
        <f t="shared" si="874"/>
        <v>2.7526288322029302E-2</v>
      </c>
      <c r="D2955">
        <v>15.366181410974001</v>
      </c>
      <c r="E2955">
        <v>0.43096076662636001</v>
      </c>
      <c r="F2955">
        <v>25</v>
      </c>
    </row>
    <row r="2956" spans="1:9" x14ac:dyDescent="0.25">
      <c r="A2956">
        <v>1021.2753462604001</v>
      </c>
      <c r="B2956">
        <v>1044.7468144044001</v>
      </c>
      <c r="C2956" s="1">
        <f t="shared" si="874"/>
        <v>2.2982507342359071E-2</v>
      </c>
      <c r="D2956">
        <v>15.574020156774999</v>
      </c>
      <c r="E2956">
        <v>0.43386643195815</v>
      </c>
      <c r="F2956">
        <v>26</v>
      </c>
      <c r="H2956" t="s">
        <v>17</v>
      </c>
      <c r="I2956">
        <f t="shared" ref="I2956" si="875">STDEVP(A2942:A2961)</f>
        <v>5.9004580477508561</v>
      </c>
    </row>
    <row r="2957" spans="1:9" x14ac:dyDescent="0.25">
      <c r="A2957">
        <v>1020.4930747922</v>
      </c>
      <c r="B2957">
        <v>1044.4587257618</v>
      </c>
      <c r="C2957" s="1">
        <f t="shared" si="874"/>
        <v>2.3484383737224279E-2</v>
      </c>
      <c r="D2957">
        <v>15.574916013437999</v>
      </c>
      <c r="E2957">
        <v>0.43412921254280001</v>
      </c>
      <c r="F2957">
        <v>25</v>
      </c>
      <c r="H2957" t="s">
        <v>18</v>
      </c>
      <c r="I2957">
        <f t="shared" ref="I2957" si="876">STDEVP(B2942:B2961)</f>
        <v>5.6906853329557894</v>
      </c>
    </row>
    <row r="2958" spans="1:9" x14ac:dyDescent="0.25">
      <c r="A2958">
        <v>1013.1623268698</v>
      </c>
      <c r="B2958">
        <v>1045.3617728531999</v>
      </c>
      <c r="C2958" s="1">
        <f t="shared" si="874"/>
        <v>3.178113233136215E-2</v>
      </c>
      <c r="D2958">
        <v>15.553415453527</v>
      </c>
      <c r="E2958">
        <v>0.43809527377702001</v>
      </c>
      <c r="F2958">
        <v>26</v>
      </c>
      <c r="H2958" t="s">
        <v>19</v>
      </c>
      <c r="I2958">
        <f t="shared" ref="I2958" si="877">STDEVP(C2942:C2961)</f>
        <v>2.9054953448252058E-3</v>
      </c>
    </row>
    <row r="2959" spans="1:9" x14ac:dyDescent="0.25">
      <c r="A2959">
        <v>1011.9246537396</v>
      </c>
      <c r="B2959">
        <v>1037.3407202215999</v>
      </c>
      <c r="C2959" s="1">
        <f t="shared" si="874"/>
        <v>2.5116560198502835E-2</v>
      </c>
      <c r="D2959">
        <v>15.362150055991</v>
      </c>
      <c r="E2959">
        <v>0.43062470343190001</v>
      </c>
      <c r="F2959">
        <v>25</v>
      </c>
      <c r="H2959" t="s">
        <v>20</v>
      </c>
      <c r="I2959">
        <f t="shared" ref="I2959" si="878">STDEVP(D2942:D2961)</f>
        <v>0.11668392035304098</v>
      </c>
    </row>
    <row r="2960" spans="1:9" x14ac:dyDescent="0.25">
      <c r="A2960">
        <v>1008</v>
      </c>
      <c r="B2960">
        <v>1043.1656509694999</v>
      </c>
      <c r="C2960" s="1">
        <f t="shared" si="874"/>
        <v>3.4886558501487919E-2</v>
      </c>
      <c r="D2960">
        <v>15.395744680850999</v>
      </c>
      <c r="E2960">
        <v>0.43477130469474001</v>
      </c>
      <c r="F2960">
        <v>26</v>
      </c>
      <c r="H2960" t="s">
        <v>21</v>
      </c>
      <c r="I2960">
        <f t="shared" ref="I2960" si="879">STDEVP(E2942:E2961)</f>
        <v>3.5330924720562485E-3</v>
      </c>
    </row>
    <row r="2961" spans="1:9" x14ac:dyDescent="0.25">
      <c r="A2961">
        <v>1020.8144044321</v>
      </c>
      <c r="B2961">
        <v>1044.8565096953</v>
      </c>
      <c r="C2961" s="1">
        <f t="shared" si="874"/>
        <v>2.3551886766894903E-2</v>
      </c>
      <c r="D2961">
        <v>15.7039193729</v>
      </c>
      <c r="E2961">
        <v>0.43927582796975001</v>
      </c>
      <c r="F2961">
        <v>26</v>
      </c>
      <c r="H2961" t="s">
        <v>22</v>
      </c>
      <c r="I2961">
        <f t="shared" ref="I2961" si="880">STDEVP(F2942:F2961)</f>
        <v>0.49749371855330998</v>
      </c>
    </row>
    <row r="2962" spans="1:9" x14ac:dyDescent="0.25">
      <c r="C2962" s="1" t="str">
        <f t="shared" si="874"/>
        <v/>
      </c>
    </row>
    <row r="2963" spans="1:9" x14ac:dyDescent="0.25">
      <c r="A2963">
        <v>391.32653061225</v>
      </c>
      <c r="B2963">
        <v>415.41836734693999</v>
      </c>
      <c r="C2963" s="1">
        <f t="shared" si="874"/>
        <v>6.1564537157746679E-2</v>
      </c>
      <c r="D2963">
        <v>8.4021164021164001</v>
      </c>
      <c r="E2963">
        <v>0.71240158286233002</v>
      </c>
      <c r="F2963">
        <v>8</v>
      </c>
    </row>
    <row r="2964" spans="1:9" x14ac:dyDescent="0.25">
      <c r="A2964">
        <v>382.4693877551</v>
      </c>
      <c r="B2964">
        <v>412.12244897958999</v>
      </c>
      <c r="C2964" s="1">
        <f t="shared" si="874"/>
        <v>7.7530547996372601E-2</v>
      </c>
      <c r="D2964">
        <v>8.3280423280423008</v>
      </c>
      <c r="E2964">
        <v>0.72902124301032001</v>
      </c>
      <c r="F2964">
        <v>8</v>
      </c>
    </row>
    <row r="2965" spans="1:9" x14ac:dyDescent="0.25">
      <c r="A2965">
        <v>389.20408163265</v>
      </c>
      <c r="B2965">
        <v>416.58163265306001</v>
      </c>
      <c r="C2965" s="1">
        <f t="shared" si="874"/>
        <v>7.0342404698238159E-2</v>
      </c>
      <c r="D2965">
        <v>8.1957671957671998</v>
      </c>
      <c r="E2965">
        <v>0.68998510232913002</v>
      </c>
      <c r="F2965">
        <v>8</v>
      </c>
    </row>
    <row r="2966" spans="1:9" x14ac:dyDescent="0.25">
      <c r="A2966">
        <v>389.61224489796001</v>
      </c>
      <c r="B2966">
        <v>412.55102040816001</v>
      </c>
      <c r="C2966" s="1">
        <f t="shared" si="874"/>
        <v>5.8875910114703167E-2</v>
      </c>
      <c r="D2966">
        <v>8.2539682539682993</v>
      </c>
      <c r="E2966">
        <v>0.69543798988128003</v>
      </c>
      <c r="F2966">
        <v>8</v>
      </c>
    </row>
    <row r="2967" spans="1:9" x14ac:dyDescent="0.25">
      <c r="A2967">
        <v>388.19387755102002</v>
      </c>
      <c r="B2967">
        <v>409.72448979592002</v>
      </c>
      <c r="C2967" s="1">
        <f t="shared" si="874"/>
        <v>5.546355439897499E-2</v>
      </c>
      <c r="D2967">
        <v>8.0582010582010994</v>
      </c>
      <c r="E2967">
        <v>0.67150751448024004</v>
      </c>
      <c r="F2967">
        <v>8</v>
      </c>
    </row>
    <row r="2968" spans="1:9" x14ac:dyDescent="0.25">
      <c r="A2968">
        <v>381.59183673468999</v>
      </c>
      <c r="B2968">
        <v>411.72448979592002</v>
      </c>
      <c r="C2968" s="1">
        <f t="shared" si="874"/>
        <v>7.8965664776996736E-2</v>
      </c>
      <c r="D2968">
        <v>8.2380952380951999</v>
      </c>
      <c r="E2968">
        <v>0.71766046260037997</v>
      </c>
      <c r="F2968">
        <v>8</v>
      </c>
    </row>
    <row r="2969" spans="1:9" x14ac:dyDescent="0.25">
      <c r="A2969">
        <v>388.80612244897998</v>
      </c>
      <c r="B2969">
        <v>409.34693877551001</v>
      </c>
      <c r="C2969" s="1">
        <f t="shared" si="874"/>
        <v>5.2830485788519121E-2</v>
      </c>
      <c r="D2969">
        <v>8.3862433862434003</v>
      </c>
      <c r="E2969">
        <v>0.71643903882477999</v>
      </c>
      <c r="F2969">
        <v>8</v>
      </c>
    </row>
    <row r="2970" spans="1:9" x14ac:dyDescent="0.25">
      <c r="A2970">
        <v>380.48979591837002</v>
      </c>
      <c r="B2970">
        <v>413.0612244898</v>
      </c>
      <c r="C2970" s="1">
        <f t="shared" si="874"/>
        <v>8.5603947650721768E-2</v>
      </c>
      <c r="D2970">
        <v>8.1957671957671998</v>
      </c>
      <c r="E2970">
        <v>0.71576684096668997</v>
      </c>
      <c r="F2970">
        <v>8</v>
      </c>
    </row>
    <row r="2971" spans="1:9" x14ac:dyDescent="0.25">
      <c r="A2971">
        <v>391.54081632652998</v>
      </c>
      <c r="B2971">
        <v>415.01020408162998</v>
      </c>
      <c r="C2971" s="1">
        <f t="shared" si="874"/>
        <v>5.9941101352578796E-2</v>
      </c>
      <c r="D2971">
        <v>8.3650793650793993</v>
      </c>
      <c r="E2971">
        <v>0.70695146542414</v>
      </c>
      <c r="F2971">
        <v>8</v>
      </c>
    </row>
    <row r="2972" spans="1:9" x14ac:dyDescent="0.25">
      <c r="A2972">
        <v>384.04081632652998</v>
      </c>
      <c r="B2972">
        <v>408.52040816327002</v>
      </c>
      <c r="C2972" s="1">
        <f t="shared" si="874"/>
        <v>6.3742161760031113E-2</v>
      </c>
      <c r="D2972">
        <v>8.4021164021164001</v>
      </c>
      <c r="E2972">
        <v>0.73741558600405999</v>
      </c>
      <c r="F2972">
        <v>8</v>
      </c>
    </row>
    <row r="2973" spans="1:9" x14ac:dyDescent="0.25">
      <c r="A2973">
        <v>383.47959183672998</v>
      </c>
      <c r="B2973">
        <v>412.38775510203999</v>
      </c>
      <c r="C2973" s="1">
        <f t="shared" si="874"/>
        <v>7.5383837577510437E-2</v>
      </c>
      <c r="D2973">
        <v>8.0952380952381002</v>
      </c>
      <c r="E2973">
        <v>0.69186814807449004</v>
      </c>
      <c r="F2973">
        <v>8</v>
      </c>
    </row>
    <row r="2974" spans="1:9" x14ac:dyDescent="0.25">
      <c r="A2974">
        <v>388.16326530612002</v>
      </c>
      <c r="B2974">
        <v>409.61224489796001</v>
      </c>
      <c r="C2974" s="1">
        <f t="shared" si="874"/>
        <v>5.5257623554162194E-2</v>
      </c>
      <c r="D2974">
        <v>8.4232804232803993</v>
      </c>
      <c r="E2974">
        <v>0.72462038034118004</v>
      </c>
      <c r="F2974">
        <v>8</v>
      </c>
    </row>
    <row r="2975" spans="1:9" x14ac:dyDescent="0.25">
      <c r="A2975">
        <v>390.5</v>
      </c>
      <c r="B2975">
        <v>415.70408163265</v>
      </c>
      <c r="C2975" s="1">
        <f t="shared" si="874"/>
        <v>6.4543102772471217E-2</v>
      </c>
      <c r="D2975">
        <v>8.4074074074073994</v>
      </c>
      <c r="E2975">
        <v>0.71507719751266996</v>
      </c>
      <c r="F2975">
        <v>8</v>
      </c>
    </row>
    <row r="2976" spans="1:9" x14ac:dyDescent="0.25">
      <c r="A2976">
        <v>385.91836734693999</v>
      </c>
      <c r="B2976">
        <v>406.65306122448999</v>
      </c>
      <c r="C2976" s="1">
        <f t="shared" si="874"/>
        <v>5.3728186144894163E-2</v>
      </c>
      <c r="D2976">
        <v>8.2328042328042006</v>
      </c>
      <c r="E2976">
        <v>0.70619028886808</v>
      </c>
      <c r="F2976">
        <v>8</v>
      </c>
    </row>
    <row r="2977" spans="1:9" x14ac:dyDescent="0.25">
      <c r="A2977">
        <v>387.33673469387998</v>
      </c>
      <c r="B2977">
        <v>416.04081632652998</v>
      </c>
      <c r="C2977" s="1">
        <f t="shared" si="874"/>
        <v>7.4106272557224351E-2</v>
      </c>
      <c r="D2977">
        <v>8.2433862433861993</v>
      </c>
      <c r="E2977">
        <v>0.70220449430289</v>
      </c>
      <c r="F2977">
        <v>8</v>
      </c>
      <c r="H2977" t="s">
        <v>17</v>
      </c>
      <c r="I2977">
        <f t="shared" ref="I2977" si="881">STDEVP(A2963:A2982)</f>
        <v>3.591573071260509</v>
      </c>
    </row>
    <row r="2978" spans="1:9" x14ac:dyDescent="0.25">
      <c r="A2978">
        <v>389</v>
      </c>
      <c r="B2978">
        <v>416.17346938776001</v>
      </c>
      <c r="C2978" s="1">
        <f t="shared" si="874"/>
        <v>6.9854677089357331E-2</v>
      </c>
      <c r="D2978">
        <v>8.1851851851851993</v>
      </c>
      <c r="E2978">
        <v>0.68602916814321002</v>
      </c>
      <c r="F2978">
        <v>8</v>
      </c>
      <c r="H2978" t="s">
        <v>18</v>
      </c>
      <c r="I2978">
        <f t="shared" ref="I2978" si="882">STDEVP(B2963:B2982)</f>
        <v>3.4494103703929389</v>
      </c>
    </row>
    <row r="2979" spans="1:9" x14ac:dyDescent="0.25">
      <c r="A2979">
        <v>391.65306122448999</v>
      </c>
      <c r="B2979">
        <v>420.5918367347</v>
      </c>
      <c r="C2979" s="1">
        <f t="shared" si="874"/>
        <v>7.3888802042639146E-2</v>
      </c>
      <c r="D2979">
        <v>8.3968253968254007</v>
      </c>
      <c r="E2979">
        <v>0.71125869177218004</v>
      </c>
      <c r="F2979">
        <v>8</v>
      </c>
      <c r="H2979" t="s">
        <v>19</v>
      </c>
      <c r="I2979">
        <f t="shared" ref="I2979" si="883">STDEVP(C2963:C2982)</f>
        <v>9.2276891922170642E-3</v>
      </c>
    </row>
    <row r="2980" spans="1:9" x14ac:dyDescent="0.25">
      <c r="A2980">
        <v>390.57142857142998</v>
      </c>
      <c r="B2980">
        <v>412.52040816327002</v>
      </c>
      <c r="C2980" s="1">
        <f t="shared" si="874"/>
        <v>5.6197094785252366E-2</v>
      </c>
      <c r="D2980">
        <v>8.4074074074073994</v>
      </c>
      <c r="E2980">
        <v>0.71651377511977998</v>
      </c>
      <c r="F2980">
        <v>8</v>
      </c>
      <c r="H2980" t="s">
        <v>20</v>
      </c>
      <c r="I2980">
        <f t="shared" ref="I2980" si="884">STDEVP(D2963:D2982)</f>
        <v>0.10742695367796819</v>
      </c>
    </row>
    <row r="2981" spans="1:9" x14ac:dyDescent="0.25">
      <c r="A2981">
        <v>382.81632653061001</v>
      </c>
      <c r="B2981">
        <v>408.93877551021001</v>
      </c>
      <c r="C2981" s="1">
        <f t="shared" si="874"/>
        <v>6.8237551977844424E-2</v>
      </c>
      <c r="D2981">
        <v>8.3015873015873005</v>
      </c>
      <c r="E2981">
        <v>0.72235323299249998</v>
      </c>
      <c r="F2981">
        <v>8</v>
      </c>
      <c r="H2981" t="s">
        <v>21</v>
      </c>
      <c r="I2981">
        <f t="shared" ref="I2981" si="885">STDEVP(E2963:E2982)</f>
        <v>1.545228760218441E-2</v>
      </c>
    </row>
    <row r="2982" spans="1:9" x14ac:dyDescent="0.25">
      <c r="A2982">
        <v>382.73469387755</v>
      </c>
      <c r="B2982">
        <v>408.62244897958999</v>
      </c>
      <c r="C2982" s="1">
        <f t="shared" si="874"/>
        <v>6.7638903700541819E-2</v>
      </c>
      <c r="D2982">
        <v>8.2380952380951999</v>
      </c>
      <c r="E2982">
        <v>0.71434050831027995</v>
      </c>
      <c r="F2982">
        <v>8</v>
      </c>
      <c r="H2982" t="s">
        <v>22</v>
      </c>
      <c r="I2982">
        <f t="shared" ref="I2982" si="886">STDEVP(F2963:F2982)</f>
        <v>0</v>
      </c>
    </row>
    <row r="2983" spans="1:9" x14ac:dyDescent="0.25">
      <c r="C2983" s="1" t="str">
        <f t="shared" si="874"/>
        <v/>
      </c>
    </row>
    <row r="2984" spans="1:9" x14ac:dyDescent="0.25">
      <c r="A2984">
        <v>1396.875</v>
      </c>
      <c r="B2984">
        <v>1446.46875</v>
      </c>
      <c r="C2984" s="1">
        <f t="shared" si="874"/>
        <v>3.5503355704697981E-2</v>
      </c>
      <c r="D2984">
        <v>11.766666666667</v>
      </c>
      <c r="E2984">
        <v>0.18785094399345001</v>
      </c>
      <c r="F2984">
        <v>21</v>
      </c>
    </row>
    <row r="2985" spans="1:9" x14ac:dyDescent="0.25">
      <c r="A2985">
        <v>1373.25</v>
      </c>
      <c r="B2985">
        <v>1440.875</v>
      </c>
      <c r="C2985" s="1">
        <f t="shared" si="874"/>
        <v>4.924449299107958E-2</v>
      </c>
      <c r="D2985">
        <v>11.533333333332999</v>
      </c>
      <c r="E2985">
        <v>0.18736171287931</v>
      </c>
      <c r="F2985">
        <v>21</v>
      </c>
    </row>
    <row r="2986" spans="1:9" x14ac:dyDescent="0.25">
      <c r="A2986">
        <v>1368.0625</v>
      </c>
      <c r="B2986">
        <v>1441.53125</v>
      </c>
      <c r="C2986" s="1">
        <f t="shared" si="874"/>
        <v>5.3702773082370037E-2</v>
      </c>
      <c r="D2986">
        <v>11.483333333333</v>
      </c>
      <c r="E2986">
        <v>0.18695817628920999</v>
      </c>
      <c r="F2986">
        <v>22</v>
      </c>
    </row>
    <row r="2987" spans="1:9" x14ac:dyDescent="0.25">
      <c r="A2987">
        <v>1371</v>
      </c>
      <c r="B2987">
        <v>1441.84375</v>
      </c>
      <c r="C2987" s="1">
        <f t="shared" si="874"/>
        <v>5.1673048869438354E-2</v>
      </c>
      <c r="D2987">
        <v>11.533333333332999</v>
      </c>
      <c r="E2987">
        <v>0.18734426527201001</v>
      </c>
      <c r="F2987">
        <v>22</v>
      </c>
    </row>
    <row r="2988" spans="1:9" x14ac:dyDescent="0.25">
      <c r="A2988">
        <v>1385.5625</v>
      </c>
      <c r="B2988">
        <v>1455.3125</v>
      </c>
      <c r="C2988" s="1">
        <f t="shared" si="874"/>
        <v>5.0340565654743097E-2</v>
      </c>
      <c r="D2988">
        <v>11.45</v>
      </c>
      <c r="E2988">
        <v>0.18362113983256001</v>
      </c>
      <c r="F2988">
        <v>21</v>
      </c>
    </row>
    <row r="2989" spans="1:9" x14ac:dyDescent="0.25">
      <c r="A2989">
        <v>1379.5</v>
      </c>
      <c r="B2989">
        <v>1442.375</v>
      </c>
      <c r="C2989" s="1">
        <f t="shared" si="874"/>
        <v>4.5578108010148499E-2</v>
      </c>
      <c r="D2989">
        <v>11.466666666667001</v>
      </c>
      <c r="E2989">
        <v>0.18479958468984001</v>
      </c>
      <c r="F2989">
        <v>21</v>
      </c>
    </row>
    <row r="2990" spans="1:9" x14ac:dyDescent="0.25">
      <c r="A2990">
        <v>1359.9375</v>
      </c>
      <c r="B2990">
        <v>1435.78125</v>
      </c>
      <c r="C2990" s="1">
        <f t="shared" si="874"/>
        <v>5.5770026196056754E-2</v>
      </c>
      <c r="D2990">
        <v>11.55</v>
      </c>
      <c r="E2990">
        <v>0.18951052768019</v>
      </c>
      <c r="F2990">
        <v>23</v>
      </c>
    </row>
    <row r="2991" spans="1:9" x14ac:dyDescent="0.25">
      <c r="A2991">
        <v>1376</v>
      </c>
      <c r="B2991">
        <v>1417.40625</v>
      </c>
      <c r="C2991" s="1">
        <f t="shared" si="874"/>
        <v>3.0091751453488413E-2</v>
      </c>
      <c r="D2991">
        <v>11.133333333333001</v>
      </c>
      <c r="E2991">
        <v>0.17904806631515</v>
      </c>
      <c r="F2991">
        <v>21</v>
      </c>
    </row>
    <row r="2992" spans="1:9" x14ac:dyDescent="0.25">
      <c r="A2992">
        <v>1373.6875</v>
      </c>
      <c r="B2992">
        <v>1455.0625</v>
      </c>
      <c r="C2992" s="1">
        <f t="shared" si="874"/>
        <v>5.9238363892806678E-2</v>
      </c>
      <c r="D2992">
        <v>11.05</v>
      </c>
      <c r="E2992">
        <v>0.1778572248019</v>
      </c>
      <c r="F2992">
        <v>22</v>
      </c>
    </row>
    <row r="2993" spans="1:9" x14ac:dyDescent="0.25">
      <c r="A2993">
        <v>1375.625</v>
      </c>
      <c r="B2993">
        <v>1427.65625</v>
      </c>
      <c r="C2993" s="1">
        <f t="shared" si="874"/>
        <v>3.782371649250349E-2</v>
      </c>
      <c r="D2993">
        <v>11.2</v>
      </c>
      <c r="E2993">
        <v>0.18050632072146999</v>
      </c>
      <c r="F2993">
        <v>21</v>
      </c>
    </row>
    <row r="2994" spans="1:9" x14ac:dyDescent="0.25">
      <c r="A2994">
        <v>1365.125</v>
      </c>
      <c r="B2994">
        <v>1430.53125</v>
      </c>
      <c r="C2994" s="1">
        <f t="shared" si="874"/>
        <v>4.7912279095321031E-2</v>
      </c>
      <c r="D2994">
        <v>11.566666666667</v>
      </c>
      <c r="E2994">
        <v>0.18926123262243999</v>
      </c>
      <c r="F2994">
        <v>21</v>
      </c>
    </row>
    <row r="2995" spans="1:9" x14ac:dyDescent="0.25">
      <c r="A2995">
        <v>1371.5625</v>
      </c>
      <c r="B2995">
        <v>1460.4375</v>
      </c>
      <c r="C2995" s="1">
        <f t="shared" si="874"/>
        <v>6.4798359535201744E-2</v>
      </c>
      <c r="D2995">
        <v>11.683333333333</v>
      </c>
      <c r="E2995">
        <v>0.19031633296732001</v>
      </c>
      <c r="F2995">
        <v>21</v>
      </c>
    </row>
    <row r="2996" spans="1:9" x14ac:dyDescent="0.25">
      <c r="A2996">
        <v>1392</v>
      </c>
      <c r="B2996">
        <v>1442.71875</v>
      </c>
      <c r="C2996" s="1">
        <f t="shared" si="874"/>
        <v>3.6435883620689724E-2</v>
      </c>
      <c r="D2996">
        <v>11.7</v>
      </c>
      <c r="E2996">
        <v>0.18723331414437999</v>
      </c>
      <c r="F2996">
        <v>22</v>
      </c>
    </row>
    <row r="2997" spans="1:9" x14ac:dyDescent="0.25">
      <c r="A2997">
        <v>1404.125</v>
      </c>
      <c r="B2997">
        <v>1446.9375</v>
      </c>
      <c r="C2997" s="1">
        <f t="shared" si="874"/>
        <v>3.0490519006498795E-2</v>
      </c>
      <c r="D2997">
        <v>11.6</v>
      </c>
      <c r="E2997">
        <v>0.18365622946735</v>
      </c>
      <c r="F2997">
        <v>22</v>
      </c>
    </row>
    <row r="2998" spans="1:9" x14ac:dyDescent="0.25">
      <c r="A2998">
        <v>1366.125</v>
      </c>
      <c r="B2998">
        <v>1439.5625</v>
      </c>
      <c r="C2998" s="1">
        <f t="shared" si="874"/>
        <v>5.3756061853783565E-2</v>
      </c>
      <c r="D2998">
        <v>11.233333333333</v>
      </c>
      <c r="E2998">
        <v>0.18251753998364001</v>
      </c>
      <c r="F2998">
        <v>22</v>
      </c>
      <c r="H2998" t="s">
        <v>17</v>
      </c>
      <c r="I2998">
        <f t="shared" ref="I2998" si="887">STDEVP(A2984:A3003)</f>
        <v>10.660182558826092</v>
      </c>
    </row>
    <row r="2999" spans="1:9" x14ac:dyDescent="0.25">
      <c r="A2999">
        <v>1372.75</v>
      </c>
      <c r="B2999">
        <v>1445.90625</v>
      </c>
      <c r="C2999" s="1">
        <f t="shared" si="874"/>
        <v>5.3291750136587046E-2</v>
      </c>
      <c r="D2999">
        <v>11.5</v>
      </c>
      <c r="E2999">
        <v>0.18672922910567999</v>
      </c>
      <c r="F2999">
        <v>21</v>
      </c>
      <c r="H2999" t="s">
        <v>18</v>
      </c>
      <c r="I2999">
        <f t="shared" ref="I2999" si="888">STDEVP(B2984:B3003)</f>
        <v>9.9662637720571468</v>
      </c>
    </row>
    <row r="3000" spans="1:9" x14ac:dyDescent="0.25">
      <c r="A3000">
        <v>1376.3125</v>
      </c>
      <c r="B3000">
        <v>1429.875</v>
      </c>
      <c r="C3000" s="1">
        <f t="shared" si="874"/>
        <v>3.8917397030107548E-2</v>
      </c>
      <c r="D3000">
        <v>10.816666666667</v>
      </c>
      <c r="E3000">
        <v>0.17320412260386001</v>
      </c>
      <c r="F3000">
        <v>21</v>
      </c>
      <c r="H3000" t="s">
        <v>19</v>
      </c>
      <c r="I3000">
        <f t="shared" ref="I3000" si="889">STDEVP(C2984:C3003)</f>
        <v>9.1771574442585189E-3</v>
      </c>
    </row>
    <row r="3001" spans="1:9" x14ac:dyDescent="0.25">
      <c r="A3001">
        <v>1378</v>
      </c>
      <c r="B3001">
        <v>1445.78125</v>
      </c>
      <c r="C3001" s="1">
        <f t="shared" si="874"/>
        <v>4.918813497822927E-2</v>
      </c>
      <c r="D3001">
        <v>11.133333333333001</v>
      </c>
      <c r="E3001">
        <v>0.17874932305978999</v>
      </c>
      <c r="F3001">
        <v>22</v>
      </c>
      <c r="H3001" t="s">
        <v>20</v>
      </c>
      <c r="I3001">
        <f t="shared" ref="I3001" si="890">STDEVP(D2984:D3003)</f>
        <v>0.31053269643552867</v>
      </c>
    </row>
    <row r="3002" spans="1:9" x14ac:dyDescent="0.25">
      <c r="A3002">
        <v>1367.8125</v>
      </c>
      <c r="B3002">
        <v>1431.53125</v>
      </c>
      <c r="C3002" s="1">
        <f t="shared" si="874"/>
        <v>4.6584418551519402E-2</v>
      </c>
      <c r="D3002">
        <v>11.583333333333</v>
      </c>
      <c r="E3002">
        <v>0.18930000882868001</v>
      </c>
      <c r="F3002">
        <v>21</v>
      </c>
      <c r="H3002" t="s">
        <v>21</v>
      </c>
      <c r="I3002">
        <f t="shared" ref="I3002" si="891">STDEVP(E2984:E3003)</f>
        <v>5.737153654859108E-3</v>
      </c>
    </row>
    <row r="3003" spans="1:9" x14ac:dyDescent="0.25">
      <c r="A3003">
        <v>1372.5625</v>
      </c>
      <c r="B3003">
        <v>1442.0625</v>
      </c>
      <c r="C3003" s="1">
        <f t="shared" si="874"/>
        <v>5.0635216975547515E-2</v>
      </c>
      <c r="D3003">
        <v>10.516666666667</v>
      </c>
      <c r="E3003">
        <v>0.16823999410313001</v>
      </c>
      <c r="F3003">
        <v>21</v>
      </c>
      <c r="H3003" t="s">
        <v>22</v>
      </c>
      <c r="I3003">
        <f t="shared" ref="I3003" si="892">STDEVP(F2984:F3003)</f>
        <v>0.58949130612757994</v>
      </c>
    </row>
    <row r="3004" spans="1:9" x14ac:dyDescent="0.25">
      <c r="C3004" s="1" t="str">
        <f t="shared" si="874"/>
        <v/>
      </c>
    </row>
    <row r="3005" spans="1:9" x14ac:dyDescent="0.25">
      <c r="A3005">
        <v>1285.3333333333001</v>
      </c>
      <c r="B3005">
        <v>1432</v>
      </c>
      <c r="C3005" s="1">
        <f t="shared" si="874"/>
        <v>0.11410788381745629</v>
      </c>
      <c r="D3005">
        <v>17</v>
      </c>
      <c r="E3005">
        <v>0.32042125237720998</v>
      </c>
      <c r="F3005">
        <v>23</v>
      </c>
    </row>
    <row r="3006" spans="1:9" x14ac:dyDescent="0.25">
      <c r="A3006">
        <v>1287.1111111110999</v>
      </c>
      <c r="B3006">
        <v>1418.5</v>
      </c>
      <c r="C3006" s="1">
        <f t="shared" si="874"/>
        <v>0.10208045580111458</v>
      </c>
      <c r="D3006">
        <v>17.696969696970001</v>
      </c>
      <c r="E3006">
        <v>0.33757754954656</v>
      </c>
      <c r="F3006">
        <v>23</v>
      </c>
    </row>
    <row r="3007" spans="1:9" x14ac:dyDescent="0.25">
      <c r="A3007">
        <v>1332.6111111110999</v>
      </c>
      <c r="B3007">
        <v>1382.1111111110999</v>
      </c>
      <c r="C3007" s="1">
        <f t="shared" si="874"/>
        <v>3.7145120273481824E-2</v>
      </c>
      <c r="D3007">
        <v>18.060606060605998</v>
      </c>
      <c r="E3007">
        <v>0.33168775641808002</v>
      </c>
      <c r="F3007">
        <v>22</v>
      </c>
    </row>
    <row r="3008" spans="1:9" x14ac:dyDescent="0.25">
      <c r="A3008">
        <v>1322</v>
      </c>
      <c r="B3008">
        <v>1434.6111111110999</v>
      </c>
      <c r="C3008" s="1">
        <f t="shared" si="874"/>
        <v>8.5182383593872979E-2</v>
      </c>
      <c r="D3008">
        <v>17.818181818182001</v>
      </c>
      <c r="E3008">
        <v>0.32862820010907001</v>
      </c>
      <c r="F3008">
        <v>23</v>
      </c>
    </row>
    <row r="3009" spans="1:9" x14ac:dyDescent="0.25">
      <c r="A3009">
        <v>1330.6111111110999</v>
      </c>
      <c r="B3009">
        <v>1417.4444444445</v>
      </c>
      <c r="C3009" s="1">
        <f t="shared" si="874"/>
        <v>6.525823556432786E-2</v>
      </c>
      <c r="D3009">
        <v>18.151515151515</v>
      </c>
      <c r="E3009">
        <v>0.33419540453475</v>
      </c>
      <c r="F3009">
        <v>22</v>
      </c>
    </row>
    <row r="3010" spans="1:9" x14ac:dyDescent="0.25">
      <c r="A3010">
        <v>1297.2222222221999</v>
      </c>
      <c r="B3010">
        <v>1402.7777777778001</v>
      </c>
      <c r="C3010" s="1">
        <f t="shared" ref="C3010:C3073" si="893">IFERROR((B3010/A3010)-1,"")</f>
        <v>8.1370449678836776E-2</v>
      </c>
      <c r="D3010">
        <v>17.303030303029999</v>
      </c>
      <c r="E3010">
        <v>0.32467355829411998</v>
      </c>
      <c r="F3010">
        <v>24</v>
      </c>
    </row>
    <row r="3011" spans="1:9" x14ac:dyDescent="0.25">
      <c r="A3011">
        <v>1313.3888888889001</v>
      </c>
      <c r="B3011">
        <v>1422.6666666666999</v>
      </c>
      <c r="C3011" s="1">
        <f t="shared" si="893"/>
        <v>8.3202910198400204E-2</v>
      </c>
      <c r="D3011">
        <v>18.303030303029999</v>
      </c>
      <c r="E3011">
        <v>0.34380600450184001</v>
      </c>
      <c r="F3011">
        <v>23</v>
      </c>
    </row>
    <row r="3012" spans="1:9" x14ac:dyDescent="0.25">
      <c r="A3012">
        <v>1295.1111111110999</v>
      </c>
      <c r="B3012">
        <v>1401</v>
      </c>
      <c r="C3012" s="1">
        <f t="shared" si="893"/>
        <v>8.1760466712432089E-2</v>
      </c>
      <c r="D3012">
        <v>17.424242424241999</v>
      </c>
      <c r="E3012">
        <v>0.32760482237708999</v>
      </c>
      <c r="F3012">
        <v>22</v>
      </c>
    </row>
    <row r="3013" spans="1:9" x14ac:dyDescent="0.25">
      <c r="A3013">
        <v>1323.6111111110999</v>
      </c>
      <c r="B3013">
        <v>1408.2777777778001</v>
      </c>
      <c r="C3013" s="1">
        <f t="shared" si="893"/>
        <v>6.3966421825839115E-2</v>
      </c>
      <c r="D3013">
        <v>17.969696969697001</v>
      </c>
      <c r="E3013">
        <v>0.33228951049896999</v>
      </c>
      <c r="F3013">
        <v>23</v>
      </c>
    </row>
    <row r="3014" spans="1:9" x14ac:dyDescent="0.25">
      <c r="A3014">
        <v>1302.1666666666999</v>
      </c>
      <c r="B3014">
        <v>1409.4444444445</v>
      </c>
      <c r="C3014" s="1">
        <f t="shared" si="893"/>
        <v>8.2384060753460053E-2</v>
      </c>
      <c r="D3014">
        <v>17.545454545455001</v>
      </c>
      <c r="E3014">
        <v>0.32844882699143002</v>
      </c>
      <c r="F3014">
        <v>23</v>
      </c>
    </row>
    <row r="3015" spans="1:9" x14ac:dyDescent="0.25">
      <c r="A3015">
        <v>1362.3333333333001</v>
      </c>
      <c r="B3015">
        <v>1427.4444444445</v>
      </c>
      <c r="C3015" s="1">
        <f t="shared" si="893"/>
        <v>4.7793817796331073E-2</v>
      </c>
      <c r="D3015">
        <v>18.636363636363999</v>
      </c>
      <c r="E3015">
        <v>0.33574136864922</v>
      </c>
      <c r="F3015">
        <v>23</v>
      </c>
    </row>
    <row r="3016" spans="1:9" x14ac:dyDescent="0.25">
      <c r="A3016">
        <v>1343.6111111110999</v>
      </c>
      <c r="B3016">
        <v>1430.3888888889001</v>
      </c>
      <c r="C3016" s="1">
        <f t="shared" si="893"/>
        <v>6.4585486872045239E-2</v>
      </c>
      <c r="D3016">
        <v>18.333333333333002</v>
      </c>
      <c r="E3016">
        <v>0.33395547263761</v>
      </c>
      <c r="F3016">
        <v>23</v>
      </c>
    </row>
    <row r="3017" spans="1:9" x14ac:dyDescent="0.25">
      <c r="A3017">
        <v>1313.6666666666999</v>
      </c>
      <c r="B3017">
        <v>1401.2222222221999</v>
      </c>
      <c r="C3017" s="1">
        <f t="shared" si="893"/>
        <v>6.6649750486296178E-2</v>
      </c>
      <c r="D3017">
        <v>17.909090909090999</v>
      </c>
      <c r="E3017">
        <v>0.33452649607057</v>
      </c>
      <c r="F3017">
        <v>23</v>
      </c>
    </row>
    <row r="3018" spans="1:9" x14ac:dyDescent="0.25">
      <c r="A3018">
        <v>1321.8333333333001</v>
      </c>
      <c r="B3018">
        <v>1398.6666666666999</v>
      </c>
      <c r="C3018" s="1">
        <f t="shared" si="893"/>
        <v>5.8126339679789529E-2</v>
      </c>
      <c r="D3018">
        <v>17.818181818182001</v>
      </c>
      <c r="E3018">
        <v>0.32857696007763998</v>
      </c>
      <c r="F3018">
        <v>22</v>
      </c>
    </row>
    <row r="3019" spans="1:9" x14ac:dyDescent="0.25">
      <c r="A3019">
        <v>1299</v>
      </c>
      <c r="B3019">
        <v>1399.6111111110999</v>
      </c>
      <c r="C3019" s="1">
        <f t="shared" si="893"/>
        <v>7.7452741425019234E-2</v>
      </c>
      <c r="D3019">
        <v>17.272727272727</v>
      </c>
      <c r="E3019">
        <v>0.32284856429410003</v>
      </c>
      <c r="F3019">
        <v>23</v>
      </c>
      <c r="H3019" t="s">
        <v>17</v>
      </c>
      <c r="I3019">
        <f t="shared" ref="I3019" si="894">STDEVP(A3005:A3024)</f>
        <v>20.627285507482021</v>
      </c>
    </row>
    <row r="3020" spans="1:9" x14ac:dyDescent="0.25">
      <c r="A3020">
        <v>1323.1666666666999</v>
      </c>
      <c r="B3020">
        <v>1416.7777777778001</v>
      </c>
      <c r="C3020" s="1">
        <f t="shared" si="893"/>
        <v>7.0747785195438562E-2</v>
      </c>
      <c r="D3020">
        <v>18.181818181817999</v>
      </c>
      <c r="E3020">
        <v>0.33697313004542001</v>
      </c>
      <c r="F3020">
        <v>22</v>
      </c>
      <c r="H3020" t="s">
        <v>18</v>
      </c>
      <c r="I3020">
        <f t="shared" ref="I3020" si="895">STDEVP(B3005:B3024)</f>
        <v>17.316607626532225</v>
      </c>
    </row>
    <row r="3021" spans="1:9" x14ac:dyDescent="0.25">
      <c r="A3021">
        <v>1297.3333333333001</v>
      </c>
      <c r="B3021">
        <v>1397.8888888889001</v>
      </c>
      <c r="C3021" s="1">
        <f t="shared" si="893"/>
        <v>7.7509421034637205E-2</v>
      </c>
      <c r="D3021">
        <v>17.727272727273</v>
      </c>
      <c r="E3021">
        <v>0.33539716231149003</v>
      </c>
      <c r="F3021">
        <v>24</v>
      </c>
      <c r="H3021" t="s">
        <v>19</v>
      </c>
      <c r="I3021">
        <f t="shared" ref="I3021" si="896">STDEVP(C3005:C3024)</f>
        <v>1.7635136322833825E-2</v>
      </c>
    </row>
    <row r="3022" spans="1:9" x14ac:dyDescent="0.25">
      <c r="A3022">
        <v>1340.3333333333001</v>
      </c>
      <c r="B3022">
        <v>1406.5555555556</v>
      </c>
      <c r="C3022" s="1">
        <f t="shared" si="893"/>
        <v>4.9407278454838277E-2</v>
      </c>
      <c r="D3022">
        <v>18.454545454544999</v>
      </c>
      <c r="E3022">
        <v>0.33893812258393002</v>
      </c>
      <c r="F3022">
        <v>24</v>
      </c>
      <c r="H3022" t="s">
        <v>20</v>
      </c>
      <c r="I3022">
        <f t="shared" ref="I3022" si="897">STDEVP(D3005:D3024)</f>
        <v>0.41100562019843251</v>
      </c>
    </row>
    <row r="3023" spans="1:9" x14ac:dyDescent="0.25">
      <c r="A3023">
        <v>1306.8888888889001</v>
      </c>
      <c r="B3023">
        <v>1402.5555555556</v>
      </c>
      <c r="C3023" s="1">
        <f t="shared" si="893"/>
        <v>7.3201836422402078E-2</v>
      </c>
      <c r="D3023">
        <v>18.030303030302999</v>
      </c>
      <c r="E3023">
        <v>0.33932443341978002</v>
      </c>
      <c r="F3023">
        <v>22</v>
      </c>
      <c r="H3023" t="s">
        <v>21</v>
      </c>
      <c r="I3023">
        <f t="shared" ref="I3023" si="898">STDEVP(E3005:E3024)</f>
        <v>6.0516126994837474E-3</v>
      </c>
    </row>
    <row r="3024" spans="1:9" x14ac:dyDescent="0.25">
      <c r="A3024">
        <v>1285.6666666666999</v>
      </c>
      <c r="B3024">
        <v>1360.4444444445</v>
      </c>
      <c r="C3024" s="1">
        <f t="shared" si="893"/>
        <v>5.8162647999324468E-2</v>
      </c>
      <c r="D3024">
        <v>17.818181818182001</v>
      </c>
      <c r="E3024">
        <v>0.34105980827477</v>
      </c>
      <c r="F3024">
        <v>23</v>
      </c>
      <c r="H3024" t="s">
        <v>22</v>
      </c>
      <c r="I3024">
        <f t="shared" ref="I3024" si="899">STDEVP(F3005:F3024)</f>
        <v>0.65383484153110094</v>
      </c>
    </row>
    <row r="3025" spans="1:9" x14ac:dyDescent="0.25">
      <c r="C3025" s="1" t="str">
        <f t="shared" si="893"/>
        <v/>
      </c>
    </row>
    <row r="3026" spans="1:9" x14ac:dyDescent="0.25">
      <c r="A3026">
        <v>935.05574778930998</v>
      </c>
      <c r="B3026">
        <v>962.14532871972006</v>
      </c>
      <c r="C3026" s="1">
        <f t="shared" si="893"/>
        <v>2.8971086477417085E-2</v>
      </c>
      <c r="D3026">
        <v>10.407843137255</v>
      </c>
      <c r="E3026">
        <v>0.28024230706480002</v>
      </c>
      <c r="F3026">
        <v>15</v>
      </c>
    </row>
    <row r="3027" spans="1:9" x14ac:dyDescent="0.25">
      <c r="A3027">
        <v>918.93118031526001</v>
      </c>
      <c r="B3027">
        <v>948.74279123413999</v>
      </c>
      <c r="C3027" s="1">
        <f t="shared" si="893"/>
        <v>3.2441614298746924E-2</v>
      </c>
      <c r="D3027">
        <v>10.365490196077999</v>
      </c>
      <c r="E3027">
        <v>0.28482754755479001</v>
      </c>
      <c r="F3027">
        <v>15</v>
      </c>
    </row>
    <row r="3028" spans="1:9" x14ac:dyDescent="0.25">
      <c r="A3028">
        <v>914.26297577854996</v>
      </c>
      <c r="B3028">
        <v>946.22376009227003</v>
      </c>
      <c r="C3028" s="1">
        <f t="shared" si="893"/>
        <v>3.4957977256492967E-2</v>
      </c>
      <c r="D3028">
        <v>10.249411764706</v>
      </c>
      <c r="E3028">
        <v>0.28208744503085997</v>
      </c>
      <c r="F3028">
        <v>15</v>
      </c>
    </row>
    <row r="3029" spans="1:9" x14ac:dyDescent="0.25">
      <c r="A3029">
        <v>922.69819300269</v>
      </c>
      <c r="B3029">
        <v>955.99231064975004</v>
      </c>
      <c r="C3029" s="1">
        <f t="shared" si="893"/>
        <v>3.6083432155332051E-2</v>
      </c>
      <c r="D3029">
        <v>10.059607843137</v>
      </c>
      <c r="E3029">
        <v>0.27332642461833001</v>
      </c>
      <c r="F3029">
        <v>15</v>
      </c>
    </row>
    <row r="3030" spans="1:9" x14ac:dyDescent="0.25">
      <c r="A3030">
        <v>922.45136485966998</v>
      </c>
      <c r="B3030">
        <v>957.40176855054995</v>
      </c>
      <c r="C3030" s="1">
        <f t="shared" si="893"/>
        <v>3.7888613993429132E-2</v>
      </c>
      <c r="D3030">
        <v>10.069019607843</v>
      </c>
      <c r="E3030">
        <v>0.27326007404579999</v>
      </c>
      <c r="F3030">
        <v>15</v>
      </c>
    </row>
    <row r="3031" spans="1:9" x14ac:dyDescent="0.25">
      <c r="A3031">
        <v>917.40945790081003</v>
      </c>
      <c r="B3031">
        <v>951.97231833909996</v>
      </c>
      <c r="C3031" s="1">
        <f t="shared" si="893"/>
        <v>3.7674410417978033E-2</v>
      </c>
      <c r="D3031">
        <v>10.305882352941</v>
      </c>
      <c r="E3031">
        <v>0.28331324876397002</v>
      </c>
      <c r="F3031">
        <v>15</v>
      </c>
    </row>
    <row r="3032" spans="1:9" x14ac:dyDescent="0.25">
      <c r="A3032">
        <v>923.59861591695994</v>
      </c>
      <c r="B3032">
        <v>966.47135717031995</v>
      </c>
      <c r="C3032" s="1">
        <f t="shared" si="893"/>
        <v>4.6419235060021657E-2</v>
      </c>
      <c r="D3032">
        <v>10.183529411765001</v>
      </c>
      <c r="E3032">
        <v>0.27652738072249</v>
      </c>
      <c r="F3032">
        <v>15</v>
      </c>
    </row>
    <row r="3033" spans="1:9" x14ac:dyDescent="0.25">
      <c r="A3033">
        <v>920.34217608612005</v>
      </c>
      <c r="B3033">
        <v>958.53210303728997</v>
      </c>
      <c r="C3033" s="1">
        <f t="shared" si="893"/>
        <v>4.149535677434435E-2</v>
      </c>
      <c r="D3033">
        <v>10.227450980392</v>
      </c>
      <c r="E3033">
        <v>0.27913729565175999</v>
      </c>
      <c r="F3033">
        <v>15</v>
      </c>
    </row>
    <row r="3034" spans="1:9" x14ac:dyDescent="0.25">
      <c r="A3034">
        <v>929.68319876969997</v>
      </c>
      <c r="B3034">
        <v>965.55478662052997</v>
      </c>
      <c r="C3034" s="1">
        <f t="shared" si="893"/>
        <v>3.8584743596851823E-2</v>
      </c>
      <c r="D3034">
        <v>10.167843137255</v>
      </c>
      <c r="E3034">
        <v>0.27396040188065002</v>
      </c>
      <c r="F3034">
        <v>14</v>
      </c>
    </row>
    <row r="3035" spans="1:9" x14ac:dyDescent="0.25">
      <c r="A3035">
        <v>926.62360630526996</v>
      </c>
      <c r="B3035">
        <v>958.98885044213</v>
      </c>
      <c r="C3035" s="1">
        <f t="shared" si="893"/>
        <v>3.4928145491468943E-2</v>
      </c>
      <c r="D3035">
        <v>10.189803921569</v>
      </c>
      <c r="E3035">
        <v>0.27610044566705999</v>
      </c>
      <c r="F3035">
        <v>15</v>
      </c>
    </row>
    <row r="3036" spans="1:9" x14ac:dyDescent="0.25">
      <c r="A3036">
        <v>917.62091503268005</v>
      </c>
      <c r="B3036">
        <v>957.32564398308</v>
      </c>
      <c r="C3036" s="1">
        <f t="shared" si="893"/>
        <v>4.3269206597133847E-2</v>
      </c>
      <c r="D3036">
        <v>10.426666666667</v>
      </c>
      <c r="E3036">
        <v>0.28754918989322997</v>
      </c>
      <c r="F3036">
        <v>15</v>
      </c>
    </row>
    <row r="3037" spans="1:9" x14ac:dyDescent="0.25">
      <c r="A3037">
        <v>930.42983467897</v>
      </c>
      <c r="B3037">
        <v>963.25182622067996</v>
      </c>
      <c r="C3037" s="1">
        <f t="shared" si="893"/>
        <v>3.5276159811701069E-2</v>
      </c>
      <c r="D3037">
        <v>10.443921568626999</v>
      </c>
      <c r="E3037">
        <v>0.28344648666145</v>
      </c>
      <c r="F3037">
        <v>16</v>
      </c>
    </row>
    <row r="3038" spans="1:9" x14ac:dyDescent="0.25">
      <c r="A3038">
        <v>918.24913494810005</v>
      </c>
      <c r="B3038">
        <v>956.28835063436998</v>
      </c>
      <c r="C3038" s="1">
        <f t="shared" si="893"/>
        <v>4.1425811621831787E-2</v>
      </c>
      <c r="D3038">
        <v>10.244705882352999</v>
      </c>
      <c r="E3038">
        <v>0.28097438528782998</v>
      </c>
      <c r="F3038">
        <v>15</v>
      </c>
    </row>
    <row r="3039" spans="1:9" x14ac:dyDescent="0.25">
      <c r="A3039">
        <v>917.85159554018003</v>
      </c>
      <c r="B3039">
        <v>952.38139177238997</v>
      </c>
      <c r="C3039" s="1">
        <f t="shared" si="893"/>
        <v>3.7620238827267283E-2</v>
      </c>
      <c r="D3039">
        <v>10.158431372549</v>
      </c>
      <c r="E3039">
        <v>0.27813647229187999</v>
      </c>
      <c r="F3039">
        <v>15</v>
      </c>
    </row>
    <row r="3040" spans="1:9" x14ac:dyDescent="0.25">
      <c r="A3040">
        <v>922.46674356017002</v>
      </c>
      <c r="B3040">
        <v>954.14071510957001</v>
      </c>
      <c r="C3040" s="1">
        <f t="shared" si="893"/>
        <v>3.4336166339349328E-2</v>
      </c>
      <c r="D3040">
        <v>10.189803921569</v>
      </c>
      <c r="E3040">
        <v>0.27746101340975998</v>
      </c>
      <c r="F3040">
        <v>14</v>
      </c>
      <c r="H3040" t="s">
        <v>17</v>
      </c>
      <c r="I3040">
        <f t="shared" ref="I3040" si="900">STDEVP(A3026:A3045)</f>
        <v>6.1872964017201078</v>
      </c>
    </row>
    <row r="3041" spans="1:9" x14ac:dyDescent="0.25">
      <c r="A3041">
        <v>930.04690503652</v>
      </c>
      <c r="B3041">
        <v>956.19377162628996</v>
      </c>
      <c r="C3041" s="1">
        <f t="shared" si="893"/>
        <v>2.811349239288452E-2</v>
      </c>
      <c r="D3041">
        <v>10.340392156863</v>
      </c>
      <c r="E3041">
        <v>0.27992409798916001</v>
      </c>
      <c r="F3041">
        <v>15</v>
      </c>
      <c r="H3041" t="s">
        <v>18</v>
      </c>
      <c r="I3041">
        <f t="shared" ref="I3041" si="901">STDEVP(B3026:B3045)</f>
        <v>5.999614083312669</v>
      </c>
    </row>
    <row r="3042" spans="1:9" x14ac:dyDescent="0.25">
      <c r="A3042">
        <v>910.68512110726999</v>
      </c>
      <c r="B3042">
        <v>952.79584775086005</v>
      </c>
      <c r="C3042" s="1">
        <f t="shared" si="893"/>
        <v>4.6240710062759316E-2</v>
      </c>
      <c r="D3042">
        <v>10.112941176471001</v>
      </c>
      <c r="E3042">
        <v>0.27899226267846999</v>
      </c>
      <c r="F3042">
        <v>15</v>
      </c>
      <c r="H3042" t="s">
        <v>19</v>
      </c>
      <c r="I3042">
        <f t="shared" ref="I3042" si="902">STDEVP(C3026:C3045)</f>
        <v>5.021920017690442E-3</v>
      </c>
    </row>
    <row r="3043" spans="1:9" x14ac:dyDescent="0.25">
      <c r="A3043">
        <v>928.50057670127001</v>
      </c>
      <c r="B3043">
        <v>960.45444059977001</v>
      </c>
      <c r="C3043" s="1">
        <f t="shared" si="893"/>
        <v>3.441447932323749E-2</v>
      </c>
      <c r="D3043">
        <v>10.343529411764999</v>
      </c>
      <c r="E3043">
        <v>0.28066703980711</v>
      </c>
      <c r="F3043">
        <v>15</v>
      </c>
      <c r="H3043" t="s">
        <v>20</v>
      </c>
      <c r="I3043">
        <f t="shared" ref="I3043" si="903">STDEVP(D3026:D3045)</f>
        <v>0.12071502978496669</v>
      </c>
    </row>
    <row r="3044" spans="1:9" x14ac:dyDescent="0.25">
      <c r="A3044">
        <v>919.87927720107996</v>
      </c>
      <c r="B3044">
        <v>948.05151864667005</v>
      </c>
      <c r="C3044" s="1">
        <f t="shared" si="893"/>
        <v>3.0626020330961179E-2</v>
      </c>
      <c r="D3044">
        <v>10.407843137255</v>
      </c>
      <c r="E3044">
        <v>0.28596687504467</v>
      </c>
      <c r="F3044">
        <v>15</v>
      </c>
      <c r="H3044" t="s">
        <v>21</v>
      </c>
      <c r="I3044">
        <f t="shared" ref="I3044" si="904">STDEVP(E3026:E3045)</f>
        <v>3.9834283417128358E-3</v>
      </c>
    </row>
    <row r="3045" spans="1:9" x14ac:dyDescent="0.25">
      <c r="A3045">
        <v>914.43367935409003</v>
      </c>
      <c r="B3045">
        <v>944.35986159168999</v>
      </c>
      <c r="C3045" s="1">
        <f t="shared" si="893"/>
        <v>3.2726465476138555E-2</v>
      </c>
      <c r="D3045">
        <v>10.094117647059001</v>
      </c>
      <c r="E3045">
        <v>0.27683147884810999</v>
      </c>
      <c r="F3045">
        <v>16</v>
      </c>
      <c r="H3045" t="s">
        <v>22</v>
      </c>
      <c r="I3045">
        <f t="shared" ref="I3045" si="905">STDEVP(F3026:F3045)</f>
        <v>0.44721359549995793</v>
      </c>
    </row>
    <row r="3046" spans="1:9" x14ac:dyDescent="0.25">
      <c r="C3046" s="1" t="str">
        <f t="shared" si="893"/>
        <v/>
      </c>
    </row>
    <row r="3047" spans="1:9" x14ac:dyDescent="0.25">
      <c r="A3047">
        <v>699.40359168242003</v>
      </c>
      <c r="B3047">
        <v>718.59357277884999</v>
      </c>
      <c r="C3047" s="1">
        <f t="shared" si="893"/>
        <v>2.7437635900994239E-2</v>
      </c>
      <c r="D3047">
        <v>11.142379359771001</v>
      </c>
      <c r="E3047">
        <v>0.46239243001157998</v>
      </c>
      <c r="F3047">
        <v>17</v>
      </c>
    </row>
    <row r="3048" spans="1:9" x14ac:dyDescent="0.25">
      <c r="A3048">
        <v>703.65217391303997</v>
      </c>
      <c r="B3048">
        <v>728.36389413990003</v>
      </c>
      <c r="C3048" s="1">
        <f t="shared" si="893"/>
        <v>3.5119226718844709E-2</v>
      </c>
      <c r="D3048">
        <v>11.032967032967001</v>
      </c>
      <c r="E3048">
        <v>0.45210234017929002</v>
      </c>
      <c r="F3048">
        <v>18</v>
      </c>
    </row>
    <row r="3049" spans="1:9" x14ac:dyDescent="0.25">
      <c r="A3049">
        <v>706.62098298676995</v>
      </c>
      <c r="B3049">
        <v>725.59640831759998</v>
      </c>
      <c r="C3049" s="1">
        <f t="shared" si="893"/>
        <v>2.6853752984554724E-2</v>
      </c>
      <c r="D3049">
        <v>11.065456282848</v>
      </c>
      <c r="E3049">
        <v>0.45041901792882999</v>
      </c>
      <c r="F3049">
        <v>18</v>
      </c>
    </row>
    <row r="3050" spans="1:9" x14ac:dyDescent="0.25">
      <c r="A3050">
        <v>704.62003780717998</v>
      </c>
      <c r="B3050">
        <v>723.37996219283002</v>
      </c>
      <c r="C3050" s="1">
        <f t="shared" si="893"/>
        <v>2.6624171012836984E-2</v>
      </c>
      <c r="D3050">
        <v>11.051122790253</v>
      </c>
      <c r="E3050">
        <v>0.45162454876502001</v>
      </c>
      <c r="F3050">
        <v>18</v>
      </c>
    </row>
    <row r="3051" spans="1:9" x14ac:dyDescent="0.25">
      <c r="A3051">
        <v>702.68336483932001</v>
      </c>
      <c r="B3051">
        <v>720.73818525521006</v>
      </c>
      <c r="C3051" s="1">
        <f t="shared" si="893"/>
        <v>2.5694105367100262E-2</v>
      </c>
      <c r="D3051">
        <v>11.132345914955</v>
      </c>
      <c r="E3051">
        <v>0.45832156510552002</v>
      </c>
      <c r="F3051">
        <v>18</v>
      </c>
    </row>
    <row r="3052" spans="1:9" x14ac:dyDescent="0.25">
      <c r="A3052">
        <v>702.71172022684004</v>
      </c>
      <c r="B3052">
        <v>720.65595463139005</v>
      </c>
      <c r="C3052" s="1">
        <f t="shared" si="893"/>
        <v>2.5535698193218437E-2</v>
      </c>
      <c r="D3052">
        <v>11.023889154323999</v>
      </c>
      <c r="E3052">
        <v>0.45191629223194002</v>
      </c>
      <c r="F3052">
        <v>18</v>
      </c>
    </row>
    <row r="3053" spans="1:9" x14ac:dyDescent="0.25">
      <c r="A3053">
        <v>703.74574669186995</v>
      </c>
      <c r="B3053">
        <v>722.56616257090002</v>
      </c>
      <c r="C3053" s="1">
        <f t="shared" si="893"/>
        <v>2.6743203731603549E-2</v>
      </c>
      <c r="D3053">
        <v>11.133301481128001</v>
      </c>
      <c r="E3053">
        <v>0.45713363038024002</v>
      </c>
      <c r="F3053">
        <v>18</v>
      </c>
    </row>
    <row r="3054" spans="1:9" x14ac:dyDescent="0.25">
      <c r="A3054">
        <v>708.62570888468997</v>
      </c>
      <c r="B3054">
        <v>729.94234404538997</v>
      </c>
      <c r="C3054" s="1">
        <f t="shared" si="893"/>
        <v>3.0081656498534892E-2</v>
      </c>
      <c r="D3054">
        <v>11.060200668896</v>
      </c>
      <c r="E3054">
        <v>0.44863922184054</v>
      </c>
      <c r="F3054">
        <v>18</v>
      </c>
    </row>
    <row r="3055" spans="1:9" x14ac:dyDescent="0.25">
      <c r="A3055">
        <v>706.98960302456999</v>
      </c>
      <c r="B3055">
        <v>724.31758034027996</v>
      </c>
      <c r="C3055" s="1">
        <f t="shared" si="893"/>
        <v>2.4509522122502458E-2</v>
      </c>
      <c r="D3055">
        <v>11.161012900143</v>
      </c>
      <c r="E3055">
        <v>0.45627220825797998</v>
      </c>
      <c r="F3055">
        <v>18</v>
      </c>
    </row>
    <row r="3056" spans="1:9" x14ac:dyDescent="0.25">
      <c r="A3056">
        <v>699.50945179584005</v>
      </c>
      <c r="B3056">
        <v>720.67958412099995</v>
      </c>
      <c r="C3056" s="1">
        <f t="shared" si="893"/>
        <v>3.0264254858615836E-2</v>
      </c>
      <c r="D3056">
        <v>11.121356903965999</v>
      </c>
      <c r="E3056">
        <v>0.46071500500399998</v>
      </c>
      <c r="F3056">
        <v>18</v>
      </c>
    </row>
    <row r="3057" spans="1:9" x14ac:dyDescent="0.25">
      <c r="A3057">
        <v>702.38846880906999</v>
      </c>
      <c r="B3057">
        <v>721.74385633272004</v>
      </c>
      <c r="C3057" s="1">
        <f t="shared" si="893"/>
        <v>2.7556528022830262E-2</v>
      </c>
      <c r="D3057">
        <v>11.110845676063001</v>
      </c>
      <c r="E3057">
        <v>0.45696102490757001</v>
      </c>
      <c r="F3057">
        <v>18</v>
      </c>
    </row>
    <row r="3058" spans="1:9" x14ac:dyDescent="0.25">
      <c r="A3058">
        <v>703.04914933836994</v>
      </c>
      <c r="B3058">
        <v>725.96597353498998</v>
      </c>
      <c r="C3058" s="1">
        <f t="shared" si="893"/>
        <v>3.2596333013398482E-2</v>
      </c>
      <c r="D3058">
        <v>11.118967988533001</v>
      </c>
      <c r="E3058">
        <v>0.45797342110860001</v>
      </c>
      <c r="F3058">
        <v>18</v>
      </c>
    </row>
    <row r="3059" spans="1:9" x14ac:dyDescent="0.25">
      <c r="A3059">
        <v>696.99338374291005</v>
      </c>
      <c r="B3059">
        <v>716.64933837430999</v>
      </c>
      <c r="C3059" s="1">
        <f t="shared" si="893"/>
        <v>2.820106343886053E-2</v>
      </c>
      <c r="D3059">
        <v>11.108456760631</v>
      </c>
      <c r="E3059">
        <v>0.46215668333983001</v>
      </c>
      <c r="F3059">
        <v>18</v>
      </c>
    </row>
    <row r="3060" spans="1:9" x14ac:dyDescent="0.25">
      <c r="A3060">
        <v>710.00472589792003</v>
      </c>
      <c r="B3060">
        <v>727.21550094519</v>
      </c>
      <c r="C3060" s="1">
        <f t="shared" si="893"/>
        <v>2.4240366887000819E-2</v>
      </c>
      <c r="D3060">
        <v>11.159579550884001</v>
      </c>
      <c r="E3060">
        <v>0.45328206755408001</v>
      </c>
      <c r="F3060">
        <v>18</v>
      </c>
    </row>
    <row r="3061" spans="1:9" x14ac:dyDescent="0.25">
      <c r="A3061">
        <v>704.80529300567002</v>
      </c>
      <c r="B3061">
        <v>722.80529300569003</v>
      </c>
      <c r="C3061" s="1">
        <f t="shared" si="893"/>
        <v>2.5538968249313676E-2</v>
      </c>
      <c r="D3061">
        <v>11.168179646441001</v>
      </c>
      <c r="E3061">
        <v>0.45836290229752003</v>
      </c>
      <c r="F3061">
        <v>18</v>
      </c>
      <c r="H3061" t="s">
        <v>17</v>
      </c>
      <c r="I3061">
        <f t="shared" ref="I3061" si="906">STDEVP(A3047:A3066)</f>
        <v>3.2374961594792939</v>
      </c>
    </row>
    <row r="3062" spans="1:9" x14ac:dyDescent="0.25">
      <c r="A3062">
        <v>707.99149338374002</v>
      </c>
      <c r="B3062">
        <v>724.36767485823998</v>
      </c>
      <c r="C3062" s="1">
        <f t="shared" si="893"/>
        <v>2.3130477735307853E-2</v>
      </c>
      <c r="D3062">
        <v>11.167701863354001</v>
      </c>
      <c r="E3062">
        <v>0.45607016087488</v>
      </c>
      <c r="F3062">
        <v>18</v>
      </c>
      <c r="H3062" t="s">
        <v>18</v>
      </c>
      <c r="I3062">
        <f t="shared" ref="I3062" si="907">STDEVP(B3047:B3066)</f>
        <v>3.3866344173031702</v>
      </c>
    </row>
    <row r="3063" spans="1:9" x14ac:dyDescent="0.25">
      <c r="A3063">
        <v>702.12476370510001</v>
      </c>
      <c r="B3063">
        <v>722.22967863895997</v>
      </c>
      <c r="C3063" s="1">
        <f t="shared" si="893"/>
        <v>2.8634390884843208E-2</v>
      </c>
      <c r="D3063">
        <v>11.100812231247</v>
      </c>
      <c r="E3063">
        <v>0.45712683259629999</v>
      </c>
      <c r="F3063">
        <v>18</v>
      </c>
      <c r="H3063" t="s">
        <v>19</v>
      </c>
      <c r="I3063">
        <f t="shared" ref="I3063" si="908">STDEVP(C3047:C3066)</f>
        <v>2.9399781469525033E-3</v>
      </c>
    </row>
    <row r="3064" spans="1:9" x14ac:dyDescent="0.25">
      <c r="A3064">
        <v>707.17013232514</v>
      </c>
      <c r="B3064">
        <v>727.82514177694998</v>
      </c>
      <c r="C3064" s="1">
        <f t="shared" si="893"/>
        <v>2.9207977695405951E-2</v>
      </c>
      <c r="D3064">
        <v>11.250358337314999</v>
      </c>
      <c r="E3064">
        <v>0.46096588569109997</v>
      </c>
      <c r="F3064">
        <v>18</v>
      </c>
      <c r="H3064" t="s">
        <v>20</v>
      </c>
      <c r="I3064">
        <f t="shared" ref="I3064" si="909">STDEVP(D3047:D3066)</f>
        <v>5.790633932989242E-2</v>
      </c>
    </row>
    <row r="3065" spans="1:9" x14ac:dyDescent="0.25">
      <c r="A3065">
        <v>706.24102079395004</v>
      </c>
      <c r="B3065">
        <v>723.71455576561004</v>
      </c>
      <c r="C3065" s="1">
        <f t="shared" si="893"/>
        <v>2.4741603018211045E-2</v>
      </c>
      <c r="D3065">
        <v>11.171524128046</v>
      </c>
      <c r="E3065">
        <v>0.45746237128425998</v>
      </c>
      <c r="F3065">
        <v>18</v>
      </c>
      <c r="H3065" t="s">
        <v>21</v>
      </c>
      <c r="I3065">
        <f t="shared" ref="I3065" si="910">STDEVP(E3047:E3066)</f>
        <v>4.1251994203504692E-3</v>
      </c>
    </row>
    <row r="3066" spans="1:9" x14ac:dyDescent="0.25">
      <c r="A3066">
        <v>706.20982986767001</v>
      </c>
      <c r="B3066">
        <v>728.02457466919998</v>
      </c>
      <c r="C3066" s="1">
        <f t="shared" si="893"/>
        <v>3.0889891189446628E-2</v>
      </c>
      <c r="D3066">
        <v>11.017200191113</v>
      </c>
      <c r="E3066">
        <v>0.44889598326551999</v>
      </c>
      <c r="F3066">
        <v>18</v>
      </c>
      <c r="H3066" t="s">
        <v>22</v>
      </c>
      <c r="I3066">
        <f t="shared" ref="I3066" si="911">STDEVP(F3047:F3066)</f>
        <v>0.21794494717703364</v>
      </c>
    </row>
    <row r="3067" spans="1:9" x14ac:dyDescent="0.25">
      <c r="C3067" s="1" t="str">
        <f t="shared" si="893"/>
        <v/>
      </c>
    </row>
    <row r="3068" spans="1:9" x14ac:dyDescent="0.25">
      <c r="A3068">
        <v>915.52066115701996</v>
      </c>
      <c r="B3068">
        <v>974.79338842975994</v>
      </c>
      <c r="C3068" s="1">
        <f t="shared" si="893"/>
        <v>6.4742096806239324E-2</v>
      </c>
      <c r="D3068">
        <v>11.163636363636</v>
      </c>
      <c r="E3068">
        <v>0.28704965256707998</v>
      </c>
      <c r="F3068">
        <v>19</v>
      </c>
    </row>
    <row r="3069" spans="1:9" x14ac:dyDescent="0.25">
      <c r="A3069">
        <v>904.94214876033004</v>
      </c>
      <c r="B3069">
        <v>964.16528925620003</v>
      </c>
      <c r="C3069" s="1">
        <f t="shared" si="893"/>
        <v>6.5444117700782511E-2</v>
      </c>
      <c r="D3069">
        <v>10.981818181817999</v>
      </c>
      <c r="E3069">
        <v>0.28371390211725001</v>
      </c>
      <c r="F3069">
        <v>17</v>
      </c>
    </row>
    <row r="3070" spans="1:9" x14ac:dyDescent="0.25">
      <c r="A3070">
        <v>907.58677685949999</v>
      </c>
      <c r="B3070">
        <v>963.81818181819006</v>
      </c>
      <c r="C3070" s="1">
        <f t="shared" si="893"/>
        <v>6.1957056220305784E-2</v>
      </c>
      <c r="D3070">
        <v>11.127272727273001</v>
      </c>
      <c r="E3070">
        <v>0.28887278799112998</v>
      </c>
      <c r="F3070">
        <v>17</v>
      </c>
    </row>
    <row r="3071" spans="1:9" x14ac:dyDescent="0.25">
      <c r="A3071">
        <v>911.55371900826003</v>
      </c>
      <c r="B3071">
        <v>961.55371900827004</v>
      </c>
      <c r="C3071" s="1">
        <f t="shared" si="893"/>
        <v>5.4851402563974361E-2</v>
      </c>
      <c r="D3071">
        <v>11.345454545455</v>
      </c>
      <c r="E3071">
        <v>0.29402598980826</v>
      </c>
      <c r="F3071">
        <v>20</v>
      </c>
    </row>
    <row r="3072" spans="1:9" x14ac:dyDescent="0.25">
      <c r="A3072">
        <v>907.50413223140004</v>
      </c>
      <c r="B3072">
        <v>983.15702479338995</v>
      </c>
      <c r="C3072" s="1">
        <f t="shared" si="893"/>
        <v>8.3363689348688874E-2</v>
      </c>
      <c r="D3072">
        <v>10.872727272726999</v>
      </c>
      <c r="E3072">
        <v>0.27953241057409001</v>
      </c>
      <c r="F3072">
        <v>17</v>
      </c>
    </row>
    <row r="3073" spans="1:9" x14ac:dyDescent="0.25">
      <c r="A3073">
        <v>913.91735537190004</v>
      </c>
      <c r="B3073">
        <v>981.53719008265</v>
      </c>
      <c r="C3073" s="1">
        <f t="shared" si="893"/>
        <v>7.3989003834196154E-2</v>
      </c>
      <c r="D3073">
        <v>11.345454545455</v>
      </c>
      <c r="E3073">
        <v>0.29222814335565001</v>
      </c>
      <c r="F3073">
        <v>18</v>
      </c>
    </row>
    <row r="3074" spans="1:9" x14ac:dyDescent="0.25">
      <c r="A3074">
        <v>894.74380165289006</v>
      </c>
      <c r="B3074">
        <v>958.16528925620003</v>
      </c>
      <c r="C3074" s="1">
        <f t="shared" ref="C3074:C3137" si="912">IFERROR((B3074/A3074)-1,"")</f>
        <v>7.0882287741082184E-2</v>
      </c>
      <c r="D3074">
        <v>11.090909090908999</v>
      </c>
      <c r="E3074">
        <v>0.29286601590602002</v>
      </c>
      <c r="F3074">
        <v>17</v>
      </c>
    </row>
    <row r="3075" spans="1:9" x14ac:dyDescent="0.25">
      <c r="A3075">
        <v>897.37190082644997</v>
      </c>
      <c r="B3075">
        <v>969.52066115702996</v>
      </c>
      <c r="C3075" s="1">
        <f t="shared" si="912"/>
        <v>8.0400066309334273E-2</v>
      </c>
      <c r="D3075">
        <v>10.945454545455</v>
      </c>
      <c r="E3075">
        <v>0.28576237451161002</v>
      </c>
      <c r="F3075">
        <v>16</v>
      </c>
    </row>
    <row r="3076" spans="1:9" x14ac:dyDescent="0.25">
      <c r="A3076">
        <v>891.66942148759995</v>
      </c>
      <c r="B3076">
        <v>954.04958677686</v>
      </c>
      <c r="C3076" s="1">
        <f t="shared" si="912"/>
        <v>6.9958847736630192E-2</v>
      </c>
      <c r="D3076">
        <v>11.781818181818</v>
      </c>
      <c r="E3076">
        <v>0.31659500859273998</v>
      </c>
      <c r="F3076">
        <v>19</v>
      </c>
    </row>
    <row r="3077" spans="1:9" x14ac:dyDescent="0.25">
      <c r="A3077">
        <v>892.36363636364001</v>
      </c>
      <c r="B3077">
        <v>954.38016528926005</v>
      </c>
      <c r="C3077" s="1">
        <f t="shared" si="912"/>
        <v>6.9496925242646501E-2</v>
      </c>
      <c r="D3077">
        <v>10.8</v>
      </c>
      <c r="E3077">
        <v>0.28309602002013001</v>
      </c>
      <c r="F3077">
        <v>17</v>
      </c>
    </row>
    <row r="3078" spans="1:9" x14ac:dyDescent="0.25">
      <c r="A3078">
        <v>891.58677685949999</v>
      </c>
      <c r="B3078">
        <v>985.23966942149002</v>
      </c>
      <c r="C3078" s="1">
        <f t="shared" si="912"/>
        <v>0.10504069260859872</v>
      </c>
      <c r="D3078">
        <v>11.127272727273001</v>
      </c>
      <c r="E3078">
        <v>0.29453546879612003</v>
      </c>
      <c r="F3078">
        <v>18</v>
      </c>
    </row>
    <row r="3079" spans="1:9" x14ac:dyDescent="0.25">
      <c r="A3079">
        <v>922.72727272727002</v>
      </c>
      <c r="B3079">
        <v>979.53719008265</v>
      </c>
      <c r="C3079" s="1">
        <f t="shared" si="912"/>
        <v>6.1567398119131145E-2</v>
      </c>
      <c r="D3079">
        <v>10.4</v>
      </c>
      <c r="E3079">
        <v>0.25937249755018998</v>
      </c>
      <c r="F3079">
        <v>19</v>
      </c>
    </row>
    <row r="3080" spans="1:9" x14ac:dyDescent="0.25">
      <c r="A3080">
        <v>916.16528925620003</v>
      </c>
      <c r="B3080">
        <v>955.75206611571002</v>
      </c>
      <c r="C3080" s="1">
        <f t="shared" si="912"/>
        <v>4.3209208342360306E-2</v>
      </c>
      <c r="D3080">
        <v>11.709090909091</v>
      </c>
      <c r="E3080">
        <v>0.3036481276129</v>
      </c>
      <c r="F3080">
        <v>18</v>
      </c>
    </row>
    <row r="3081" spans="1:9" x14ac:dyDescent="0.25">
      <c r="A3081">
        <v>903.10743801652995</v>
      </c>
      <c r="B3081">
        <v>974.85950413223998</v>
      </c>
      <c r="C3081" s="1">
        <f t="shared" si="912"/>
        <v>7.9450199494865315E-2</v>
      </c>
      <c r="D3081">
        <v>11.090909090908999</v>
      </c>
      <c r="E3081">
        <v>0.28835223274763999</v>
      </c>
      <c r="F3081">
        <v>19</v>
      </c>
    </row>
    <row r="3082" spans="1:9" x14ac:dyDescent="0.25">
      <c r="A3082">
        <v>879.85123966942001</v>
      </c>
      <c r="B3082">
        <v>967.38842975207001</v>
      </c>
      <c r="C3082" s="1">
        <f t="shared" si="912"/>
        <v>9.9490898160852437E-2</v>
      </c>
      <c r="D3082">
        <v>10.581818181818001</v>
      </c>
      <c r="E3082">
        <v>0.28047563816420001</v>
      </c>
      <c r="F3082">
        <v>18</v>
      </c>
      <c r="H3082" t="s">
        <v>17</v>
      </c>
      <c r="I3082">
        <f t="shared" ref="I3082" si="913">STDEVP(A3068:A3087)</f>
        <v>11.339623735257126</v>
      </c>
    </row>
    <row r="3083" spans="1:9" x14ac:dyDescent="0.25">
      <c r="A3083">
        <v>911.70247933884002</v>
      </c>
      <c r="B3083">
        <v>952.33057851240005</v>
      </c>
      <c r="C3083" s="1">
        <f t="shared" si="912"/>
        <v>4.4562892055556524E-2</v>
      </c>
      <c r="D3083">
        <v>10.763636363636</v>
      </c>
      <c r="E3083">
        <v>0.27364654130330002</v>
      </c>
      <c r="F3083">
        <v>17</v>
      </c>
      <c r="H3083" t="s">
        <v>18</v>
      </c>
      <c r="I3083">
        <f t="shared" ref="I3083" si="914">STDEVP(B3068:B3087)</f>
        <v>10.296899116325887</v>
      </c>
    </row>
    <row r="3084" spans="1:9" x14ac:dyDescent="0.25">
      <c r="A3084">
        <v>920.94214876033004</v>
      </c>
      <c r="B3084">
        <v>980.29752066115998</v>
      </c>
      <c r="C3084" s="1">
        <f t="shared" si="912"/>
        <v>6.445070624764826E-2</v>
      </c>
      <c r="D3084">
        <v>11.381818181818</v>
      </c>
      <c r="E3084">
        <v>0.29049899708004001</v>
      </c>
      <c r="F3084">
        <v>17</v>
      </c>
      <c r="H3084" t="s">
        <v>19</v>
      </c>
      <c r="I3084">
        <f t="shared" ref="I3084" si="915">STDEVP(C3068:C3087)</f>
        <v>1.5812597066513379E-2</v>
      </c>
    </row>
    <row r="3085" spans="1:9" x14ac:dyDescent="0.25">
      <c r="A3085">
        <v>902.03305785123996</v>
      </c>
      <c r="B3085">
        <v>976.66115702479999</v>
      </c>
      <c r="C3085" s="1">
        <f t="shared" si="912"/>
        <v>8.2733219724046236E-2</v>
      </c>
      <c r="D3085">
        <v>11.381818181818</v>
      </c>
      <c r="E3085">
        <v>0.29805691460257999</v>
      </c>
      <c r="F3085">
        <v>18</v>
      </c>
      <c r="H3085" t="s">
        <v>20</v>
      </c>
      <c r="I3085">
        <f t="shared" ref="I3085" si="916">STDEVP(D3068:D3087)</f>
        <v>0.3297883117676223</v>
      </c>
    </row>
    <row r="3086" spans="1:9" x14ac:dyDescent="0.25">
      <c r="A3086">
        <v>921.15702479338995</v>
      </c>
      <c r="B3086">
        <v>964.89256198348005</v>
      </c>
      <c r="C3086" s="1">
        <f t="shared" si="912"/>
        <v>4.7478916203130161E-2</v>
      </c>
      <c r="D3086">
        <v>11.163636363636</v>
      </c>
      <c r="E3086">
        <v>0.28271915319711999</v>
      </c>
      <c r="F3086">
        <v>19</v>
      </c>
      <c r="H3086" t="s">
        <v>21</v>
      </c>
      <c r="I3086">
        <f t="shared" ref="I3086" si="917">STDEVP(E3068:E3087)</f>
        <v>1.1227324218022389E-2</v>
      </c>
    </row>
    <row r="3087" spans="1:9" x14ac:dyDescent="0.25">
      <c r="A3087">
        <v>908.49586776859996</v>
      </c>
      <c r="B3087">
        <v>966.31404958678002</v>
      </c>
      <c r="C3087" s="1">
        <f t="shared" si="912"/>
        <v>6.364165635688579E-2</v>
      </c>
      <c r="D3087">
        <v>11.127272727273001</v>
      </c>
      <c r="E3087">
        <v>0.28789835019245003</v>
      </c>
      <c r="F3087">
        <v>17</v>
      </c>
      <c r="H3087" t="s">
        <v>22</v>
      </c>
      <c r="I3087">
        <f t="shared" ref="I3087" si="918">STDEVP(F3068:F3087)</f>
        <v>1.0136567466356647</v>
      </c>
    </row>
    <row r="3088" spans="1:9" x14ac:dyDescent="0.25">
      <c r="C3088" s="1" t="str">
        <f t="shared" si="912"/>
        <v/>
      </c>
    </row>
    <row r="3089" spans="1:9" x14ac:dyDescent="0.25">
      <c r="A3089">
        <v>1670.9712442892001</v>
      </c>
      <c r="B3089">
        <v>1724.1236226820999</v>
      </c>
      <c r="C3089" s="1">
        <f t="shared" si="912"/>
        <v>3.18092717481262E-2</v>
      </c>
      <c r="D3089">
        <v>16.071038251366002</v>
      </c>
      <c r="E3089">
        <v>0.23372756596624</v>
      </c>
      <c r="F3089">
        <v>39</v>
      </c>
    </row>
    <row r="3090" spans="1:9" x14ac:dyDescent="0.25">
      <c r="A3090">
        <v>1660.7003493684999</v>
      </c>
      <c r="B3090">
        <v>1711.0153184628</v>
      </c>
      <c r="C3090" s="1">
        <f t="shared" si="912"/>
        <v>3.0297439940584647E-2</v>
      </c>
      <c r="D3090">
        <v>16.030601092895999</v>
      </c>
      <c r="E3090">
        <v>0.23495545364386</v>
      </c>
      <c r="F3090">
        <v>44</v>
      </c>
    </row>
    <row r="3091" spans="1:9" x14ac:dyDescent="0.25">
      <c r="A3091">
        <v>1676.075786079</v>
      </c>
      <c r="B3091">
        <v>1720.6745498522</v>
      </c>
      <c r="C3091" s="1">
        <f t="shared" si="912"/>
        <v>2.6609037696042392E-2</v>
      </c>
      <c r="D3091">
        <v>16.068852459016</v>
      </c>
      <c r="E3091">
        <v>0.2328391019444</v>
      </c>
      <c r="F3091">
        <v>40</v>
      </c>
    </row>
    <row r="3092" spans="1:9" x14ac:dyDescent="0.25">
      <c r="A3092">
        <v>1663.0889545821001</v>
      </c>
      <c r="B3092">
        <v>1702.9943563557999</v>
      </c>
      <c r="C3092" s="1">
        <f t="shared" si="912"/>
        <v>2.3994748845967306E-2</v>
      </c>
      <c r="D3092">
        <v>15.745355191257</v>
      </c>
      <c r="E3092">
        <v>0.22916216495958</v>
      </c>
      <c r="F3092">
        <v>42</v>
      </c>
    </row>
    <row r="3093" spans="1:9" x14ac:dyDescent="0.25">
      <c r="A3093">
        <v>1655.5167965600999</v>
      </c>
      <c r="B3093">
        <v>1701.9011018542999</v>
      </c>
      <c r="C3093" s="1">
        <f t="shared" si="912"/>
        <v>2.8018021557122852E-2</v>
      </c>
      <c r="D3093">
        <v>15.773770491803001</v>
      </c>
      <c r="E3093">
        <v>0.23091874127048001</v>
      </c>
      <c r="F3093">
        <v>42</v>
      </c>
    </row>
    <row r="3094" spans="1:9" x14ac:dyDescent="0.25">
      <c r="A3094">
        <v>1662.1531846278001</v>
      </c>
      <c r="B3094">
        <v>1709.1357162053</v>
      </c>
      <c r="C3094" s="1">
        <f t="shared" si="912"/>
        <v>2.8266065975152799E-2</v>
      </c>
      <c r="D3094">
        <v>16.299453551913</v>
      </c>
      <c r="E3094">
        <v>0.23929112254175</v>
      </c>
      <c r="F3094">
        <v>38</v>
      </c>
    </row>
    <row r="3095" spans="1:9" x14ac:dyDescent="0.25">
      <c r="A3095">
        <v>1679.8312281645001</v>
      </c>
      <c r="B3095">
        <v>1727.3501746842001</v>
      </c>
      <c r="C3095" s="1">
        <f t="shared" si="912"/>
        <v>2.8287929003214529E-2</v>
      </c>
      <c r="D3095">
        <v>16.314754098361</v>
      </c>
      <c r="E3095">
        <v>0.23661269456994</v>
      </c>
      <c r="F3095">
        <v>41</v>
      </c>
    </row>
    <row r="3096" spans="1:9" x14ac:dyDescent="0.25">
      <c r="A3096">
        <v>1670.7847352862</v>
      </c>
      <c r="B3096">
        <v>1717.0755173340001</v>
      </c>
      <c r="C3096" s="1">
        <f t="shared" si="912"/>
        <v>2.7706012073344999E-2</v>
      </c>
      <c r="D3096">
        <v>16.139890710383</v>
      </c>
      <c r="E3096">
        <v>0.23506918398839</v>
      </c>
      <c r="F3096">
        <v>41</v>
      </c>
    </row>
    <row r="3097" spans="1:9" x14ac:dyDescent="0.25">
      <c r="A3097">
        <v>1681.5791453910001</v>
      </c>
      <c r="B3097">
        <v>1725.9424885783001</v>
      </c>
      <c r="C3097" s="1">
        <f t="shared" si="912"/>
        <v>2.6381953718261908E-2</v>
      </c>
      <c r="D3097">
        <v>16.183606557377001</v>
      </c>
      <c r="E3097">
        <v>0.23378088466161001</v>
      </c>
      <c r="F3097">
        <v>42</v>
      </c>
    </row>
    <row r="3098" spans="1:9" x14ac:dyDescent="0.25">
      <c r="A3098">
        <v>1672.9416823434999</v>
      </c>
      <c r="B3098">
        <v>1718.6401504972</v>
      </c>
      <c r="C3098" s="1">
        <f t="shared" si="912"/>
        <v>2.7316235010466317E-2</v>
      </c>
      <c r="D3098">
        <v>16.061202185791998</v>
      </c>
      <c r="E3098">
        <v>0.23310403927143999</v>
      </c>
      <c r="F3098">
        <v>40</v>
      </c>
    </row>
    <row r="3099" spans="1:9" x14ac:dyDescent="0.25">
      <c r="A3099">
        <v>1683.1765654394001</v>
      </c>
      <c r="B3099">
        <v>1721.020693362</v>
      </c>
      <c r="C3099" s="1">
        <f t="shared" si="912"/>
        <v>2.2483754051507043E-2</v>
      </c>
      <c r="D3099">
        <v>16.178142076503001</v>
      </c>
      <c r="E3099">
        <v>0.23351282014439001</v>
      </c>
      <c r="F3099">
        <v>41</v>
      </c>
    </row>
    <row r="3100" spans="1:9" x14ac:dyDescent="0.25">
      <c r="A3100">
        <v>1676.7831228164</v>
      </c>
      <c r="B3100">
        <v>1729.3421123354001</v>
      </c>
      <c r="C3100" s="1">
        <f t="shared" si="912"/>
        <v>3.1345132715028479E-2</v>
      </c>
      <c r="D3100">
        <v>16.244808743168999</v>
      </c>
      <c r="E3100">
        <v>0.23595168982785</v>
      </c>
      <c r="F3100">
        <v>39</v>
      </c>
    </row>
    <row r="3101" spans="1:9" x14ac:dyDescent="0.25">
      <c r="A3101">
        <v>1673.9306638001001</v>
      </c>
      <c r="B3101">
        <v>1728.6616500941</v>
      </c>
      <c r="C3101" s="1">
        <f t="shared" si="912"/>
        <v>3.2696089197477018E-2</v>
      </c>
      <c r="D3101">
        <v>16.244808743168999</v>
      </c>
      <c r="E3101">
        <v>0.23640334460313001</v>
      </c>
      <c r="F3101">
        <v>44</v>
      </c>
    </row>
    <row r="3102" spans="1:9" x14ac:dyDescent="0.25">
      <c r="A3102">
        <v>1664.9814565976999</v>
      </c>
      <c r="B3102">
        <v>1707.965600645</v>
      </c>
      <c r="C3102" s="1">
        <f t="shared" si="912"/>
        <v>2.5816590255086647E-2</v>
      </c>
      <c r="D3102">
        <v>16.339890710382999</v>
      </c>
      <c r="E3102">
        <v>0.23955978062555999</v>
      </c>
      <c r="F3102">
        <v>40</v>
      </c>
    </row>
    <row r="3103" spans="1:9" x14ac:dyDescent="0.25">
      <c r="A3103">
        <v>1677.4786347756001</v>
      </c>
      <c r="B3103">
        <v>1716.3090567052</v>
      </c>
      <c r="C3103" s="1">
        <f t="shared" si="912"/>
        <v>2.314808732857232E-2</v>
      </c>
      <c r="D3103">
        <v>16.056830601093001</v>
      </c>
      <c r="E3103">
        <v>0.23224372306475</v>
      </c>
      <c r="F3103">
        <v>46</v>
      </c>
      <c r="H3103" t="s">
        <v>17</v>
      </c>
      <c r="I3103">
        <f t="shared" ref="I3103" si="919">STDEVP(A3089:A3108)</f>
        <v>7.3040188188201078</v>
      </c>
    </row>
    <row r="3104" spans="1:9" x14ac:dyDescent="0.25">
      <c r="A3104">
        <v>1669.5210964794001</v>
      </c>
      <c r="B3104">
        <v>1711.4286482128</v>
      </c>
      <c r="C3104" s="1">
        <f t="shared" si="912"/>
        <v>2.5101540688388102E-2</v>
      </c>
      <c r="D3104">
        <v>16.360655737704999</v>
      </c>
      <c r="E3104">
        <v>0.23910913731242001</v>
      </c>
      <c r="F3104">
        <v>40</v>
      </c>
      <c r="H3104" t="s">
        <v>18</v>
      </c>
      <c r="I3104">
        <f t="shared" ref="I3104" si="920">STDEVP(B3089:B3108)</f>
        <v>8.4219670986363244</v>
      </c>
    </row>
    <row r="3105" spans="1:9" x14ac:dyDescent="0.25">
      <c r="A3105">
        <v>1680.4138672399999</v>
      </c>
      <c r="B3105">
        <v>1724.6783122816</v>
      </c>
      <c r="C3105" s="1">
        <f t="shared" si="912"/>
        <v>2.634139476264985E-2</v>
      </c>
      <c r="D3105">
        <v>16.337704918033001</v>
      </c>
      <c r="E3105">
        <v>0.23679686758439</v>
      </c>
      <c r="F3105">
        <v>40</v>
      </c>
      <c r="H3105" t="s">
        <v>19</v>
      </c>
      <c r="I3105">
        <f t="shared" ref="I3105" si="921">STDEVP(C3089:C3108)</f>
        <v>2.9500449421807581E-3</v>
      </c>
    </row>
    <row r="3106" spans="1:9" x14ac:dyDescent="0.25">
      <c r="A3106">
        <v>1673.6049449073</v>
      </c>
      <c r="B3106">
        <v>1727.9349637194</v>
      </c>
      <c r="C3106" s="1">
        <f t="shared" si="912"/>
        <v>3.2462869434882746E-2</v>
      </c>
      <c r="D3106">
        <v>15.904918032787</v>
      </c>
      <c r="E3106">
        <v>0.23025585993674999</v>
      </c>
      <c r="F3106">
        <v>40</v>
      </c>
      <c r="H3106" t="s">
        <v>20</v>
      </c>
      <c r="I3106">
        <f t="shared" ref="I3106" si="922">STDEVP(D3089:D3108)</f>
        <v>0.17279938812036186</v>
      </c>
    </row>
    <row r="3107" spans="1:9" x14ac:dyDescent="0.25">
      <c r="A3107">
        <v>1671.7678043537001</v>
      </c>
      <c r="B3107">
        <v>1721.3458747648001</v>
      </c>
      <c r="C3107" s="1">
        <f t="shared" si="912"/>
        <v>2.9656074415350231E-2</v>
      </c>
      <c r="D3107">
        <v>16.041530054645001</v>
      </c>
      <c r="E3107">
        <v>0.23300667962291999</v>
      </c>
      <c r="F3107">
        <v>39</v>
      </c>
      <c r="H3107" t="s">
        <v>21</v>
      </c>
      <c r="I3107">
        <f t="shared" ref="I3107" si="923">STDEVP(E3089:E3108)</f>
        <v>2.8390197791848715E-3</v>
      </c>
    </row>
    <row r="3108" spans="1:9" x14ac:dyDescent="0.25">
      <c r="A3108">
        <v>1674.7825853265001</v>
      </c>
      <c r="B3108">
        <v>1726.1994087610999</v>
      </c>
      <c r="C3108" s="1">
        <f t="shared" si="912"/>
        <v>3.0700595937099617E-2</v>
      </c>
      <c r="D3108">
        <v>16.079781420764999</v>
      </c>
      <c r="E3108">
        <v>0.23309613153309999</v>
      </c>
      <c r="F3108">
        <v>42</v>
      </c>
      <c r="H3108" t="s">
        <v>22</v>
      </c>
      <c r="I3108">
        <f t="shared" ref="I3108" si="924">STDEVP(F3089:F3108)</f>
        <v>1.9235384061671346</v>
      </c>
    </row>
    <row r="3109" spans="1:9" x14ac:dyDescent="0.25">
      <c r="C3109" s="1" t="str">
        <f t="shared" si="912"/>
        <v/>
      </c>
    </row>
    <row r="3110" spans="1:9" x14ac:dyDescent="0.25">
      <c r="A3110">
        <v>775.30285196922</v>
      </c>
      <c r="B3110">
        <v>795.07650520595996</v>
      </c>
      <c r="C3110" s="1">
        <f t="shared" si="912"/>
        <v>2.5504424737399223E-2</v>
      </c>
      <c r="D3110">
        <v>10.050789293068</v>
      </c>
      <c r="E3110">
        <v>0.34651908425903999</v>
      </c>
      <c r="F3110">
        <v>14</v>
      </c>
    </row>
    <row r="3111" spans="1:9" x14ac:dyDescent="0.25">
      <c r="A3111">
        <v>777.49117247622996</v>
      </c>
      <c r="B3111">
        <v>796.45857854231997</v>
      </c>
      <c r="C3111" s="1">
        <f t="shared" si="912"/>
        <v>2.4395654558598823E-2</v>
      </c>
      <c r="D3111">
        <v>10.008693662777</v>
      </c>
      <c r="E3111">
        <v>0.34304684281877001</v>
      </c>
      <c r="F3111">
        <v>14</v>
      </c>
    </row>
    <row r="3112" spans="1:9" x14ac:dyDescent="0.25">
      <c r="A3112">
        <v>774.90267089180998</v>
      </c>
      <c r="B3112">
        <v>798.82299683113001</v>
      </c>
      <c r="C3112" s="1">
        <f t="shared" si="912"/>
        <v>3.0868813385029226E-2</v>
      </c>
      <c r="D3112">
        <v>10.021962937543</v>
      </c>
      <c r="E3112">
        <v>0.34552328945529998</v>
      </c>
      <c r="F3112">
        <v>14</v>
      </c>
    </row>
    <row r="3113" spans="1:9" x14ac:dyDescent="0.25">
      <c r="A3113">
        <v>769.01539157989998</v>
      </c>
      <c r="B3113">
        <v>792.75147125394994</v>
      </c>
      <c r="C3113" s="1">
        <f t="shared" si="912"/>
        <v>3.0865545649594095E-2</v>
      </c>
      <c r="D3113">
        <v>9.9986273164035993</v>
      </c>
      <c r="E3113">
        <v>0.34775404917667002</v>
      </c>
      <c r="F3113">
        <v>14</v>
      </c>
    </row>
    <row r="3114" spans="1:9" x14ac:dyDescent="0.25">
      <c r="A3114">
        <v>771.32095971028002</v>
      </c>
      <c r="B3114">
        <v>798.91308284290005</v>
      </c>
      <c r="C3114" s="1">
        <f t="shared" si="912"/>
        <v>3.5772557176436681E-2</v>
      </c>
      <c r="D3114">
        <v>10.030199039120999</v>
      </c>
      <c r="E3114">
        <v>0.34814630931950002</v>
      </c>
      <c r="F3114">
        <v>14</v>
      </c>
    </row>
    <row r="3115" spans="1:9" x14ac:dyDescent="0.25">
      <c r="A3115">
        <v>772.51969216839996</v>
      </c>
      <c r="B3115">
        <v>794.63286555001002</v>
      </c>
      <c r="C3115" s="1">
        <f t="shared" si="912"/>
        <v>2.8624737473733841E-2</v>
      </c>
      <c r="D3115">
        <v>10.021962937543</v>
      </c>
      <c r="E3115">
        <v>0.34678071452724002</v>
      </c>
      <c r="F3115">
        <v>14</v>
      </c>
    </row>
    <row r="3116" spans="1:9" x14ac:dyDescent="0.25">
      <c r="A3116">
        <v>765.02670891805997</v>
      </c>
      <c r="B3116">
        <v>787.14350384787997</v>
      </c>
      <c r="C3116" s="1">
        <f t="shared" si="912"/>
        <v>2.8909833698615106E-2</v>
      </c>
      <c r="D3116">
        <v>9.9400594829557996</v>
      </c>
      <c r="E3116">
        <v>0.34717992879909998</v>
      </c>
      <c r="F3116">
        <v>15</v>
      </c>
    </row>
    <row r="3117" spans="1:9" x14ac:dyDescent="0.25">
      <c r="A3117">
        <v>774.95427795383</v>
      </c>
      <c r="B3117">
        <v>799.39248528744997</v>
      </c>
      <c r="C3117" s="1">
        <f t="shared" si="912"/>
        <v>3.1535031199706465E-2</v>
      </c>
      <c r="D3117">
        <v>10.043925875086</v>
      </c>
      <c r="E3117">
        <v>0.34637060221213001</v>
      </c>
      <c r="F3117">
        <v>14</v>
      </c>
    </row>
    <row r="3118" spans="1:9" x14ac:dyDescent="0.25">
      <c r="A3118">
        <v>773.02761430511998</v>
      </c>
      <c r="B3118">
        <v>791.54142145766002</v>
      </c>
      <c r="C3118" s="1">
        <f t="shared" si="912"/>
        <v>2.3949735830824492E-2</v>
      </c>
      <c r="D3118">
        <v>9.9766643788607006</v>
      </c>
      <c r="E3118">
        <v>0.34408524041344002</v>
      </c>
      <c r="F3118">
        <v>14</v>
      </c>
    </row>
    <row r="3119" spans="1:9" x14ac:dyDescent="0.25">
      <c r="A3119">
        <v>767.65006790403004</v>
      </c>
      <c r="B3119">
        <v>796.60162969667999</v>
      </c>
      <c r="C3119" s="1">
        <f t="shared" si="912"/>
        <v>3.7714530361077747E-2</v>
      </c>
      <c r="D3119">
        <v>9.9812399908488008</v>
      </c>
      <c r="E3119">
        <v>0.34798567394738</v>
      </c>
      <c r="F3119">
        <v>14</v>
      </c>
    </row>
    <row r="3120" spans="1:9" x14ac:dyDescent="0.25">
      <c r="A3120">
        <v>770.95608872793002</v>
      </c>
      <c r="B3120">
        <v>795.99909461292998</v>
      </c>
      <c r="C3120" s="1">
        <f t="shared" si="912"/>
        <v>3.2483050917103018E-2</v>
      </c>
      <c r="D3120">
        <v>9.9665980324868002</v>
      </c>
      <c r="E3120">
        <v>0.34516791182804002</v>
      </c>
      <c r="F3120">
        <v>14</v>
      </c>
    </row>
    <row r="3121" spans="1:9" x14ac:dyDescent="0.25">
      <c r="A3121">
        <v>773.72883657763998</v>
      </c>
      <c r="B3121">
        <v>797.50475328202003</v>
      </c>
      <c r="C3121" s="1">
        <f t="shared" si="912"/>
        <v>3.0729004245913627E-2</v>
      </c>
      <c r="D3121">
        <v>10.047586364676</v>
      </c>
      <c r="E3121">
        <v>0.34703933068145998</v>
      </c>
      <c r="F3121">
        <v>14</v>
      </c>
    </row>
    <row r="3122" spans="1:9" x14ac:dyDescent="0.25">
      <c r="A3122">
        <v>764.39565414214997</v>
      </c>
      <c r="B3122">
        <v>787.67813490265996</v>
      </c>
      <c r="C3122" s="1">
        <f t="shared" si="912"/>
        <v>3.0458677563570014E-2</v>
      </c>
      <c r="D3122">
        <v>9.9963395104095003</v>
      </c>
      <c r="E3122">
        <v>0.35047671966663002</v>
      </c>
      <c r="F3122">
        <v>15</v>
      </c>
    </row>
    <row r="3123" spans="1:9" x14ac:dyDescent="0.25">
      <c r="A3123">
        <v>767.32322317790999</v>
      </c>
      <c r="B3123">
        <v>791.60027161610003</v>
      </c>
      <c r="C3123" s="1">
        <f t="shared" si="912"/>
        <v>3.1638620733574818E-2</v>
      </c>
      <c r="D3123">
        <v>10.014184397163</v>
      </c>
      <c r="E3123">
        <v>0.34956827897597997</v>
      </c>
      <c r="F3123">
        <v>14</v>
      </c>
    </row>
    <row r="3124" spans="1:9" x14ac:dyDescent="0.25">
      <c r="A3124">
        <v>773.65323675871002</v>
      </c>
      <c r="B3124">
        <v>794.04436396558003</v>
      </c>
      <c r="C3124" s="1">
        <f t="shared" si="912"/>
        <v>2.6356933879447597E-2</v>
      </c>
      <c r="D3124">
        <v>10.001830244795</v>
      </c>
      <c r="E3124">
        <v>0.34496794304755002</v>
      </c>
      <c r="F3124">
        <v>14</v>
      </c>
      <c r="H3124" t="s">
        <v>17</v>
      </c>
      <c r="I3124">
        <f t="shared" ref="I3124" si="925">STDEVP(A3110:A3129)</f>
        <v>4.4882457240920806</v>
      </c>
    </row>
    <row r="3125" spans="1:9" x14ac:dyDescent="0.25">
      <c r="A3125">
        <v>776.36441828882005</v>
      </c>
      <c r="B3125">
        <v>797.21276595743996</v>
      </c>
      <c r="C3125" s="1">
        <f t="shared" si="912"/>
        <v>2.6853816555080678E-2</v>
      </c>
      <c r="D3125">
        <v>9.9592770533059003</v>
      </c>
      <c r="E3125">
        <v>0.34167810392960002</v>
      </c>
      <c r="F3125">
        <v>14</v>
      </c>
      <c r="H3125" t="s">
        <v>18</v>
      </c>
      <c r="I3125">
        <f t="shared" ref="I3125" si="926">STDEVP(B3110:B3129)</f>
        <v>4.1847717066566696</v>
      </c>
    </row>
    <row r="3126" spans="1:9" x14ac:dyDescent="0.25">
      <c r="A3126">
        <v>779.27976459936997</v>
      </c>
      <c r="B3126">
        <v>803.24717066544997</v>
      </c>
      <c r="C3126" s="1">
        <f t="shared" si="912"/>
        <v>3.075584296533318E-2</v>
      </c>
      <c r="D3126">
        <v>9.9560741249142009</v>
      </c>
      <c r="E3126">
        <v>0.33984568574307999</v>
      </c>
      <c r="F3126">
        <v>14</v>
      </c>
      <c r="H3126" t="s">
        <v>19</v>
      </c>
      <c r="I3126">
        <f t="shared" ref="I3126" si="927">STDEVP(C3110:C3129)</f>
        <v>3.7446445210371142E-3</v>
      </c>
    </row>
    <row r="3127" spans="1:9" x14ac:dyDescent="0.25">
      <c r="A3127">
        <v>766.70982344951994</v>
      </c>
      <c r="B3127">
        <v>795.23494794022997</v>
      </c>
      <c r="C3127" s="1">
        <f t="shared" si="912"/>
        <v>3.7204589817790623E-2</v>
      </c>
      <c r="D3127">
        <v>10.010066346374</v>
      </c>
      <c r="E3127">
        <v>0.34961049172740999</v>
      </c>
      <c r="F3127">
        <v>14</v>
      </c>
      <c r="H3127" t="s">
        <v>20</v>
      </c>
      <c r="I3127">
        <f t="shared" ref="I3127" si="928">STDEVP(D3110:D3129)</f>
        <v>3.3000473401904117E-2</v>
      </c>
    </row>
    <row r="3128" spans="1:9" x14ac:dyDescent="0.25">
      <c r="A3128">
        <v>766.03485740153997</v>
      </c>
      <c r="B3128">
        <v>788.24852874603005</v>
      </c>
      <c r="C3128" s="1">
        <f t="shared" si="912"/>
        <v>2.8998251358744787E-2</v>
      </c>
      <c r="D3128">
        <v>9.9469229009380005</v>
      </c>
      <c r="E3128">
        <v>0.34684013429616001</v>
      </c>
      <c r="F3128">
        <v>15</v>
      </c>
      <c r="H3128" t="s">
        <v>21</v>
      </c>
      <c r="I3128">
        <f t="shared" ref="I3128" si="929">STDEVP(E3110:E3129)</f>
        <v>2.8102858165605549E-3</v>
      </c>
    </row>
    <row r="3129" spans="1:9" x14ac:dyDescent="0.25">
      <c r="A3129">
        <v>778.66681756450998</v>
      </c>
      <c r="B3129">
        <v>800.07786328654004</v>
      </c>
      <c r="C3129" s="1">
        <f t="shared" si="912"/>
        <v>2.7497056814362431E-2</v>
      </c>
      <c r="D3129">
        <v>9.9702585220772999</v>
      </c>
      <c r="E3129">
        <v>0.34095938730913</v>
      </c>
      <c r="F3129">
        <v>14</v>
      </c>
      <c r="H3129" t="s">
        <v>22</v>
      </c>
      <c r="I3129">
        <f t="shared" ref="I3129" si="930">STDEVP(F3110:F3129)</f>
        <v>0.35707142142714249</v>
      </c>
    </row>
    <row r="3130" spans="1:9" x14ac:dyDescent="0.25">
      <c r="C3130" s="1" t="str">
        <f t="shared" si="912"/>
        <v/>
      </c>
    </row>
    <row r="3131" spans="1:9" x14ac:dyDescent="0.25">
      <c r="A3131">
        <v>3412.8571428570999</v>
      </c>
      <c r="B3131">
        <v>3484.7857142857001</v>
      </c>
      <c r="C3131" s="1">
        <f t="shared" si="912"/>
        <v>2.1075763917965951E-2</v>
      </c>
      <c r="D3131">
        <v>20.518518518518999</v>
      </c>
      <c r="E3131">
        <v>0.13133236310196</v>
      </c>
      <c r="F3131">
        <v>30</v>
      </c>
    </row>
    <row r="3132" spans="1:9" x14ac:dyDescent="0.25">
      <c r="A3132">
        <v>3402.8265306121998</v>
      </c>
      <c r="B3132">
        <v>3501.7040816326999</v>
      </c>
      <c r="C3132" s="1">
        <f t="shared" si="912"/>
        <v>2.9057476227773327E-2</v>
      </c>
      <c r="D3132">
        <v>20.328042328041999</v>
      </c>
      <c r="E3132">
        <v>0.13028483956513001</v>
      </c>
      <c r="F3132">
        <v>30</v>
      </c>
    </row>
    <row r="3133" spans="1:9" x14ac:dyDescent="0.25">
      <c r="A3133">
        <v>3395.4183673469001</v>
      </c>
      <c r="B3133">
        <v>3502.3673469388</v>
      </c>
      <c r="C3133" s="1">
        <f t="shared" si="912"/>
        <v>3.1498027053280975E-2</v>
      </c>
      <c r="D3133">
        <v>20.269841269840999</v>
      </c>
      <c r="E3133">
        <v>0.13018969894188001</v>
      </c>
      <c r="F3133">
        <v>29</v>
      </c>
    </row>
    <row r="3134" spans="1:9" x14ac:dyDescent="0.25">
      <c r="A3134">
        <v>3396.1326530612</v>
      </c>
      <c r="B3134">
        <v>3486.8367346938999</v>
      </c>
      <c r="C3134" s="1">
        <f t="shared" si="912"/>
        <v>2.6708050273283934E-2</v>
      </c>
      <c r="D3134">
        <v>20.195767195767001</v>
      </c>
      <c r="E3134">
        <v>0.12963274243028999</v>
      </c>
      <c r="F3134">
        <v>30</v>
      </c>
    </row>
    <row r="3135" spans="1:9" x14ac:dyDescent="0.25">
      <c r="A3135">
        <v>3363.8571428570999</v>
      </c>
      <c r="B3135">
        <v>3493.6734693878002</v>
      </c>
      <c r="C3135" s="1">
        <f t="shared" si="912"/>
        <v>3.8591509989166939E-2</v>
      </c>
      <c r="D3135">
        <v>19.962962962963001</v>
      </c>
      <c r="E3135">
        <v>0.12933541874949001</v>
      </c>
      <c r="F3135">
        <v>31</v>
      </c>
    </row>
    <row r="3136" spans="1:9" x14ac:dyDescent="0.25">
      <c r="A3136">
        <v>3417.5306122449001</v>
      </c>
      <c r="B3136">
        <v>3526.5</v>
      </c>
      <c r="C3136" s="1">
        <f t="shared" si="912"/>
        <v>3.1885416728870242E-2</v>
      </c>
      <c r="D3136">
        <v>20.634920634920999</v>
      </c>
      <c r="E3136">
        <v>0.1319763179707</v>
      </c>
      <c r="F3136">
        <v>30</v>
      </c>
    </row>
    <row r="3137" spans="1:9" x14ac:dyDescent="0.25">
      <c r="A3137">
        <v>3363.3367346938999</v>
      </c>
      <c r="B3137">
        <v>3491.8673469388</v>
      </c>
      <c r="C3137" s="1">
        <f t="shared" si="912"/>
        <v>3.8215207808087071E-2</v>
      </c>
      <c r="D3137">
        <v>20.169312169312001</v>
      </c>
      <c r="E3137">
        <v>0.13084935267042</v>
      </c>
      <c r="F3137">
        <v>30</v>
      </c>
    </row>
    <row r="3138" spans="1:9" x14ac:dyDescent="0.25">
      <c r="A3138">
        <v>3381.3673469388</v>
      </c>
      <c r="B3138">
        <v>3508.6326530613001</v>
      </c>
      <c r="C3138" s="1">
        <f t="shared" ref="C3138:C3201" si="931">IFERROR((B3138/A3138)-1,"")</f>
        <v>3.7637231647639657E-2</v>
      </c>
      <c r="D3138">
        <v>20.285714285714</v>
      </c>
      <c r="E3138">
        <v>0.13091599110068</v>
      </c>
      <c r="F3138">
        <v>30</v>
      </c>
    </row>
    <row r="3139" spans="1:9" x14ac:dyDescent="0.25">
      <c r="A3139">
        <v>3406.4591836734999</v>
      </c>
      <c r="B3139">
        <v>3538.8979591837001</v>
      </c>
      <c r="C3139" s="1">
        <f t="shared" si="931"/>
        <v>3.887872079752297E-2</v>
      </c>
      <c r="D3139">
        <v>20.634920634920999</v>
      </c>
      <c r="E3139">
        <v>0.13242687225154001</v>
      </c>
      <c r="F3139">
        <v>29</v>
      </c>
    </row>
    <row r="3140" spans="1:9" x14ac:dyDescent="0.25">
      <c r="A3140">
        <v>3419.7448979592</v>
      </c>
      <c r="B3140">
        <v>3513.9693877550999</v>
      </c>
      <c r="C3140" s="1">
        <f t="shared" si="931"/>
        <v>2.7553075626234547E-2</v>
      </c>
      <c r="D3140">
        <v>20.005291005290999</v>
      </c>
      <c r="E3140">
        <v>0.12728755211136999</v>
      </c>
      <c r="F3140">
        <v>31</v>
      </c>
    </row>
    <row r="3141" spans="1:9" x14ac:dyDescent="0.25">
      <c r="A3141">
        <v>3388.8571428570999</v>
      </c>
      <c r="B3141">
        <v>3504.2244897958999</v>
      </c>
      <c r="C3141" s="1">
        <f t="shared" si="931"/>
        <v>3.4043142592176556E-2</v>
      </c>
      <c r="D3141">
        <v>20.444444444443999</v>
      </c>
      <c r="E3141">
        <v>0.13176432733615001</v>
      </c>
      <c r="F3141">
        <v>30</v>
      </c>
    </row>
    <row r="3142" spans="1:9" x14ac:dyDescent="0.25">
      <c r="A3142">
        <v>3407.1326530612</v>
      </c>
      <c r="B3142">
        <v>3494.8163265305998</v>
      </c>
      <c r="C3142" s="1">
        <f t="shared" si="931"/>
        <v>2.57353271498304E-2</v>
      </c>
      <c r="D3142">
        <v>20.566137566138</v>
      </c>
      <c r="E3142">
        <v>0.13182708332158999</v>
      </c>
      <c r="F3142">
        <v>30</v>
      </c>
    </row>
    <row r="3143" spans="1:9" x14ac:dyDescent="0.25">
      <c r="A3143">
        <v>3419.0714285713998</v>
      </c>
      <c r="B3143">
        <v>3517.7857142857001</v>
      </c>
      <c r="C3143" s="1">
        <f t="shared" si="931"/>
        <v>2.887166523910456E-2</v>
      </c>
      <c r="D3143">
        <v>20.259259259259</v>
      </c>
      <c r="E3143">
        <v>0.12916569088263999</v>
      </c>
      <c r="F3143">
        <v>31</v>
      </c>
    </row>
    <row r="3144" spans="1:9" x14ac:dyDescent="0.25">
      <c r="A3144">
        <v>3415.5408163265001</v>
      </c>
      <c r="B3144">
        <v>3525.2551020408</v>
      </c>
      <c r="C3144" s="1">
        <f t="shared" si="931"/>
        <v>3.2122083035827975E-2</v>
      </c>
      <c r="D3144">
        <v>20.328042328041999</v>
      </c>
      <c r="E3144">
        <v>0.12988395304580999</v>
      </c>
      <c r="F3144">
        <v>30</v>
      </c>
    </row>
    <row r="3145" spans="1:9" x14ac:dyDescent="0.25">
      <c r="A3145">
        <v>3404.9285714286002</v>
      </c>
      <c r="B3145">
        <v>3539.1836734694002</v>
      </c>
      <c r="C3145" s="1">
        <f t="shared" si="931"/>
        <v>3.9429638309408377E-2</v>
      </c>
      <c r="D3145">
        <v>20.555555555556001</v>
      </c>
      <c r="E3145">
        <v>0.13200237949320001</v>
      </c>
      <c r="F3145">
        <v>30</v>
      </c>
      <c r="H3145" t="s">
        <v>17</v>
      </c>
      <c r="I3145">
        <f t="shared" ref="I3145" si="932">STDEVP(A3131:A3150)</f>
        <v>17.341133032056597</v>
      </c>
    </row>
    <row r="3146" spans="1:9" x14ac:dyDescent="0.25">
      <c r="A3146">
        <v>3377.6020408162999</v>
      </c>
      <c r="B3146">
        <v>3502.9489795918998</v>
      </c>
      <c r="C3146" s="1">
        <f t="shared" si="931"/>
        <v>3.7111221884892576E-2</v>
      </c>
      <c r="D3146">
        <v>20.26455026455</v>
      </c>
      <c r="E3146">
        <v>0.13099456408004001</v>
      </c>
      <c r="F3146">
        <v>29</v>
      </c>
      <c r="H3146" t="s">
        <v>18</v>
      </c>
      <c r="I3146">
        <f t="shared" ref="I3146" si="933">STDEVP(B3131:B3150)</f>
        <v>17.010374067186042</v>
      </c>
    </row>
    <row r="3147" spans="1:9" x14ac:dyDescent="0.25">
      <c r="A3147">
        <v>3423.5</v>
      </c>
      <c r="B3147">
        <v>3529.7551020408</v>
      </c>
      <c r="C3147" s="1">
        <f t="shared" si="931"/>
        <v>3.103698029525348E-2</v>
      </c>
      <c r="D3147">
        <v>20.148148148148</v>
      </c>
      <c r="E3147">
        <v>0.12817402454252</v>
      </c>
      <c r="F3147">
        <v>30</v>
      </c>
      <c r="H3147" t="s">
        <v>19</v>
      </c>
      <c r="I3147">
        <f t="shared" ref="I3147" si="934">STDEVP(C3131:C3150)</f>
        <v>5.6235701091332004E-3</v>
      </c>
    </row>
    <row r="3148" spans="1:9" x14ac:dyDescent="0.25">
      <c r="A3148">
        <v>3413.6020408162999</v>
      </c>
      <c r="B3148">
        <v>3484.612244898</v>
      </c>
      <c r="C3148" s="1">
        <f t="shared" si="931"/>
        <v>2.0802133122910682E-2</v>
      </c>
      <c r="D3148">
        <v>20.190476190476002</v>
      </c>
      <c r="E3148">
        <v>0.12887109450699999</v>
      </c>
      <c r="F3148">
        <v>30</v>
      </c>
      <c r="H3148" t="s">
        <v>20</v>
      </c>
      <c r="I3148">
        <f t="shared" ref="I3148" si="935">STDEVP(D3131:D3150)</f>
        <v>0.21426350397686478</v>
      </c>
    </row>
    <row r="3149" spans="1:9" x14ac:dyDescent="0.25">
      <c r="A3149">
        <v>3395.1428571429001</v>
      </c>
      <c r="B3149">
        <v>3518.5612244898002</v>
      </c>
      <c r="C3149" s="1">
        <f t="shared" si="931"/>
        <v>3.6351450451413303E-2</v>
      </c>
      <c r="D3149">
        <v>20.518518518518999</v>
      </c>
      <c r="E3149">
        <v>0.13199900258534</v>
      </c>
      <c r="F3149">
        <v>30</v>
      </c>
      <c r="H3149" t="s">
        <v>21</v>
      </c>
      <c r="I3149">
        <f t="shared" ref="I3149" si="936">STDEVP(E3131:E3150)</f>
        <v>1.5436657254249446E-3</v>
      </c>
    </row>
    <row r="3150" spans="1:9" x14ac:dyDescent="0.25">
      <c r="A3150">
        <v>3401.9285714286002</v>
      </c>
      <c r="B3150">
        <v>3524.3163265305998</v>
      </c>
      <c r="C3150" s="1">
        <f t="shared" si="931"/>
        <v>3.5975992009322111E-2</v>
      </c>
      <c r="D3150">
        <v>20.777777777777999</v>
      </c>
      <c r="E3150">
        <v>0.13369619615708001</v>
      </c>
      <c r="F3150">
        <v>30</v>
      </c>
      <c r="H3150" t="s">
        <v>22</v>
      </c>
      <c r="I3150">
        <f t="shared" ref="I3150" si="937">STDEVP(F3131:F3150)</f>
        <v>0.54772255750516607</v>
      </c>
    </row>
    <row r="3151" spans="1:9" x14ac:dyDescent="0.25">
      <c r="C3151" s="1" t="str">
        <f t="shared" si="931"/>
        <v/>
      </c>
    </row>
    <row r="3152" spans="1:9" x14ac:dyDescent="0.25">
      <c r="A3152">
        <v>572</v>
      </c>
      <c r="B3152">
        <v>597.75537190083003</v>
      </c>
      <c r="C3152" s="1">
        <f t="shared" si="931"/>
        <v>4.5026873952500157E-2</v>
      </c>
      <c r="D3152">
        <v>10.074074074074</v>
      </c>
      <c r="E3152">
        <v>0.53100066086060005</v>
      </c>
      <c r="F3152">
        <v>12</v>
      </c>
    </row>
    <row r="3153" spans="1:9" x14ac:dyDescent="0.25">
      <c r="A3153">
        <v>575.95041322314</v>
      </c>
      <c r="B3153">
        <v>600.11239669422002</v>
      </c>
      <c r="C3153" s="1">
        <f t="shared" si="931"/>
        <v>4.1951499497785649E-2</v>
      </c>
      <c r="D3153">
        <v>10.065993265993001</v>
      </c>
      <c r="E3153">
        <v>0.52498327733574002</v>
      </c>
      <c r="F3153">
        <v>12</v>
      </c>
    </row>
    <row r="3154" spans="1:9" x14ac:dyDescent="0.25">
      <c r="A3154">
        <v>568.99834710744005</v>
      </c>
      <c r="B3154">
        <v>595.58016528925998</v>
      </c>
      <c r="C3154" s="1">
        <f t="shared" si="931"/>
        <v>4.6716863619993276E-2</v>
      </c>
      <c r="D3154">
        <v>9.7952861952862005</v>
      </c>
      <c r="E3154">
        <v>0.5127366415465</v>
      </c>
      <c r="F3154">
        <v>12</v>
      </c>
    </row>
    <row r="3155" spans="1:9" x14ac:dyDescent="0.25">
      <c r="A3155">
        <v>573.38181818181999</v>
      </c>
      <c r="B3155">
        <v>597.14710743802004</v>
      </c>
      <c r="C3155" s="1">
        <f t="shared" si="931"/>
        <v>4.1447580831145414E-2</v>
      </c>
      <c r="D3155">
        <v>9.9259259259259007</v>
      </c>
      <c r="E3155">
        <v>0.51755885118633005</v>
      </c>
      <c r="F3155">
        <v>12</v>
      </c>
    </row>
    <row r="3156" spans="1:9" x14ac:dyDescent="0.25">
      <c r="A3156">
        <v>565.63636363635999</v>
      </c>
      <c r="B3156">
        <v>588.47603305785003</v>
      </c>
      <c r="C3156" s="1">
        <f t="shared" si="931"/>
        <v>4.0378714824235384E-2</v>
      </c>
      <c r="D3156">
        <v>9.7333333333333005</v>
      </c>
      <c r="E3156">
        <v>0.51176782991730996</v>
      </c>
      <c r="F3156">
        <v>12</v>
      </c>
    </row>
    <row r="3157" spans="1:9" x14ac:dyDescent="0.25">
      <c r="A3157">
        <v>567.52066115701996</v>
      </c>
      <c r="B3157">
        <v>592.19834710743999</v>
      </c>
      <c r="C3157" s="1">
        <f t="shared" si="931"/>
        <v>4.3483326052145665E-2</v>
      </c>
      <c r="D3157">
        <v>9.9515151515150997</v>
      </c>
      <c r="E3157">
        <v>0.52801754733904005</v>
      </c>
      <c r="F3157">
        <v>12</v>
      </c>
    </row>
    <row r="3158" spans="1:9" x14ac:dyDescent="0.25">
      <c r="A3158">
        <v>575.91074380165003</v>
      </c>
      <c r="B3158">
        <v>599.22644628098999</v>
      </c>
      <c r="C3158" s="1">
        <f t="shared" si="931"/>
        <v>4.0484923627974734E-2</v>
      </c>
      <c r="D3158">
        <v>10.041750841751</v>
      </c>
      <c r="E3158">
        <v>0.52332474250164995</v>
      </c>
      <c r="F3158">
        <v>12</v>
      </c>
    </row>
    <row r="3159" spans="1:9" x14ac:dyDescent="0.25">
      <c r="A3159">
        <v>575.07438016528999</v>
      </c>
      <c r="B3159">
        <v>592.48264462810005</v>
      </c>
      <c r="C3159" s="1">
        <f t="shared" si="931"/>
        <v>3.0271326741780014E-2</v>
      </c>
      <c r="D3159">
        <v>10.056565656566001</v>
      </c>
      <c r="E3159">
        <v>0.52524893671781003</v>
      </c>
      <c r="F3159">
        <v>12</v>
      </c>
    </row>
    <row r="3160" spans="1:9" x14ac:dyDescent="0.25">
      <c r="A3160">
        <v>579.33884297521001</v>
      </c>
      <c r="B3160">
        <v>595.90082644628001</v>
      </c>
      <c r="C3160" s="1">
        <f t="shared" si="931"/>
        <v>2.8587731811689832E-2</v>
      </c>
      <c r="D3160">
        <v>10.040404040404001</v>
      </c>
      <c r="E3160">
        <v>0.51817229341194004</v>
      </c>
      <c r="F3160">
        <v>12</v>
      </c>
    </row>
    <row r="3161" spans="1:9" x14ac:dyDescent="0.25">
      <c r="A3161">
        <v>567.91404958678004</v>
      </c>
      <c r="B3161">
        <v>596.81652892561999</v>
      </c>
      <c r="C3161" s="1">
        <f t="shared" si="931"/>
        <v>5.0892347811908767E-2</v>
      </c>
      <c r="D3161">
        <v>9.7845117845117997</v>
      </c>
      <c r="E3161">
        <v>0.51418939086114002</v>
      </c>
      <c r="F3161">
        <v>13</v>
      </c>
    </row>
    <row r="3162" spans="1:9" x14ac:dyDescent="0.25">
      <c r="A3162">
        <v>568.94214876033004</v>
      </c>
      <c r="B3162">
        <v>593.21322314049996</v>
      </c>
      <c r="C3162" s="1">
        <f t="shared" si="931"/>
        <v>4.2660004067292645E-2</v>
      </c>
      <c r="D3162">
        <v>9.8868686868687004</v>
      </c>
      <c r="E3162">
        <v>0.52121351845232999</v>
      </c>
      <c r="F3162">
        <v>12</v>
      </c>
    </row>
    <row r="3163" spans="1:9" x14ac:dyDescent="0.25">
      <c r="A3163">
        <v>576.07272727273005</v>
      </c>
      <c r="B3163">
        <v>594.55867768594999</v>
      </c>
      <c r="C3163" s="1">
        <f t="shared" si="931"/>
        <v>3.2089612193128669E-2</v>
      </c>
      <c r="D3163">
        <v>10.02962962963</v>
      </c>
      <c r="E3163">
        <v>0.52113447094301002</v>
      </c>
      <c r="F3163">
        <v>12</v>
      </c>
    </row>
    <row r="3164" spans="1:9" x14ac:dyDescent="0.25">
      <c r="A3164">
        <v>571.94710743802</v>
      </c>
      <c r="B3164">
        <v>595.09090909091003</v>
      </c>
      <c r="C3164" s="1">
        <f t="shared" si="931"/>
        <v>4.046493347358715E-2</v>
      </c>
      <c r="D3164">
        <v>10.101010101010001</v>
      </c>
      <c r="E3164">
        <v>0.53332627822467005</v>
      </c>
      <c r="F3164">
        <v>12</v>
      </c>
    </row>
    <row r="3165" spans="1:9" x14ac:dyDescent="0.25">
      <c r="A3165">
        <v>576.12231404959005</v>
      </c>
      <c r="B3165">
        <v>594.33057851240005</v>
      </c>
      <c r="C3165" s="1">
        <f t="shared" si="931"/>
        <v>3.1604858931471247E-2</v>
      </c>
      <c r="D3165">
        <v>9.9784511784512002</v>
      </c>
      <c r="E3165">
        <v>0.51773141287233004</v>
      </c>
      <c r="F3165">
        <v>12</v>
      </c>
    </row>
    <row r="3166" spans="1:9" x14ac:dyDescent="0.25">
      <c r="A3166">
        <v>572.26115702479001</v>
      </c>
      <c r="B3166">
        <v>593.55702479339004</v>
      </c>
      <c r="C3166" s="1">
        <f t="shared" si="931"/>
        <v>3.721354753364392E-2</v>
      </c>
      <c r="D3166">
        <v>9.8410774410774007</v>
      </c>
      <c r="E3166">
        <v>0.51330350295121996</v>
      </c>
      <c r="F3166">
        <v>12</v>
      </c>
      <c r="H3166" t="s">
        <v>17</v>
      </c>
      <c r="I3166">
        <f t="shared" ref="I3166" si="938">STDEVP(A3152:A3171)</f>
        <v>3.7014296438512093</v>
      </c>
    </row>
    <row r="3167" spans="1:9" x14ac:dyDescent="0.25">
      <c r="A3167">
        <v>570.83305785124003</v>
      </c>
      <c r="B3167">
        <v>594.55867768594999</v>
      </c>
      <c r="C3167" s="1">
        <f t="shared" si="931"/>
        <v>4.1563149695673207E-2</v>
      </c>
      <c r="D3167">
        <v>10.005387205387001</v>
      </c>
      <c r="E3167">
        <v>0.52814050824784997</v>
      </c>
      <c r="F3167">
        <v>12</v>
      </c>
      <c r="H3167" t="s">
        <v>18</v>
      </c>
      <c r="I3167">
        <f t="shared" ref="I3167" si="939">STDEVP(B3152:B3171)</f>
        <v>2.916795109267921</v>
      </c>
    </row>
    <row r="3168" spans="1:9" x14ac:dyDescent="0.25">
      <c r="A3168">
        <v>573.25289256198005</v>
      </c>
      <c r="B3168">
        <v>598.44958677685997</v>
      </c>
      <c r="C3168" s="1">
        <f t="shared" si="931"/>
        <v>4.3953889359844123E-2</v>
      </c>
      <c r="D3168">
        <v>10.002693602694</v>
      </c>
      <c r="E3168">
        <v>0.52388086089343999</v>
      </c>
      <c r="F3168">
        <v>12</v>
      </c>
      <c r="H3168" t="s">
        <v>19</v>
      </c>
      <c r="I3168">
        <f t="shared" ref="I3168" si="940">STDEVP(C3152:C3171)</f>
        <v>5.7576581549023051E-3</v>
      </c>
    </row>
    <row r="3169" spans="1:9" x14ac:dyDescent="0.25">
      <c r="A3169">
        <v>569.23636363636001</v>
      </c>
      <c r="B3169">
        <v>595.57355371900996</v>
      </c>
      <c r="C3169" s="1">
        <f t="shared" si="931"/>
        <v>4.6267581913432831E-2</v>
      </c>
      <c r="D3169">
        <v>9.8222222222221998</v>
      </c>
      <c r="E3169">
        <v>0.51527070908313999</v>
      </c>
      <c r="F3169">
        <v>13</v>
      </c>
      <c r="H3169" t="s">
        <v>20</v>
      </c>
      <c r="I3169">
        <f t="shared" ref="I3169" si="941">STDEVP(D3152:D3171)</f>
        <v>0.11383730332494639</v>
      </c>
    </row>
    <row r="3170" spans="1:9" x14ac:dyDescent="0.25">
      <c r="A3170">
        <v>574.76363636363999</v>
      </c>
      <c r="B3170">
        <v>599.99669421487999</v>
      </c>
      <c r="C3170" s="1">
        <f t="shared" si="931"/>
        <v>4.3901625389668242E-2</v>
      </c>
      <c r="D3170">
        <v>9.9851851851852</v>
      </c>
      <c r="E3170">
        <v>0.51981449518697997</v>
      </c>
      <c r="F3170">
        <v>12</v>
      </c>
      <c r="H3170" t="s">
        <v>21</v>
      </c>
      <c r="I3170">
        <f t="shared" ref="I3170" si="942">STDEVP(E3152:E3171)</f>
        <v>6.1857198726184793E-3</v>
      </c>
    </row>
    <row r="3171" spans="1:9" x14ac:dyDescent="0.25">
      <c r="A3171">
        <v>566.47272727273003</v>
      </c>
      <c r="B3171">
        <v>591.59008264463</v>
      </c>
      <c r="C3171" s="1">
        <f t="shared" si="931"/>
        <v>4.433991993370423E-2</v>
      </c>
      <c r="D3171">
        <v>9.7629629629629999</v>
      </c>
      <c r="E3171">
        <v>0.51447203237438</v>
      </c>
      <c r="F3171">
        <v>12</v>
      </c>
      <c r="H3171" t="s">
        <v>22</v>
      </c>
      <c r="I3171">
        <f t="shared" ref="I3171" si="943">STDEVP(F3152:F3171)</f>
        <v>0.3</v>
      </c>
    </row>
    <row r="3172" spans="1:9" x14ac:dyDescent="0.25">
      <c r="C3172" s="1" t="str">
        <f t="shared" si="931"/>
        <v/>
      </c>
    </row>
    <row r="3173" spans="1:9" x14ac:dyDescent="0.25">
      <c r="A3173">
        <v>1163.0506666667</v>
      </c>
      <c r="B3173">
        <v>1194.144</v>
      </c>
      <c r="C3173" s="1">
        <f t="shared" si="931"/>
        <v>2.6734289592398763E-2</v>
      </c>
      <c r="D3173">
        <v>15.641081081080999</v>
      </c>
      <c r="E3173">
        <v>0.36214768708688999</v>
      </c>
      <c r="F3173">
        <v>37</v>
      </c>
    </row>
    <row r="3174" spans="1:9" x14ac:dyDescent="0.25">
      <c r="A3174">
        <v>1157.248</v>
      </c>
      <c r="B3174">
        <v>1193.8204444444</v>
      </c>
      <c r="C3174" s="1">
        <f t="shared" si="931"/>
        <v>3.1602944610316763E-2</v>
      </c>
      <c r="D3174">
        <v>15.692972972972999</v>
      </c>
      <c r="E3174">
        <v>0.36618404939688998</v>
      </c>
      <c r="F3174">
        <v>38</v>
      </c>
    </row>
    <row r="3175" spans="1:9" x14ac:dyDescent="0.25">
      <c r="A3175">
        <v>1163.9324444444001</v>
      </c>
      <c r="B3175">
        <v>1200.2382222222</v>
      </c>
      <c r="C3175" s="1">
        <f t="shared" si="931"/>
        <v>3.1192341059905981E-2</v>
      </c>
      <c r="D3175">
        <v>15.793873873874</v>
      </c>
      <c r="E3175">
        <v>0.36644097565674</v>
      </c>
      <c r="F3175">
        <v>38</v>
      </c>
    </row>
    <row r="3176" spans="1:9" x14ac:dyDescent="0.25">
      <c r="A3176">
        <v>1154.2204444444001</v>
      </c>
      <c r="B3176">
        <v>1188.1795555555</v>
      </c>
      <c r="C3176" s="1">
        <f t="shared" si="931"/>
        <v>2.9421685670666387E-2</v>
      </c>
      <c r="D3176">
        <v>15.562522522523</v>
      </c>
      <c r="E3176">
        <v>0.36319959770991</v>
      </c>
      <c r="F3176">
        <v>39</v>
      </c>
    </row>
    <row r="3177" spans="1:9" x14ac:dyDescent="0.25">
      <c r="A3177">
        <v>1166.7555555556</v>
      </c>
      <c r="B3177">
        <v>1194.6382222222001</v>
      </c>
      <c r="C3177" s="1">
        <f t="shared" si="931"/>
        <v>2.3897607801252274E-2</v>
      </c>
      <c r="D3177">
        <v>15.834234234234</v>
      </c>
      <c r="E3177">
        <v>0.36685111662365</v>
      </c>
      <c r="F3177">
        <v>38</v>
      </c>
    </row>
    <row r="3178" spans="1:9" x14ac:dyDescent="0.25">
      <c r="A3178">
        <v>1170.0213333332999</v>
      </c>
      <c r="B3178">
        <v>1202.3911111110999</v>
      </c>
      <c r="C3178" s="1">
        <f t="shared" si="931"/>
        <v>2.7665972282386431E-2</v>
      </c>
      <c r="D3178">
        <v>15.606486486486</v>
      </c>
      <c r="E3178">
        <v>0.35835173069921999</v>
      </c>
      <c r="F3178">
        <v>39</v>
      </c>
    </row>
    <row r="3179" spans="1:9" x14ac:dyDescent="0.25">
      <c r="A3179">
        <v>1168.2791111111001</v>
      </c>
      <c r="B3179">
        <v>1194.4604444444001</v>
      </c>
      <c r="C3179" s="1">
        <f t="shared" si="931"/>
        <v>2.2410169868054997E-2</v>
      </c>
      <c r="D3179">
        <v>15.610090090090001</v>
      </c>
      <c r="E3179">
        <v>0.35890287845927998</v>
      </c>
      <c r="F3179">
        <v>38</v>
      </c>
    </row>
    <row r="3180" spans="1:9" x14ac:dyDescent="0.25">
      <c r="A3180">
        <v>1171.4631111111</v>
      </c>
      <c r="B3180">
        <v>1204.0106666667</v>
      </c>
      <c r="C3180" s="1">
        <f t="shared" si="931"/>
        <v>2.7783679440601006E-2</v>
      </c>
      <c r="D3180">
        <v>15.716036036036</v>
      </c>
      <c r="E3180">
        <v>0.36131814476903001</v>
      </c>
      <c r="F3180">
        <v>39</v>
      </c>
    </row>
    <row r="3181" spans="1:9" x14ac:dyDescent="0.25">
      <c r="A3181">
        <v>1174.3804444443999</v>
      </c>
      <c r="B3181">
        <v>1212.6862222222001</v>
      </c>
      <c r="C3181" s="1">
        <f t="shared" si="931"/>
        <v>3.2617860727340853E-2</v>
      </c>
      <c r="D3181">
        <v>15.973333333333001</v>
      </c>
      <c r="E3181">
        <v>0.36797537779713002</v>
      </c>
      <c r="F3181">
        <v>43</v>
      </c>
    </row>
    <row r="3182" spans="1:9" x14ac:dyDescent="0.25">
      <c r="A3182">
        <v>1172.6186666666999</v>
      </c>
      <c r="B3182">
        <v>1203.5822222222</v>
      </c>
      <c r="C3182" s="1">
        <f t="shared" si="931"/>
        <v>2.6405477275504685E-2</v>
      </c>
      <c r="D3182">
        <v>15.95027027027</v>
      </c>
      <c r="E3182">
        <v>0.36805742394203</v>
      </c>
      <c r="F3182">
        <v>39</v>
      </c>
    </row>
    <row r="3183" spans="1:9" x14ac:dyDescent="0.25">
      <c r="A3183">
        <v>1171.5964444444</v>
      </c>
      <c r="B3183">
        <v>1206.0711111111</v>
      </c>
      <c r="C3183" s="1">
        <f t="shared" si="931"/>
        <v>2.9425376656079472E-2</v>
      </c>
      <c r="D3183">
        <v>15.899819819819999</v>
      </c>
      <c r="E3183">
        <v>0.36703590698631</v>
      </c>
      <c r="F3183">
        <v>39</v>
      </c>
    </row>
    <row r="3184" spans="1:9" x14ac:dyDescent="0.25">
      <c r="A3184">
        <v>1161.3706666666999</v>
      </c>
      <c r="B3184">
        <v>1193.8577777778</v>
      </c>
      <c r="C3184" s="1">
        <f t="shared" si="931"/>
        <v>2.7973077023154769E-2</v>
      </c>
      <c r="D3184">
        <v>15.532972972973001</v>
      </c>
      <c r="E3184">
        <v>0.35941077222317003</v>
      </c>
      <c r="F3184">
        <v>38</v>
      </c>
    </row>
    <row r="3185" spans="1:9" x14ac:dyDescent="0.25">
      <c r="A3185">
        <v>1167.808</v>
      </c>
      <c r="B3185">
        <v>1196.0640000000001</v>
      </c>
      <c r="C3185" s="1">
        <f t="shared" si="931"/>
        <v>2.4195758206828621E-2</v>
      </c>
      <c r="D3185">
        <v>15.228108108108</v>
      </c>
      <c r="E3185">
        <v>0.34749086605760998</v>
      </c>
      <c r="F3185">
        <v>39</v>
      </c>
    </row>
    <row r="3186" spans="1:9" x14ac:dyDescent="0.25">
      <c r="A3186">
        <v>1170.9244444444</v>
      </c>
      <c r="B3186">
        <v>1200.9404444444001</v>
      </c>
      <c r="C3186" s="1">
        <f t="shared" si="931"/>
        <v>2.5634446477238448E-2</v>
      </c>
      <c r="D3186">
        <v>15.798198198198</v>
      </c>
      <c r="E3186">
        <v>0.36394719449263002</v>
      </c>
      <c r="F3186">
        <v>36</v>
      </c>
    </row>
    <row r="3187" spans="1:9" x14ac:dyDescent="0.25">
      <c r="A3187">
        <v>1167.2711111111</v>
      </c>
      <c r="B3187">
        <v>1196.7075555555</v>
      </c>
      <c r="C3187" s="1">
        <f t="shared" si="931"/>
        <v>2.5218172680021134E-2</v>
      </c>
      <c r="D3187">
        <v>15.506306306306</v>
      </c>
      <c r="E3187">
        <v>0.35600824883781002</v>
      </c>
      <c r="F3187">
        <v>41</v>
      </c>
      <c r="H3187" t="s">
        <v>17</v>
      </c>
      <c r="I3187">
        <f t="shared" ref="I3187" si="944">STDEVP(A3173:A3192)</f>
        <v>5.1567190288687383</v>
      </c>
    </row>
    <row r="3188" spans="1:9" x14ac:dyDescent="0.25">
      <c r="A3188">
        <v>1167.7262222222</v>
      </c>
      <c r="B3188">
        <v>1197.7191111110999</v>
      </c>
      <c r="C3188" s="1">
        <f t="shared" si="931"/>
        <v>2.5684863727580831E-2</v>
      </c>
      <c r="D3188">
        <v>15.659099099099</v>
      </c>
      <c r="E3188">
        <v>0.36097412297850001</v>
      </c>
      <c r="F3188">
        <v>39</v>
      </c>
      <c r="H3188" t="s">
        <v>18</v>
      </c>
      <c r="I3188">
        <f t="shared" ref="I3188" si="945">STDEVP(B3173:B3192)</f>
        <v>5.5613952767483381</v>
      </c>
    </row>
    <row r="3189" spans="1:9" x14ac:dyDescent="0.25">
      <c r="A3189">
        <v>1160.9351111111</v>
      </c>
      <c r="B3189">
        <v>1195.2871111111001</v>
      </c>
      <c r="C3189" s="1">
        <f t="shared" si="931"/>
        <v>2.9589939757376005E-2</v>
      </c>
      <c r="D3189">
        <v>15.569009009008999</v>
      </c>
      <c r="E3189">
        <v>0.36078185353370001</v>
      </c>
      <c r="F3189">
        <v>38</v>
      </c>
      <c r="H3189" t="s">
        <v>19</v>
      </c>
      <c r="I3189">
        <f t="shared" ref="I3189" si="946">STDEVP(C3173:C3192)</f>
        <v>2.7251872803910381E-3</v>
      </c>
    </row>
    <row r="3190" spans="1:9" x14ac:dyDescent="0.25">
      <c r="A3190">
        <v>1169.5662222221999</v>
      </c>
      <c r="B3190">
        <v>1205.9733333332999</v>
      </c>
      <c r="C3190" s="1">
        <f t="shared" si="931"/>
        <v>3.1128729967872859E-2</v>
      </c>
      <c r="D3190">
        <v>15.659099099099</v>
      </c>
      <c r="E3190">
        <v>0.36021241937817999</v>
      </c>
      <c r="F3190">
        <v>40</v>
      </c>
      <c r="H3190" t="s">
        <v>20</v>
      </c>
      <c r="I3190">
        <f t="shared" ref="I3190" si="947">STDEVP(D3173:D3192)</f>
        <v>0.16872053599934464</v>
      </c>
    </row>
    <row r="3191" spans="1:9" x14ac:dyDescent="0.25">
      <c r="A3191">
        <v>1170.8106666666999</v>
      </c>
      <c r="B3191">
        <v>1201.5484444444</v>
      </c>
      <c r="C3191" s="1">
        <f t="shared" si="931"/>
        <v>2.625341453815988E-2</v>
      </c>
      <c r="D3191">
        <v>15.716756756757</v>
      </c>
      <c r="E3191">
        <v>0.36150494648630999</v>
      </c>
      <c r="F3191">
        <v>39</v>
      </c>
      <c r="H3191" t="s">
        <v>21</v>
      </c>
      <c r="I3191">
        <f t="shared" ref="I3191" si="948">STDEVP(E3173:E3192)</f>
        <v>4.7607325438985514E-3</v>
      </c>
    </row>
    <row r="3192" spans="1:9" x14ac:dyDescent="0.25">
      <c r="A3192">
        <v>1164.6062222221999</v>
      </c>
      <c r="B3192">
        <v>1198.3662222221999</v>
      </c>
      <c r="C3192" s="1">
        <f t="shared" si="931"/>
        <v>2.898833902465503E-2</v>
      </c>
      <c r="D3192">
        <v>15.561801801802</v>
      </c>
      <c r="E3192">
        <v>0.35919668142119998</v>
      </c>
      <c r="F3192">
        <v>39</v>
      </c>
      <c r="H3192" t="s">
        <v>22</v>
      </c>
      <c r="I3192">
        <f t="shared" ref="I3192" si="949">STDEVP(F3173:F3192)</f>
        <v>1.4</v>
      </c>
    </row>
    <row r="3193" spans="1:9" x14ac:dyDescent="0.25">
      <c r="C3193" s="1" t="str">
        <f t="shared" si="931"/>
        <v/>
      </c>
    </row>
    <row r="3194" spans="1:9" x14ac:dyDescent="0.25">
      <c r="A3194">
        <v>565.59884071971999</v>
      </c>
      <c r="B3194">
        <v>585.43871513101999</v>
      </c>
      <c r="C3194" s="1">
        <f t="shared" si="931"/>
        <v>3.507764334533281E-2</v>
      </c>
      <c r="D3194">
        <v>9.1252747252747</v>
      </c>
      <c r="E3194">
        <v>0.47120643423142999</v>
      </c>
      <c r="F3194">
        <v>12</v>
      </c>
    </row>
    <row r="3195" spans="1:9" x14ac:dyDescent="0.25">
      <c r="A3195">
        <v>562.49221108562006</v>
      </c>
      <c r="B3195">
        <v>584.46298756188003</v>
      </c>
      <c r="C3195" s="1">
        <f t="shared" si="931"/>
        <v>3.9059699038064943E-2</v>
      </c>
      <c r="D3195">
        <v>9.2048840048840006</v>
      </c>
      <c r="E3195">
        <v>0.48052481451887002</v>
      </c>
      <c r="F3195">
        <v>12</v>
      </c>
    </row>
    <row r="3196" spans="1:9" x14ac:dyDescent="0.25">
      <c r="A3196">
        <v>567.96594614177002</v>
      </c>
      <c r="B3196">
        <v>588.67503924645996</v>
      </c>
      <c r="C3196" s="1">
        <f t="shared" si="931"/>
        <v>3.646185699225124E-2</v>
      </c>
      <c r="D3196">
        <v>9.2327228327227999</v>
      </c>
      <c r="E3196">
        <v>0.47623432975919999</v>
      </c>
      <c r="F3196">
        <v>12</v>
      </c>
    </row>
    <row r="3197" spans="1:9" x14ac:dyDescent="0.25">
      <c r="A3197">
        <v>568.74942639777998</v>
      </c>
      <c r="B3197">
        <v>585.71162903030995</v>
      </c>
      <c r="C3197" s="1">
        <f t="shared" si="931"/>
        <v>2.9823683058392669E-2</v>
      </c>
      <c r="D3197">
        <v>9.2234432234431996</v>
      </c>
      <c r="E3197">
        <v>0.47451335064285999</v>
      </c>
      <c r="F3197">
        <v>13</v>
      </c>
    </row>
    <row r="3198" spans="1:9" x14ac:dyDescent="0.25">
      <c r="A3198">
        <v>567.76645332688997</v>
      </c>
      <c r="B3198">
        <v>589.16966549932999</v>
      </c>
      <c r="C3198" s="1">
        <f t="shared" si="931"/>
        <v>3.7697211673964892E-2</v>
      </c>
      <c r="D3198">
        <v>9.2293040293040001</v>
      </c>
      <c r="E3198">
        <v>0.47663455862517001</v>
      </c>
      <c r="F3198">
        <v>12</v>
      </c>
    </row>
    <row r="3199" spans="1:9" x14ac:dyDescent="0.25">
      <c r="A3199">
        <v>571.53049148653997</v>
      </c>
      <c r="B3199">
        <v>590.27677816688004</v>
      </c>
      <c r="C3199" s="1">
        <f t="shared" si="931"/>
        <v>3.2800151452254678E-2</v>
      </c>
      <c r="D3199">
        <v>9.2029304029304004</v>
      </c>
      <c r="E3199">
        <v>0.47015760320978001</v>
      </c>
      <c r="F3199">
        <v>12</v>
      </c>
    </row>
    <row r="3200" spans="1:9" x14ac:dyDescent="0.25">
      <c r="A3200">
        <v>567.81451515517995</v>
      </c>
      <c r="B3200">
        <v>585.76572877671003</v>
      </c>
      <c r="C3200" s="1">
        <f t="shared" si="931"/>
        <v>3.1614573319993733E-2</v>
      </c>
      <c r="D3200">
        <v>9.2439560439560005</v>
      </c>
      <c r="E3200">
        <v>0.47750581369338002</v>
      </c>
      <c r="F3200">
        <v>12</v>
      </c>
    </row>
    <row r="3201" spans="1:9" x14ac:dyDescent="0.25">
      <c r="A3201">
        <v>561.60584470474998</v>
      </c>
      <c r="B3201">
        <v>585.42060137663998</v>
      </c>
      <c r="C3201" s="1">
        <f t="shared" si="931"/>
        <v>4.2404752187737538E-2</v>
      </c>
      <c r="D3201">
        <v>9.1267399267398996</v>
      </c>
      <c r="E3201">
        <v>0.47609597973626</v>
      </c>
      <c r="F3201">
        <v>13</v>
      </c>
    </row>
    <row r="3202" spans="1:9" x14ac:dyDescent="0.25">
      <c r="A3202">
        <v>558.78154812220998</v>
      </c>
      <c r="B3202">
        <v>578.53206134523998</v>
      </c>
      <c r="C3202" s="1">
        <f t="shared" ref="C3202:C3265" si="950">IFERROR((B3202/A3202)-1,"")</f>
        <v>3.5345678985646112E-2</v>
      </c>
      <c r="D3202">
        <v>8.9772893772894005</v>
      </c>
      <c r="E3202">
        <v>0.46805010320086998</v>
      </c>
      <c r="F3202">
        <v>12</v>
      </c>
    </row>
    <row r="3203" spans="1:9" x14ac:dyDescent="0.25">
      <c r="A3203">
        <v>561.14913657771001</v>
      </c>
      <c r="B3203">
        <v>581.35152759328003</v>
      </c>
      <c r="C3203" s="1">
        <f t="shared" si="950"/>
        <v>3.6001821438733206E-2</v>
      </c>
      <c r="D3203">
        <v>9.1047619047619008</v>
      </c>
      <c r="E3203">
        <v>0.47532135718437002</v>
      </c>
      <c r="F3203">
        <v>12</v>
      </c>
    </row>
    <row r="3204" spans="1:9" x14ac:dyDescent="0.25">
      <c r="A3204">
        <v>568.39439681197996</v>
      </c>
      <c r="B3204">
        <v>589.32013041902997</v>
      </c>
      <c r="C3204" s="1">
        <f t="shared" si="950"/>
        <v>3.6815517050165614E-2</v>
      </c>
      <c r="D3204">
        <v>9.2166056166055998</v>
      </c>
      <c r="E3204">
        <v>0.47457656648147001</v>
      </c>
      <c r="F3204">
        <v>13</v>
      </c>
    </row>
    <row r="3205" spans="1:9" x14ac:dyDescent="0.25">
      <c r="A3205">
        <v>562.11858471199002</v>
      </c>
      <c r="B3205">
        <v>583.44716821638997</v>
      </c>
      <c r="C3205" s="1">
        <f t="shared" si="950"/>
        <v>3.794320999959111E-2</v>
      </c>
      <c r="D3205">
        <v>9.1159951159950996</v>
      </c>
      <c r="E3205">
        <v>0.47397066856641001</v>
      </c>
      <c r="F3205">
        <v>12</v>
      </c>
    </row>
    <row r="3206" spans="1:9" x14ac:dyDescent="0.25">
      <c r="A3206">
        <v>565.74592440526999</v>
      </c>
      <c r="B3206">
        <v>583.78215191402001</v>
      </c>
      <c r="C3206" s="1">
        <f t="shared" si="950"/>
        <v>3.1880437367198589E-2</v>
      </c>
      <c r="D3206">
        <v>9.1560439560439999</v>
      </c>
      <c r="E3206">
        <v>0.47287565845757001</v>
      </c>
      <c r="F3206">
        <v>12</v>
      </c>
    </row>
    <row r="3207" spans="1:9" x14ac:dyDescent="0.25">
      <c r="A3207">
        <v>563.01968361309002</v>
      </c>
      <c r="B3207">
        <v>581.77345731190997</v>
      </c>
      <c r="C3207" s="1">
        <f t="shared" si="950"/>
        <v>3.330926829852654E-2</v>
      </c>
      <c r="D3207">
        <v>9.0715506715506997</v>
      </c>
      <c r="E3207">
        <v>0.46981494478761998</v>
      </c>
      <c r="F3207">
        <v>12</v>
      </c>
    </row>
    <row r="3208" spans="1:9" x14ac:dyDescent="0.25">
      <c r="A3208">
        <v>568.53423499577002</v>
      </c>
      <c r="B3208">
        <v>585.42253351043996</v>
      </c>
      <c r="C3208" s="1">
        <f t="shared" si="950"/>
        <v>2.9704980764782896E-2</v>
      </c>
      <c r="D3208">
        <v>9.0803418803418996</v>
      </c>
      <c r="E3208">
        <v>0.46404741422896001</v>
      </c>
      <c r="F3208">
        <v>13</v>
      </c>
      <c r="H3208" t="s">
        <v>17</v>
      </c>
      <c r="I3208">
        <f t="shared" ref="I3208" si="951">STDEVP(A3194:A3213)</f>
        <v>3.7473083505379567</v>
      </c>
    </row>
    <row r="3209" spans="1:9" x14ac:dyDescent="0.25">
      <c r="A3209">
        <v>568.60813911363005</v>
      </c>
      <c r="B3209">
        <v>583.49184881052997</v>
      </c>
      <c r="C3209" s="1">
        <f t="shared" si="950"/>
        <v>2.617568879703569E-2</v>
      </c>
      <c r="D3209">
        <v>9.2551892551893005</v>
      </c>
      <c r="E3209">
        <v>0.47663259643844003</v>
      </c>
      <c r="F3209">
        <v>12</v>
      </c>
      <c r="H3209" t="s">
        <v>18</v>
      </c>
      <c r="I3209">
        <f t="shared" ref="I3209" si="952">STDEVP(B3194:B3213)</f>
        <v>3.4206586891945849</v>
      </c>
    </row>
    <row r="3210" spans="1:9" x14ac:dyDescent="0.25">
      <c r="A3210">
        <v>559.59425190193997</v>
      </c>
      <c r="B3210">
        <v>580.15988407197005</v>
      </c>
      <c r="C3210" s="1">
        <f t="shared" si="950"/>
        <v>3.6750971083301831E-2</v>
      </c>
      <c r="D3210">
        <v>9.0017094017093999</v>
      </c>
      <c r="E3210">
        <v>0.46953083682656999</v>
      </c>
      <c r="F3210">
        <v>12</v>
      </c>
      <c r="H3210" t="s">
        <v>19</v>
      </c>
      <c r="I3210">
        <f t="shared" ref="I3210" si="953">STDEVP(C3194:C3213)</f>
        <v>3.9063052223541764E-3</v>
      </c>
    </row>
    <row r="3211" spans="1:9" x14ac:dyDescent="0.25">
      <c r="A3211">
        <v>570.78420480618001</v>
      </c>
      <c r="B3211">
        <v>591.24719236807005</v>
      </c>
      <c r="C3211" s="1">
        <f t="shared" si="950"/>
        <v>3.5850654922797931E-2</v>
      </c>
      <c r="D3211">
        <v>9.1985347985347996</v>
      </c>
      <c r="E3211">
        <v>0.47062465978075002</v>
      </c>
      <c r="F3211">
        <v>13</v>
      </c>
      <c r="H3211" t="s">
        <v>20</v>
      </c>
      <c r="I3211">
        <f t="shared" ref="I3211" si="954">STDEVP(D3194:D3213)</f>
        <v>7.8402259697458024E-2</v>
      </c>
    </row>
    <row r="3212" spans="1:9" x14ac:dyDescent="0.25">
      <c r="A3212">
        <v>565.01195507788998</v>
      </c>
      <c r="B3212">
        <v>588.37483395724996</v>
      </c>
      <c r="C3212" s="1">
        <f t="shared" si="950"/>
        <v>4.1349353176322268E-2</v>
      </c>
      <c r="D3212">
        <v>9.1067155067154992</v>
      </c>
      <c r="E3212">
        <v>0.47067636730286999</v>
      </c>
      <c r="F3212">
        <v>12</v>
      </c>
      <c r="H3212" t="s">
        <v>21</v>
      </c>
      <c r="I3212">
        <f t="shared" ref="I3212" si="955">STDEVP(E3194:E3213)</f>
        <v>4.3494265352463021E-3</v>
      </c>
    </row>
    <row r="3213" spans="1:9" x14ac:dyDescent="0.25">
      <c r="A3213">
        <v>570.25963047941002</v>
      </c>
      <c r="B3213">
        <v>588.84917280520995</v>
      </c>
      <c r="C3213" s="1">
        <f t="shared" si="950"/>
        <v>3.259838384521796E-2</v>
      </c>
      <c r="D3213">
        <v>9.0964590964590997</v>
      </c>
      <c r="E3213">
        <v>0.46311059093703999</v>
      </c>
      <c r="F3213">
        <v>12</v>
      </c>
      <c r="H3213" t="s">
        <v>22</v>
      </c>
      <c r="I3213">
        <f t="shared" ref="I3213" si="956">STDEVP(F3194:F3213)</f>
        <v>0.4330127018922193</v>
      </c>
    </row>
    <row r="3214" spans="1:9" x14ac:dyDescent="0.25">
      <c r="C3214" s="1" t="str">
        <f t="shared" si="950"/>
        <v/>
      </c>
    </row>
    <row r="3215" spans="1:9" x14ac:dyDescent="0.25">
      <c r="A3215">
        <v>873.09464575445998</v>
      </c>
      <c r="B3215">
        <v>914.44131963224004</v>
      </c>
      <c r="C3215" s="1">
        <f t="shared" si="950"/>
        <v>4.7356462531105592E-2</v>
      </c>
      <c r="D3215">
        <v>14.332225913621</v>
      </c>
      <c r="E3215">
        <v>0.47343651954530003</v>
      </c>
      <c r="F3215">
        <v>20</v>
      </c>
    </row>
    <row r="3216" spans="1:9" x14ac:dyDescent="0.25">
      <c r="A3216">
        <v>895.88534342887999</v>
      </c>
      <c r="B3216">
        <v>928.96700919416003</v>
      </c>
      <c r="C3216" s="1">
        <f t="shared" si="950"/>
        <v>3.6926227232007669E-2</v>
      </c>
      <c r="D3216">
        <v>14.90365448505</v>
      </c>
      <c r="E3216">
        <v>0.48256409844790998</v>
      </c>
      <c r="F3216">
        <v>21</v>
      </c>
    </row>
    <row r="3217" spans="1:9" x14ac:dyDescent="0.25">
      <c r="A3217">
        <v>890.19794483504995</v>
      </c>
      <c r="B3217">
        <v>924.77663601946995</v>
      </c>
      <c r="C3217" s="1">
        <f t="shared" si="950"/>
        <v>3.8843822753182433E-2</v>
      </c>
      <c r="D3217">
        <v>14.531561461794</v>
      </c>
      <c r="E3217">
        <v>0.47067663900676998</v>
      </c>
      <c r="F3217">
        <v>20</v>
      </c>
    </row>
    <row r="3218" spans="1:9" x14ac:dyDescent="0.25">
      <c r="A3218">
        <v>877.41265548945</v>
      </c>
      <c r="B3218">
        <v>919.14007571661</v>
      </c>
      <c r="C3218" s="1">
        <f t="shared" si="950"/>
        <v>4.755734940235512E-2</v>
      </c>
      <c r="D3218">
        <v>14.210409745292999</v>
      </c>
      <c r="E3218">
        <v>0.46476110702424001</v>
      </c>
      <c r="F3218">
        <v>21</v>
      </c>
    </row>
    <row r="3219" spans="1:9" x14ac:dyDescent="0.25">
      <c r="A3219">
        <v>878.98323418064001</v>
      </c>
      <c r="B3219">
        <v>907.55868036776997</v>
      </c>
      <c r="C3219" s="1">
        <f t="shared" si="950"/>
        <v>3.2509660111739391E-2</v>
      </c>
      <c r="D3219">
        <v>14.471760797342</v>
      </c>
      <c r="E3219">
        <v>0.47589423272414999</v>
      </c>
      <c r="F3219">
        <v>20</v>
      </c>
    </row>
    <row r="3220" spans="1:9" x14ac:dyDescent="0.25">
      <c r="A3220">
        <v>885.94159004867004</v>
      </c>
      <c r="B3220">
        <v>922.11681990265004</v>
      </c>
      <c r="C3220" s="1">
        <f t="shared" si="950"/>
        <v>4.0832522437503682E-2</v>
      </c>
      <c r="D3220">
        <v>14.706533776301001</v>
      </c>
      <c r="E3220">
        <v>0.48177403096331001</v>
      </c>
      <c r="F3220">
        <v>21</v>
      </c>
    </row>
    <row r="3221" spans="1:9" x14ac:dyDescent="0.25">
      <c r="A3221">
        <v>874.80367766359996</v>
      </c>
      <c r="B3221">
        <v>903.71552190373995</v>
      </c>
      <c r="C3221" s="1">
        <f t="shared" si="950"/>
        <v>3.3049522971093204E-2</v>
      </c>
      <c r="D3221">
        <v>14.467331118494</v>
      </c>
      <c r="E3221">
        <v>0.47809214433615999</v>
      </c>
      <c r="F3221">
        <v>20</v>
      </c>
    </row>
    <row r="3222" spans="1:9" x14ac:dyDescent="0.25">
      <c r="A3222">
        <v>890.20984315845999</v>
      </c>
      <c r="B3222">
        <v>917.54245538128998</v>
      </c>
      <c r="C3222" s="1">
        <f t="shared" si="950"/>
        <v>3.0703561000689383E-2</v>
      </c>
      <c r="D3222">
        <v>14.586932447398</v>
      </c>
      <c r="E3222">
        <v>0.47272532537940998</v>
      </c>
      <c r="F3222">
        <v>21</v>
      </c>
    </row>
    <row r="3223" spans="1:9" x14ac:dyDescent="0.25">
      <c r="A3223">
        <v>881.62141698214998</v>
      </c>
      <c r="B3223">
        <v>916.48025959978997</v>
      </c>
      <c r="C3223" s="1">
        <f t="shared" si="950"/>
        <v>3.9539468921891974E-2</v>
      </c>
      <c r="D3223">
        <v>14.480620155039</v>
      </c>
      <c r="E3223">
        <v>0.47489951478315001</v>
      </c>
      <c r="F3223">
        <v>21</v>
      </c>
    </row>
    <row r="3224" spans="1:9" x14ac:dyDescent="0.25">
      <c r="A3224">
        <v>877.02758247701001</v>
      </c>
      <c r="B3224">
        <v>924.15792320173</v>
      </c>
      <c r="C3224" s="1">
        <f t="shared" si="950"/>
        <v>5.3738721183213656E-2</v>
      </c>
      <c r="D3224">
        <v>14.124031007752</v>
      </c>
      <c r="E3224">
        <v>0.46051993629998</v>
      </c>
      <c r="F3224">
        <v>20</v>
      </c>
    </row>
    <row r="3225" spans="1:9" x14ac:dyDescent="0.25">
      <c r="A3225">
        <v>872.22498647917996</v>
      </c>
      <c r="B3225">
        <v>917.52082206598004</v>
      </c>
      <c r="C3225" s="1">
        <f t="shared" si="950"/>
        <v>5.1931366664512923E-2</v>
      </c>
      <c r="D3225">
        <v>14.354374307863001</v>
      </c>
      <c r="E3225">
        <v>0.47577141969909997</v>
      </c>
      <c r="F3225">
        <v>21</v>
      </c>
    </row>
    <row r="3226" spans="1:9" x14ac:dyDescent="0.25">
      <c r="A3226">
        <v>873.43212547323003</v>
      </c>
      <c r="B3226">
        <v>914.47268793942999</v>
      </c>
      <c r="C3226" s="1">
        <f t="shared" si="950"/>
        <v>4.6987695173181354E-2</v>
      </c>
      <c r="D3226">
        <v>14.387596899225001</v>
      </c>
      <c r="E3226">
        <v>0.47575452067407997</v>
      </c>
      <c r="F3226">
        <v>20</v>
      </c>
    </row>
    <row r="3227" spans="1:9" x14ac:dyDescent="0.25">
      <c r="A3227">
        <v>886.35694970253996</v>
      </c>
      <c r="B3227">
        <v>921.07517577068995</v>
      </c>
      <c r="C3227" s="1">
        <f t="shared" si="950"/>
        <v>3.9169576184630017E-2</v>
      </c>
      <c r="D3227">
        <v>14.708748615725</v>
      </c>
      <c r="E3227">
        <v>0.48114683691563997</v>
      </c>
      <c r="F3227">
        <v>21</v>
      </c>
    </row>
    <row r="3228" spans="1:9" x14ac:dyDescent="0.25">
      <c r="A3228">
        <v>897.66143861547005</v>
      </c>
      <c r="B3228">
        <v>926.07571660356996</v>
      </c>
      <c r="C3228" s="1">
        <f t="shared" si="950"/>
        <v>3.1653668928817158E-2</v>
      </c>
      <c r="D3228">
        <v>14.580287929124999</v>
      </c>
      <c r="E3228">
        <v>0.46659296640412001</v>
      </c>
      <c r="F3228">
        <v>21</v>
      </c>
    </row>
    <row r="3229" spans="1:9" x14ac:dyDescent="0.25">
      <c r="A3229">
        <v>889.60302866413997</v>
      </c>
      <c r="B3229">
        <v>919.63764196862996</v>
      </c>
      <c r="C3229" s="1">
        <f t="shared" si="950"/>
        <v>3.3761815480317203E-2</v>
      </c>
      <c r="D3229">
        <v>14.334440753045</v>
      </c>
      <c r="E3229">
        <v>0.46138938722454997</v>
      </c>
      <c r="F3229">
        <v>20</v>
      </c>
      <c r="H3229" t="s">
        <v>17</v>
      </c>
      <c r="I3229">
        <f t="shared" ref="I3229" si="957">STDEVP(A3215:A3234)</f>
        <v>7.6938589851254591</v>
      </c>
    </row>
    <row r="3230" spans="1:9" x14ac:dyDescent="0.25">
      <c r="A3230">
        <v>881.27636560302994</v>
      </c>
      <c r="B3230">
        <v>926.68793942672005</v>
      </c>
      <c r="C3230" s="1">
        <f t="shared" si="950"/>
        <v>5.1529322237770847E-2</v>
      </c>
      <c r="D3230">
        <v>14.398671096346</v>
      </c>
      <c r="E3230">
        <v>0.47086392915841002</v>
      </c>
      <c r="F3230">
        <v>21</v>
      </c>
      <c r="H3230" t="s">
        <v>18</v>
      </c>
      <c r="I3230">
        <f t="shared" ref="I3230" si="958">STDEVP(B3215:B3234)</f>
        <v>6.5463162223298959</v>
      </c>
    </row>
    <row r="3231" spans="1:9" x14ac:dyDescent="0.25">
      <c r="A3231">
        <v>873.55543537047004</v>
      </c>
      <c r="B3231">
        <v>911.11736073554005</v>
      </c>
      <c r="C3231" s="1">
        <f t="shared" si="950"/>
        <v>4.2998902924964666E-2</v>
      </c>
      <c r="D3231">
        <v>14.398671096346</v>
      </c>
      <c r="E3231">
        <v>0.47607443276345002</v>
      </c>
      <c r="F3231">
        <v>21</v>
      </c>
      <c r="H3231" t="s">
        <v>19</v>
      </c>
      <c r="I3231">
        <f t="shared" ref="I3231" si="959">STDEVP(C3215:C3234)</f>
        <v>6.9340328908594137E-3</v>
      </c>
    </row>
    <row r="3232" spans="1:9" x14ac:dyDescent="0.25">
      <c r="A3232">
        <v>881.38669551109001</v>
      </c>
      <c r="B3232">
        <v>922.92698756084997</v>
      </c>
      <c r="C3232" s="1">
        <f t="shared" si="950"/>
        <v>4.7130609369672838E-2</v>
      </c>
      <c r="D3232">
        <v>14.799557032115001</v>
      </c>
      <c r="E3232">
        <v>0.49004057212805002</v>
      </c>
      <c r="F3232">
        <v>20</v>
      </c>
      <c r="H3232" t="s">
        <v>20</v>
      </c>
      <c r="I3232">
        <f t="shared" ref="I3232" si="960">STDEVP(D3215:D3234)</f>
        <v>0.19951619106582688</v>
      </c>
    </row>
    <row r="3233" spans="1:9" x14ac:dyDescent="0.25">
      <c r="A3233">
        <v>875.57057869118</v>
      </c>
      <c r="B3233">
        <v>911.58788534343</v>
      </c>
      <c r="C3233" s="1">
        <f t="shared" si="950"/>
        <v>4.1135811925167021E-2</v>
      </c>
      <c r="D3233">
        <v>14.166112956811</v>
      </c>
      <c r="E3233">
        <v>0.46418486724556002</v>
      </c>
      <c r="F3233">
        <v>21</v>
      </c>
      <c r="H3233" t="s">
        <v>21</v>
      </c>
      <c r="I3233">
        <f t="shared" ref="I3233" si="961">STDEVP(E3215:E3234)</f>
        <v>7.3170637329147605E-3</v>
      </c>
    </row>
    <row r="3234" spans="1:9" x14ac:dyDescent="0.25">
      <c r="A3234">
        <v>874.62087614926998</v>
      </c>
      <c r="B3234">
        <v>912.65657111952999</v>
      </c>
      <c r="C3234" s="1">
        <f t="shared" si="950"/>
        <v>4.3488208442635568E-2</v>
      </c>
      <c r="D3234">
        <v>14.369878183832</v>
      </c>
      <c r="E3234">
        <v>0.47454026397206001</v>
      </c>
      <c r="F3234">
        <v>20</v>
      </c>
      <c r="H3234" t="s">
        <v>22</v>
      </c>
      <c r="I3234">
        <f t="shared" ref="I3234" si="962">STDEVP(F3215:F3234)</f>
        <v>0.49749371855330993</v>
      </c>
    </row>
    <row r="3235" spans="1:9" x14ac:dyDescent="0.25">
      <c r="C3235" s="1" t="str">
        <f t="shared" si="950"/>
        <v/>
      </c>
    </row>
    <row r="3236" spans="1:9" x14ac:dyDescent="0.25">
      <c r="A3236">
        <v>2027.2</v>
      </c>
      <c r="B3236">
        <v>2092.1</v>
      </c>
      <c r="C3236" s="1">
        <f t="shared" si="950"/>
        <v>3.2014601420678801E-2</v>
      </c>
      <c r="D3236">
        <v>17.989473684210999</v>
      </c>
      <c r="E3236">
        <v>0.20301619996668999</v>
      </c>
      <c r="F3236">
        <v>26</v>
      </c>
    </row>
    <row r="3237" spans="1:9" x14ac:dyDescent="0.25">
      <c r="A3237">
        <v>2026.3</v>
      </c>
      <c r="B3237">
        <v>2084.9</v>
      </c>
      <c r="C3237" s="1">
        <f t="shared" si="950"/>
        <v>2.8919705867838097E-2</v>
      </c>
      <c r="D3237">
        <v>17.610526315788999</v>
      </c>
      <c r="E3237">
        <v>0.19808206672204001</v>
      </c>
      <c r="F3237">
        <v>28</v>
      </c>
    </row>
    <row r="3238" spans="1:9" x14ac:dyDescent="0.25">
      <c r="A3238">
        <v>2039.4</v>
      </c>
      <c r="B3238">
        <v>2125.6999999999998</v>
      </c>
      <c r="C3238" s="1">
        <f t="shared" si="950"/>
        <v>4.2316367559085855E-2</v>
      </c>
      <c r="D3238">
        <v>18.252631578947</v>
      </c>
      <c r="E3238">
        <v>0.20506823783844</v>
      </c>
      <c r="F3238">
        <v>26</v>
      </c>
    </row>
    <row r="3239" spans="1:9" x14ac:dyDescent="0.25">
      <c r="A3239">
        <v>2036.9</v>
      </c>
      <c r="B3239">
        <v>2103.6999999999998</v>
      </c>
      <c r="C3239" s="1">
        <f t="shared" si="950"/>
        <v>3.2794933477342969E-2</v>
      </c>
      <c r="D3239">
        <v>18.663157894737001</v>
      </c>
      <c r="E3239">
        <v>0.21103972847822</v>
      </c>
      <c r="F3239">
        <v>27</v>
      </c>
    </row>
    <row r="3240" spans="1:9" x14ac:dyDescent="0.25">
      <c r="A3240">
        <v>2018.7</v>
      </c>
      <c r="B3240">
        <v>2103.6999999999998</v>
      </c>
      <c r="C3240" s="1">
        <f t="shared" si="950"/>
        <v>4.2106306038539598E-2</v>
      </c>
      <c r="D3240">
        <v>17.863157894737</v>
      </c>
      <c r="E3240">
        <v>0.20239619500443001</v>
      </c>
      <c r="F3240">
        <v>28</v>
      </c>
    </row>
    <row r="3241" spans="1:9" x14ac:dyDescent="0.25">
      <c r="A3241">
        <v>2023.4</v>
      </c>
      <c r="B3241">
        <v>2108.5</v>
      </c>
      <c r="C3241" s="1">
        <f t="shared" si="950"/>
        <v>4.2057922308984752E-2</v>
      </c>
      <c r="D3241">
        <v>18.326315789473998</v>
      </c>
      <c r="E3241">
        <v>0.20786597643247001</v>
      </c>
      <c r="F3241">
        <v>27</v>
      </c>
    </row>
    <row r="3242" spans="1:9" x14ac:dyDescent="0.25">
      <c r="A3242">
        <v>2016.7</v>
      </c>
      <c r="B3242">
        <v>2104.1999999999998</v>
      </c>
      <c r="C3242" s="1">
        <f t="shared" si="950"/>
        <v>4.3387712599791683E-2</v>
      </c>
      <c r="D3242">
        <v>17.736842105263001</v>
      </c>
      <c r="E3242">
        <v>0.20092150044373999</v>
      </c>
      <c r="F3242">
        <v>27</v>
      </c>
    </row>
    <row r="3243" spans="1:9" x14ac:dyDescent="0.25">
      <c r="A3243">
        <v>2016.4</v>
      </c>
      <c r="B3243">
        <v>2111.8000000000002</v>
      </c>
      <c r="C3243" s="1">
        <f t="shared" si="950"/>
        <v>4.7312041261654558E-2</v>
      </c>
      <c r="D3243">
        <v>17.768421052632</v>
      </c>
      <c r="E3243">
        <v>0.20117590344542</v>
      </c>
      <c r="F3243">
        <v>27</v>
      </c>
    </row>
    <row r="3244" spans="1:9" x14ac:dyDescent="0.25">
      <c r="A3244">
        <v>2005</v>
      </c>
      <c r="B3244">
        <v>2086</v>
      </c>
      <c r="C3244" s="1">
        <f t="shared" si="950"/>
        <v>4.039900249376549E-2</v>
      </c>
      <c r="D3244">
        <v>17.978947368421</v>
      </c>
      <c r="E3244">
        <v>0.20558509231336</v>
      </c>
      <c r="F3244">
        <v>27</v>
      </c>
    </row>
    <row r="3245" spans="1:9" x14ac:dyDescent="0.25">
      <c r="A3245">
        <v>2045</v>
      </c>
      <c r="B3245">
        <v>2105.6</v>
      </c>
      <c r="C3245" s="1">
        <f t="shared" si="950"/>
        <v>2.963325183374077E-2</v>
      </c>
      <c r="D3245">
        <v>18.557894736842002</v>
      </c>
      <c r="E3245">
        <v>0.20853516153537</v>
      </c>
      <c r="F3245">
        <v>27</v>
      </c>
    </row>
    <row r="3246" spans="1:9" x14ac:dyDescent="0.25">
      <c r="A3246">
        <v>2019.9</v>
      </c>
      <c r="B3246">
        <v>2112.1999999999998</v>
      </c>
      <c r="C3246" s="1">
        <f t="shared" si="950"/>
        <v>4.5695331452051846E-2</v>
      </c>
      <c r="D3246">
        <v>17.8</v>
      </c>
      <c r="E3246">
        <v>0.20124205170798001</v>
      </c>
      <c r="F3246">
        <v>27</v>
      </c>
    </row>
    <row r="3247" spans="1:9" x14ac:dyDescent="0.25">
      <c r="A3247">
        <v>2028.1</v>
      </c>
      <c r="B3247">
        <v>2104.8000000000002</v>
      </c>
      <c r="C3247" s="1">
        <f t="shared" si="950"/>
        <v>3.7818647995661037E-2</v>
      </c>
      <c r="D3247">
        <v>18.578947368421002</v>
      </c>
      <c r="E3247">
        <v>0.21101476957161999</v>
      </c>
      <c r="F3247">
        <v>27</v>
      </c>
    </row>
    <row r="3248" spans="1:9" x14ac:dyDescent="0.25">
      <c r="A3248">
        <v>2040.2</v>
      </c>
      <c r="B3248">
        <v>2126.6999999999998</v>
      </c>
      <c r="C3248" s="1">
        <f t="shared" si="950"/>
        <v>4.2397804136849127E-2</v>
      </c>
      <c r="D3248">
        <v>18.410526315788999</v>
      </c>
      <c r="E3248">
        <v>0.20709580460425001</v>
      </c>
      <c r="F3248">
        <v>27</v>
      </c>
    </row>
    <row r="3249" spans="1:9" x14ac:dyDescent="0.25">
      <c r="A3249">
        <v>2020.6</v>
      </c>
      <c r="B3249">
        <v>2093.9</v>
      </c>
      <c r="C3249" s="1">
        <f t="shared" si="950"/>
        <v>3.6276353558349017E-2</v>
      </c>
      <c r="D3249">
        <v>18.157894736842</v>
      </c>
      <c r="E3249">
        <v>0.20601658662274</v>
      </c>
      <c r="F3249">
        <v>28</v>
      </c>
    </row>
    <row r="3250" spans="1:9" x14ac:dyDescent="0.25">
      <c r="A3250">
        <v>2014.5</v>
      </c>
      <c r="B3250">
        <v>2115.9</v>
      </c>
      <c r="C3250" s="1">
        <f t="shared" si="950"/>
        <v>5.0335070737155707E-2</v>
      </c>
      <c r="D3250">
        <v>17.494736842104999</v>
      </c>
      <c r="E3250">
        <v>0.19773599366559</v>
      </c>
      <c r="F3250">
        <v>26</v>
      </c>
      <c r="H3250" t="s">
        <v>17</v>
      </c>
      <c r="I3250">
        <f t="shared" ref="I3250" si="963">STDEVP(A3236:A3255)</f>
        <v>11.273171692119293</v>
      </c>
    </row>
    <row r="3251" spans="1:9" x14ac:dyDescent="0.25">
      <c r="A3251">
        <v>2018.9</v>
      </c>
      <c r="B3251">
        <v>2090.6</v>
      </c>
      <c r="C3251" s="1">
        <f t="shared" si="950"/>
        <v>3.5514389023725723E-2</v>
      </c>
      <c r="D3251">
        <v>17.810526315789001</v>
      </c>
      <c r="E3251">
        <v>0.20176525142168</v>
      </c>
      <c r="F3251">
        <v>27</v>
      </c>
      <c r="H3251" t="s">
        <v>18</v>
      </c>
      <c r="I3251">
        <f t="shared" ref="I3251" si="964">STDEVP(B3236:B3255)</f>
        <v>12.974046207717889</v>
      </c>
    </row>
    <row r="3252" spans="1:9" x14ac:dyDescent="0.25">
      <c r="A3252">
        <v>2014.3</v>
      </c>
      <c r="B3252">
        <v>2083.4</v>
      </c>
      <c r="C3252" s="1">
        <f t="shared" si="950"/>
        <v>3.4304721243111791E-2</v>
      </c>
      <c r="D3252">
        <v>17.894736842105001</v>
      </c>
      <c r="E3252">
        <v>0.20333449963868999</v>
      </c>
      <c r="F3252">
        <v>27</v>
      </c>
      <c r="H3252" t="s">
        <v>19</v>
      </c>
      <c r="I3252">
        <f t="shared" ref="I3252" si="965">STDEVP(C3236:C3255)</f>
        <v>7.0925824914825544E-3</v>
      </c>
    </row>
    <row r="3253" spans="1:9" x14ac:dyDescent="0.25">
      <c r="A3253">
        <v>2006.9</v>
      </c>
      <c r="B3253">
        <v>2123.6999999999998</v>
      </c>
      <c r="C3253" s="1">
        <f t="shared" si="950"/>
        <v>5.8199212716129267E-2</v>
      </c>
      <c r="D3253">
        <v>18.242105263157999</v>
      </c>
      <c r="E3253">
        <v>0.20889597343339</v>
      </c>
      <c r="F3253">
        <v>27</v>
      </c>
      <c r="H3253" t="s">
        <v>20</v>
      </c>
      <c r="I3253">
        <f t="shared" ref="I3253" si="966">STDEVP(D3236:D3255)</f>
        <v>0.3689379832127771</v>
      </c>
    </row>
    <row r="3254" spans="1:9" x14ac:dyDescent="0.25">
      <c r="A3254">
        <v>2033.3</v>
      </c>
      <c r="B3254">
        <v>2103.6999999999998</v>
      </c>
      <c r="C3254" s="1">
        <f t="shared" si="950"/>
        <v>3.4623518418334553E-2</v>
      </c>
      <c r="D3254">
        <v>18.884210526316</v>
      </c>
      <c r="E3254">
        <v>0.21440576875001999</v>
      </c>
      <c r="F3254">
        <v>27</v>
      </c>
      <c r="H3254" t="s">
        <v>21</v>
      </c>
      <c r="I3254">
        <f t="shared" ref="I3254" si="967">STDEVP(E3236:E3255)</f>
        <v>4.3812304419010182E-3</v>
      </c>
    </row>
    <row r="3255" spans="1:9" x14ac:dyDescent="0.25">
      <c r="A3255">
        <v>2041.1</v>
      </c>
      <c r="B3255">
        <v>2117.4</v>
      </c>
      <c r="C3255" s="1">
        <f t="shared" si="950"/>
        <v>3.7381803929253943E-2</v>
      </c>
      <c r="D3255">
        <v>18</v>
      </c>
      <c r="E3255">
        <v>0.20158235204208</v>
      </c>
      <c r="F3255">
        <v>27</v>
      </c>
      <c r="H3255" t="s">
        <v>22</v>
      </c>
      <c r="I3255">
        <f t="shared" ref="I3255" si="968">STDEVP(F3236:F3255)</f>
        <v>0.54772255750516607</v>
      </c>
    </row>
    <row r="3256" spans="1:9" x14ac:dyDescent="0.25">
      <c r="C3256" s="1" t="str">
        <f t="shared" si="950"/>
        <v/>
      </c>
    </row>
    <row r="3257" spans="1:9" x14ac:dyDescent="0.25">
      <c r="A3257">
        <v>270.61157024792999</v>
      </c>
      <c r="B3257">
        <v>285.07438016528999</v>
      </c>
      <c r="C3257" s="1">
        <f t="shared" si="950"/>
        <v>5.3444905936983478E-2</v>
      </c>
      <c r="D3257">
        <v>2.7636363636364001</v>
      </c>
      <c r="E3257">
        <v>0.22978147944503999</v>
      </c>
      <c r="F3257">
        <v>4</v>
      </c>
    </row>
    <row r="3258" spans="1:9" x14ac:dyDescent="0.25">
      <c r="A3258">
        <v>258.56198347106999</v>
      </c>
      <c r="B3258">
        <v>286.89256198346999</v>
      </c>
      <c r="C3258" s="1">
        <f t="shared" si="950"/>
        <v>0.10956977561850212</v>
      </c>
      <c r="D3258">
        <v>2.2909090909090999</v>
      </c>
      <c r="E3258">
        <v>0.19314825916318001</v>
      </c>
      <c r="F3258">
        <v>5</v>
      </c>
    </row>
    <row r="3259" spans="1:9" x14ac:dyDescent="0.25">
      <c r="A3259">
        <v>267.60330578512003</v>
      </c>
      <c r="B3259">
        <v>285.30578512397</v>
      </c>
      <c r="C3259" s="1">
        <f t="shared" si="950"/>
        <v>6.615194564548732E-2</v>
      </c>
      <c r="D3259">
        <v>2.6181818181818</v>
      </c>
      <c r="E3259">
        <v>0.21818419385457</v>
      </c>
      <c r="F3259">
        <v>5</v>
      </c>
    </row>
    <row r="3260" spans="1:9" x14ac:dyDescent="0.25">
      <c r="A3260">
        <v>260.85950413222997</v>
      </c>
      <c r="B3260">
        <v>285.12396694214999</v>
      </c>
      <c r="C3260" s="1">
        <f t="shared" si="950"/>
        <v>9.3017361551144928E-2</v>
      </c>
      <c r="D3260">
        <v>2.3272727272727001</v>
      </c>
      <c r="E3260">
        <v>0.19558805155023001</v>
      </c>
      <c r="F3260">
        <v>5</v>
      </c>
    </row>
    <row r="3261" spans="1:9" x14ac:dyDescent="0.25">
      <c r="A3261">
        <v>254.57851239669</v>
      </c>
      <c r="B3261">
        <v>286.97520661157</v>
      </c>
      <c r="C3261" s="1">
        <f t="shared" si="950"/>
        <v>0.12725620049346009</v>
      </c>
      <c r="D3261">
        <v>2.1818181818181999</v>
      </c>
      <c r="E3261">
        <v>0.18567905540912999</v>
      </c>
      <c r="F3261">
        <v>5</v>
      </c>
    </row>
    <row r="3262" spans="1:9" x14ac:dyDescent="0.25">
      <c r="A3262">
        <v>270.29752066115998</v>
      </c>
      <c r="B3262">
        <v>285.53719008264</v>
      </c>
      <c r="C3262" s="1">
        <f t="shared" si="950"/>
        <v>5.6381092154316192E-2</v>
      </c>
      <c r="D3262">
        <v>2.8363636363636</v>
      </c>
      <c r="E3262">
        <v>0.23735252681803001</v>
      </c>
      <c r="F3262">
        <v>5</v>
      </c>
    </row>
    <row r="3263" spans="1:9" x14ac:dyDescent="0.25">
      <c r="A3263">
        <v>262.34710743801998</v>
      </c>
      <c r="B3263">
        <v>287.02479338843</v>
      </c>
      <c r="C3263" s="1">
        <f t="shared" si="950"/>
        <v>9.4065020161276935E-2</v>
      </c>
      <c r="D3263">
        <v>2.5090909090908999</v>
      </c>
      <c r="E3263">
        <v>0.21059160078958</v>
      </c>
      <c r="F3263">
        <v>5</v>
      </c>
    </row>
    <row r="3264" spans="1:9" x14ac:dyDescent="0.25">
      <c r="A3264">
        <v>267.27272727272998</v>
      </c>
      <c r="B3264">
        <v>284.51239669421</v>
      </c>
      <c r="C3264" s="1">
        <f t="shared" si="950"/>
        <v>6.4502164502135528E-2</v>
      </c>
      <c r="D3264">
        <v>2.8</v>
      </c>
      <c r="E3264">
        <v>0.23735692391961999</v>
      </c>
      <c r="F3264">
        <v>5</v>
      </c>
    </row>
    <row r="3265" spans="1:9" x14ac:dyDescent="0.25">
      <c r="A3265">
        <v>258.29752066115998</v>
      </c>
      <c r="B3265">
        <v>286.79338842975</v>
      </c>
      <c r="C3265" s="1">
        <f t="shared" si="950"/>
        <v>0.11032187879949285</v>
      </c>
      <c r="D3265">
        <v>2.4363636363636001</v>
      </c>
      <c r="E3265">
        <v>0.20677368690185</v>
      </c>
      <c r="F3265">
        <v>5</v>
      </c>
    </row>
    <row r="3266" spans="1:9" x14ac:dyDescent="0.25">
      <c r="A3266">
        <v>268.42975206611999</v>
      </c>
      <c r="B3266">
        <v>283.45454545454999</v>
      </c>
      <c r="C3266" s="1">
        <f t="shared" ref="C3266:C3329" si="969">IFERROR((B3266/A3266)-1,"")</f>
        <v>5.5972906403940925E-2</v>
      </c>
      <c r="D3266">
        <v>2.7636363636364001</v>
      </c>
      <c r="E3266">
        <v>0.23244883320168</v>
      </c>
      <c r="F3266">
        <v>5</v>
      </c>
    </row>
    <row r="3267" spans="1:9" x14ac:dyDescent="0.25">
      <c r="A3267">
        <v>266.64462809917001</v>
      </c>
      <c r="B3267">
        <v>284.29752066115998</v>
      </c>
      <c r="C3267" s="1">
        <f t="shared" si="969"/>
        <v>6.6203818497421851E-2</v>
      </c>
      <c r="D3267">
        <v>2.5454545454545001</v>
      </c>
      <c r="E3267">
        <v>0.21038181694378</v>
      </c>
      <c r="F3267">
        <v>5</v>
      </c>
    </row>
    <row r="3268" spans="1:9" x14ac:dyDescent="0.25">
      <c r="A3268">
        <v>265.45454545454999</v>
      </c>
      <c r="B3268">
        <v>286.26446280992002</v>
      </c>
      <c r="C3268" s="1">
        <f t="shared" si="969"/>
        <v>7.8393524283926874E-2</v>
      </c>
      <c r="D3268">
        <v>2.8</v>
      </c>
      <c r="E3268">
        <v>0.24003889703833001</v>
      </c>
      <c r="F3268">
        <v>5</v>
      </c>
    </row>
    <row r="3269" spans="1:9" x14ac:dyDescent="0.25">
      <c r="A3269">
        <v>264.34710743801998</v>
      </c>
      <c r="B3269">
        <v>285.73553719007998</v>
      </c>
      <c r="C3269" s="1">
        <f t="shared" si="969"/>
        <v>8.0910398299231856E-2</v>
      </c>
      <c r="D3269">
        <v>2.5090909090908999</v>
      </c>
      <c r="E3269">
        <v>0.21009841626074</v>
      </c>
      <c r="F3269">
        <v>5</v>
      </c>
    </row>
    <row r="3270" spans="1:9" x14ac:dyDescent="0.25">
      <c r="A3270">
        <v>266.51239669421</v>
      </c>
      <c r="B3270">
        <v>286.42975206611999</v>
      </c>
      <c r="C3270" s="1">
        <f t="shared" si="969"/>
        <v>7.4733316794875826E-2</v>
      </c>
      <c r="D3270">
        <v>2.6181818181818</v>
      </c>
      <c r="E3270">
        <v>0.21806974144324001</v>
      </c>
      <c r="F3270">
        <v>4</v>
      </c>
    </row>
    <row r="3271" spans="1:9" x14ac:dyDescent="0.25">
      <c r="A3271">
        <v>254.77685950412999</v>
      </c>
      <c r="B3271">
        <v>286.94214876032999</v>
      </c>
      <c r="C3271" s="1">
        <f t="shared" si="969"/>
        <v>0.12624886466849072</v>
      </c>
      <c r="D3271">
        <v>2.4727272727273002</v>
      </c>
      <c r="E3271">
        <v>0.21397371011656999</v>
      </c>
      <c r="F3271">
        <v>5</v>
      </c>
      <c r="H3271" t="s">
        <v>17</v>
      </c>
      <c r="I3271">
        <f t="shared" ref="I3271" si="970">STDEVP(A3257:A3276)</f>
        <v>4.9132950109090041</v>
      </c>
    </row>
    <row r="3272" spans="1:9" x14ac:dyDescent="0.25">
      <c r="A3272">
        <v>272.01652892561998</v>
      </c>
      <c r="B3272">
        <v>284.76033057850998</v>
      </c>
      <c r="C3272" s="1">
        <f t="shared" si="969"/>
        <v>4.6849365011839561E-2</v>
      </c>
      <c r="D3272">
        <v>2.6909090909090998</v>
      </c>
      <c r="E3272">
        <v>0.22239607209727</v>
      </c>
      <c r="F3272">
        <v>5</v>
      </c>
      <c r="H3272" t="s">
        <v>18</v>
      </c>
      <c r="I3272">
        <f t="shared" ref="I3272" si="971">STDEVP(B3257:B3276)</f>
        <v>1.1396868012987809</v>
      </c>
    </row>
    <row r="3273" spans="1:9" x14ac:dyDescent="0.25">
      <c r="A3273">
        <v>266.72727272727002</v>
      </c>
      <c r="B3273">
        <v>287.15702479339001</v>
      </c>
      <c r="C3273" s="1">
        <f t="shared" si="969"/>
        <v>7.6594162483749839E-2</v>
      </c>
      <c r="D3273">
        <v>2.8</v>
      </c>
      <c r="E3273">
        <v>0.23771290264278999</v>
      </c>
      <c r="F3273">
        <v>5</v>
      </c>
      <c r="H3273" t="s">
        <v>19</v>
      </c>
      <c r="I3273">
        <f t="shared" ref="I3273" si="972">STDEVP(C3257:C3276)</f>
        <v>2.3113641821567141E-2</v>
      </c>
    </row>
    <row r="3274" spans="1:9" x14ac:dyDescent="0.25">
      <c r="A3274">
        <v>264.64462809917001</v>
      </c>
      <c r="B3274">
        <v>283.73553719007998</v>
      </c>
      <c r="C3274" s="1">
        <f t="shared" si="969"/>
        <v>7.2137905190186036E-2</v>
      </c>
      <c r="D3274">
        <v>2.5454545454545001</v>
      </c>
      <c r="E3274">
        <v>0.21647272315721</v>
      </c>
      <c r="F3274">
        <v>5</v>
      </c>
      <c r="H3274" t="s">
        <v>20</v>
      </c>
      <c r="I3274">
        <f t="shared" ref="I3274" si="973">STDEVP(D3257:D3276)</f>
        <v>0.18551692355583277</v>
      </c>
    </row>
    <row r="3275" spans="1:9" x14ac:dyDescent="0.25">
      <c r="A3275">
        <v>263.48760330579</v>
      </c>
      <c r="B3275">
        <v>284.71074380164998</v>
      </c>
      <c r="C3275" s="1">
        <f t="shared" si="969"/>
        <v>8.0547017125619735E-2</v>
      </c>
      <c r="D3275">
        <v>2.5818181818182002</v>
      </c>
      <c r="E3275">
        <v>0.21856319037767</v>
      </c>
      <c r="F3275">
        <v>5</v>
      </c>
      <c r="H3275" t="s">
        <v>21</v>
      </c>
      <c r="I3275">
        <f t="shared" ref="I3275" si="974">STDEVP(E3257:E3276)</f>
        <v>1.5418413834245427E-2</v>
      </c>
    </row>
    <row r="3276" spans="1:9" x14ac:dyDescent="0.25">
      <c r="A3276">
        <v>269.27272727272998</v>
      </c>
      <c r="B3276">
        <v>284.85950413222997</v>
      </c>
      <c r="C3276" s="1">
        <f t="shared" si="969"/>
        <v>5.7884721625421465E-2</v>
      </c>
      <c r="D3276">
        <v>2.8</v>
      </c>
      <c r="E3276">
        <v>0.23484542754134</v>
      </c>
      <c r="F3276">
        <v>5</v>
      </c>
      <c r="H3276" t="s">
        <v>22</v>
      </c>
      <c r="I3276">
        <f t="shared" ref="I3276" si="975">STDEVP(F3257:F3276)</f>
        <v>0.3</v>
      </c>
    </row>
    <row r="3277" spans="1:9" x14ac:dyDescent="0.25">
      <c r="C3277" s="1" t="str">
        <f t="shared" si="969"/>
        <v/>
      </c>
    </row>
    <row r="3278" spans="1:9" x14ac:dyDescent="0.25">
      <c r="A3278">
        <v>2925.1814396192999</v>
      </c>
      <c r="B3278">
        <v>2982.1873884591</v>
      </c>
      <c r="C3278" s="1">
        <f t="shared" si="969"/>
        <v>1.9488004425195271E-2</v>
      </c>
      <c r="D3278">
        <v>19.953628425173001</v>
      </c>
      <c r="E3278">
        <v>0.15585375300903001</v>
      </c>
      <c r="F3278">
        <v>57</v>
      </c>
    </row>
    <row r="3279" spans="1:9" x14ac:dyDescent="0.25">
      <c r="A3279">
        <v>2919.0172516358998</v>
      </c>
      <c r="B3279">
        <v>2966.2070196310001</v>
      </c>
      <c r="C3279" s="1">
        <f t="shared" si="969"/>
        <v>1.6166320349307206E-2</v>
      </c>
      <c r="D3279">
        <v>19.989762119843</v>
      </c>
      <c r="E3279">
        <v>0.15663242520012</v>
      </c>
      <c r="F3279">
        <v>62</v>
      </c>
    </row>
    <row r="3280" spans="1:9" x14ac:dyDescent="0.25">
      <c r="A3280">
        <v>2914.5466983937999</v>
      </c>
      <c r="B3280">
        <v>2959.4622248659998</v>
      </c>
      <c r="C3280" s="1">
        <f t="shared" si="969"/>
        <v>1.5410810366137895E-2</v>
      </c>
      <c r="D3280">
        <v>19.954832881662</v>
      </c>
      <c r="E3280">
        <v>0.15659941683747</v>
      </c>
      <c r="F3280">
        <v>65</v>
      </c>
    </row>
    <row r="3281" spans="1:9" x14ac:dyDescent="0.25">
      <c r="A3281">
        <v>2927.4366448543001</v>
      </c>
      <c r="B3281">
        <v>2979.7632361688002</v>
      </c>
      <c r="C3281" s="1">
        <f t="shared" si="969"/>
        <v>1.7874542701539653E-2</v>
      </c>
      <c r="D3281">
        <v>19.856669677808</v>
      </c>
      <c r="E3281">
        <v>0.15491341114113</v>
      </c>
      <c r="F3281">
        <v>61</v>
      </c>
    </row>
    <row r="3282" spans="1:9" x14ac:dyDescent="0.25">
      <c r="A3282">
        <v>2924.4223676382999</v>
      </c>
      <c r="B3282">
        <v>2970.6073765614001</v>
      </c>
      <c r="C3282" s="1">
        <f t="shared" si="969"/>
        <v>1.5792865433592596E-2</v>
      </c>
      <c r="D3282">
        <v>20.009033423668001</v>
      </c>
      <c r="E3282">
        <v>0.15643702325968001</v>
      </c>
      <c r="F3282">
        <v>61</v>
      </c>
    </row>
    <row r="3283" spans="1:9" x14ac:dyDescent="0.25">
      <c r="A3283">
        <v>2920.2897085067998</v>
      </c>
      <c r="B3283">
        <v>2960.0749553835999</v>
      </c>
      <c r="C3283" s="1">
        <f t="shared" si="969"/>
        <v>1.3623732864895377E-2</v>
      </c>
      <c r="D3283">
        <v>20.006022282444999</v>
      </c>
      <c r="E3283">
        <v>0.15666619745266999</v>
      </c>
      <c r="F3283">
        <v>58</v>
      </c>
    </row>
    <row r="3284" spans="1:9" x14ac:dyDescent="0.25">
      <c r="A3284">
        <v>2907.1207614515001</v>
      </c>
      <c r="B3284">
        <v>2957.2183224270002</v>
      </c>
      <c r="C3284" s="1">
        <f t="shared" si="969"/>
        <v>1.7232707233836075E-2</v>
      </c>
      <c r="D3284">
        <v>19.928334838904</v>
      </c>
      <c r="E3284">
        <v>0.15675591342982001</v>
      </c>
      <c r="F3284">
        <v>61</v>
      </c>
    </row>
    <row r="3285" spans="1:9" x14ac:dyDescent="0.25">
      <c r="A3285">
        <v>2910.8471148126</v>
      </c>
      <c r="B3285">
        <v>2967.7751338487001</v>
      </c>
      <c r="C3285" s="1">
        <f t="shared" si="969"/>
        <v>1.9557199945818837E-2</v>
      </c>
      <c r="D3285">
        <v>19.939174947304998</v>
      </c>
      <c r="E3285">
        <v>0.15663247502571001</v>
      </c>
      <c r="F3285">
        <v>62</v>
      </c>
    </row>
    <row r="3286" spans="1:9" x14ac:dyDescent="0.25">
      <c r="A3286">
        <v>2905.5556216537998</v>
      </c>
      <c r="B3286">
        <v>2961.7025580009999</v>
      </c>
      <c r="C3286" s="1">
        <f t="shared" si="969"/>
        <v>1.9323992949493718E-2</v>
      </c>
      <c r="D3286">
        <v>19.986148750376</v>
      </c>
      <c r="E3286">
        <v>0.15741595074008999</v>
      </c>
      <c r="F3286">
        <v>61</v>
      </c>
    </row>
    <row r="3287" spans="1:9" x14ac:dyDescent="0.25">
      <c r="A3287">
        <v>2921.4640095181999</v>
      </c>
      <c r="B3287">
        <v>2968.2980368827002</v>
      </c>
      <c r="C3287" s="1">
        <f t="shared" si="969"/>
        <v>1.6031012948273249E-2</v>
      </c>
      <c r="D3287">
        <v>19.554351099066999</v>
      </c>
      <c r="E3287">
        <v>0.15249832817496001</v>
      </c>
      <c r="F3287">
        <v>61</v>
      </c>
    </row>
    <row r="3288" spans="1:9" x14ac:dyDescent="0.25">
      <c r="A3288">
        <v>2910.0303390838999</v>
      </c>
      <c r="B3288">
        <v>2957.0226055918001</v>
      </c>
      <c r="C3288" s="1">
        <f t="shared" si="969"/>
        <v>1.6148376831938371E-2</v>
      </c>
      <c r="D3288">
        <v>19.642276422763999</v>
      </c>
      <c r="E3288">
        <v>0.15397286281365999</v>
      </c>
      <c r="F3288">
        <v>60</v>
      </c>
    </row>
    <row r="3289" spans="1:9" x14ac:dyDescent="0.25">
      <c r="A3289">
        <v>2922.0446162998001</v>
      </c>
      <c r="B3289">
        <v>2966.7227840569999</v>
      </c>
      <c r="C3289" s="1">
        <f t="shared" si="969"/>
        <v>1.5290036130172435E-2</v>
      </c>
      <c r="D3289">
        <v>19.613369467028001</v>
      </c>
      <c r="E3289">
        <v>0.15299871182760999</v>
      </c>
      <c r="F3289">
        <v>61</v>
      </c>
    </row>
    <row r="3290" spans="1:9" x14ac:dyDescent="0.25">
      <c r="A3290">
        <v>2906.3259964306999</v>
      </c>
      <c r="B3290">
        <v>2957.8120166566</v>
      </c>
      <c r="C3290" s="1">
        <f t="shared" si="969"/>
        <v>1.7715156623562045E-2</v>
      </c>
      <c r="D3290">
        <v>19.809093646491998</v>
      </c>
      <c r="E3290">
        <v>0.15572001023898999</v>
      </c>
      <c r="F3290">
        <v>64</v>
      </c>
    </row>
    <row r="3291" spans="1:9" x14ac:dyDescent="0.25">
      <c r="A3291">
        <v>2915.6859012493001</v>
      </c>
      <c r="B3291">
        <v>2963.5157644258002</v>
      </c>
      <c r="C3291" s="1">
        <f t="shared" si="969"/>
        <v>1.6404326390577983E-2</v>
      </c>
      <c r="D3291">
        <v>19.524841915086</v>
      </c>
      <c r="E3291">
        <v>0.15264449421687001</v>
      </c>
      <c r="F3291">
        <v>59</v>
      </c>
    </row>
    <row r="3292" spans="1:9" x14ac:dyDescent="0.25">
      <c r="A3292">
        <v>2917.8340273647</v>
      </c>
      <c r="B3292">
        <v>2954.9428911361001</v>
      </c>
      <c r="C3292" s="1">
        <f t="shared" si="969"/>
        <v>1.2717948801534762E-2</v>
      </c>
      <c r="D3292">
        <v>20.187895212285</v>
      </c>
      <c r="E3292">
        <v>0.15846003797517999</v>
      </c>
      <c r="F3292">
        <v>60</v>
      </c>
      <c r="H3292" t="s">
        <v>17</v>
      </c>
      <c r="I3292">
        <f t="shared" ref="I3292" si="976">STDEVP(A3278:A3297)</f>
        <v>7.8968704171763191</v>
      </c>
    </row>
    <row r="3293" spans="1:9" x14ac:dyDescent="0.25">
      <c r="A3293">
        <v>2916.2623438430001</v>
      </c>
      <c r="B3293">
        <v>2962.3450327185001</v>
      </c>
      <c r="C3293" s="1">
        <f t="shared" si="969"/>
        <v>1.5801969590559128E-2</v>
      </c>
      <c r="D3293">
        <v>19.64167419452</v>
      </c>
      <c r="E3293">
        <v>0.15360108820233001</v>
      </c>
      <c r="F3293">
        <v>60</v>
      </c>
      <c r="H3293" t="s">
        <v>18</v>
      </c>
      <c r="I3293">
        <f t="shared" ref="I3293" si="977">STDEVP(B3278:B3297)</f>
        <v>7.9103788853830705</v>
      </c>
    </row>
    <row r="3294" spans="1:9" x14ac:dyDescent="0.25">
      <c r="A3294">
        <v>2926.6799524092999</v>
      </c>
      <c r="B3294">
        <v>2974.9101725162</v>
      </c>
      <c r="C3294" s="1">
        <f t="shared" si="969"/>
        <v>1.6479499258945651E-2</v>
      </c>
      <c r="D3294">
        <v>19.931948208371001</v>
      </c>
      <c r="E3294">
        <v>0.15562731153883999</v>
      </c>
      <c r="F3294">
        <v>60</v>
      </c>
      <c r="H3294" t="s">
        <v>19</v>
      </c>
      <c r="I3294">
        <f t="shared" ref="I3294" si="978">STDEVP(C3278:C3297)</f>
        <v>1.8560273950996172E-3</v>
      </c>
    </row>
    <row r="3295" spans="1:9" x14ac:dyDescent="0.25">
      <c r="A3295">
        <v>2927.7400356930002</v>
      </c>
      <c r="B3295">
        <v>2972.6674598452</v>
      </c>
      <c r="C3295" s="1">
        <f t="shared" si="969"/>
        <v>1.5345428079158507E-2</v>
      </c>
      <c r="D3295">
        <v>19.884372177054999</v>
      </c>
      <c r="E3295">
        <v>0.15508689337682</v>
      </c>
      <c r="F3295">
        <v>59</v>
      </c>
      <c r="H3295" t="s">
        <v>20</v>
      </c>
      <c r="I3295">
        <f t="shared" ref="I3295" si="979">STDEVP(D3278:D3297)</f>
        <v>0.17572676542067403</v>
      </c>
    </row>
    <row r="3296" spans="1:9" x14ac:dyDescent="0.25">
      <c r="A3296">
        <v>2913.6139202856002</v>
      </c>
      <c r="B3296">
        <v>2970.1136228434002</v>
      </c>
      <c r="C3296" s="1">
        <f t="shared" si="969"/>
        <v>1.9391622947855014E-2</v>
      </c>
      <c r="D3296">
        <v>19.892803372477999</v>
      </c>
      <c r="E3296">
        <v>0.15606204046014999</v>
      </c>
      <c r="F3296">
        <v>63</v>
      </c>
      <c r="H3296" t="s">
        <v>21</v>
      </c>
      <c r="I3296">
        <f t="shared" ref="I3296" si="980">STDEVP(E3278:E3297)</f>
        <v>1.5928584841488113E-3</v>
      </c>
    </row>
    <row r="3297" spans="1:9" x14ac:dyDescent="0.25">
      <c r="A3297">
        <v>2935.3057703748</v>
      </c>
      <c r="B3297">
        <v>2979.1921475311001</v>
      </c>
      <c r="C3297" s="1">
        <f t="shared" si="969"/>
        <v>1.4951211420368038E-2</v>
      </c>
      <c r="D3297">
        <v>20.047576031316002</v>
      </c>
      <c r="E3297">
        <v>0.15610574574544001</v>
      </c>
      <c r="F3297">
        <v>62</v>
      </c>
      <c r="H3297" t="s">
        <v>22</v>
      </c>
      <c r="I3297">
        <f t="shared" ref="I3297" si="981">STDEVP(F3278:F3297)</f>
        <v>1.8513508581573619</v>
      </c>
    </row>
    <row r="3298" spans="1:9" x14ac:dyDescent="0.25">
      <c r="C3298" s="1" t="str">
        <f t="shared" si="969"/>
        <v/>
      </c>
    </row>
    <row r="3299" spans="1:9" x14ac:dyDescent="0.25">
      <c r="A3299">
        <v>1359</v>
      </c>
      <c r="B3299">
        <v>1416.5</v>
      </c>
      <c r="C3299" s="1">
        <f t="shared" si="969"/>
        <v>4.2310522442972731E-2</v>
      </c>
      <c r="D3299">
        <v>10.652631578947</v>
      </c>
      <c r="E3299">
        <v>0.17509425441098</v>
      </c>
      <c r="F3299">
        <v>20</v>
      </c>
    </row>
    <row r="3300" spans="1:9" x14ac:dyDescent="0.25">
      <c r="A3300">
        <v>1379.8</v>
      </c>
      <c r="B3300">
        <v>1417.5</v>
      </c>
      <c r="C3300" s="1">
        <f t="shared" si="969"/>
        <v>2.7322800405855885E-2</v>
      </c>
      <c r="D3300">
        <v>10.705263157895001</v>
      </c>
      <c r="E3300">
        <v>0.17313347641096999</v>
      </c>
      <c r="F3300">
        <v>20</v>
      </c>
    </row>
    <row r="3301" spans="1:9" x14ac:dyDescent="0.25">
      <c r="A3301">
        <v>1366.5</v>
      </c>
      <c r="B3301">
        <v>1405.6</v>
      </c>
      <c r="C3301" s="1">
        <f t="shared" si="969"/>
        <v>2.8613245517745911E-2</v>
      </c>
      <c r="D3301">
        <v>10.663157894736999</v>
      </c>
      <c r="E3301">
        <v>0.17420139882874999</v>
      </c>
      <c r="F3301">
        <v>20</v>
      </c>
    </row>
    <row r="3302" spans="1:9" x14ac:dyDescent="0.25">
      <c r="A3302">
        <v>1370.3</v>
      </c>
      <c r="B3302">
        <v>1406.9</v>
      </c>
      <c r="C3302" s="1">
        <f t="shared" si="969"/>
        <v>2.6709479675983472E-2</v>
      </c>
      <c r="D3302">
        <v>10.505263157895</v>
      </c>
      <c r="E3302">
        <v>0.17061273237583999</v>
      </c>
      <c r="F3302">
        <v>19</v>
      </c>
    </row>
    <row r="3303" spans="1:9" x14ac:dyDescent="0.25">
      <c r="A3303">
        <v>1386.5</v>
      </c>
      <c r="B3303">
        <v>1414.6</v>
      </c>
      <c r="C3303" s="1">
        <f t="shared" si="969"/>
        <v>2.026685899747549E-2</v>
      </c>
      <c r="D3303">
        <v>10.957894736842</v>
      </c>
      <c r="E3303">
        <v>0.17685735299979999</v>
      </c>
      <c r="F3303">
        <v>20</v>
      </c>
    </row>
    <row r="3304" spans="1:9" x14ac:dyDescent="0.25">
      <c r="A3304">
        <v>1380.1</v>
      </c>
      <c r="B3304">
        <v>1415.6</v>
      </c>
      <c r="C3304" s="1">
        <f t="shared" si="969"/>
        <v>2.5722773712049785E-2</v>
      </c>
      <c r="D3304">
        <v>10.589473684211001</v>
      </c>
      <c r="E3304">
        <v>0.17085575069441</v>
      </c>
      <c r="F3304">
        <v>20</v>
      </c>
    </row>
    <row r="3305" spans="1:9" x14ac:dyDescent="0.25">
      <c r="A3305">
        <v>1380.6</v>
      </c>
      <c r="B3305">
        <v>1427.4</v>
      </c>
      <c r="C3305" s="1">
        <f t="shared" si="969"/>
        <v>3.3898305084745894E-2</v>
      </c>
      <c r="D3305">
        <v>11.157894736842</v>
      </c>
      <c r="E3305">
        <v>0.18145171175017999</v>
      </c>
      <c r="F3305">
        <v>20</v>
      </c>
    </row>
    <row r="3306" spans="1:9" x14ac:dyDescent="0.25">
      <c r="A3306">
        <v>1383.9</v>
      </c>
      <c r="B3306">
        <v>1426.8</v>
      </c>
      <c r="C3306" s="1">
        <f t="shared" si="969"/>
        <v>3.099934966399287E-2</v>
      </c>
      <c r="D3306">
        <v>11.021052631579</v>
      </c>
      <c r="E3306">
        <v>0.17856970285797</v>
      </c>
      <c r="F3306">
        <v>20</v>
      </c>
    </row>
    <row r="3307" spans="1:9" x14ac:dyDescent="0.25">
      <c r="A3307">
        <v>1377.9</v>
      </c>
      <c r="B3307">
        <v>1420.5</v>
      </c>
      <c r="C3307" s="1">
        <f t="shared" si="969"/>
        <v>3.0916612236011165E-2</v>
      </c>
      <c r="D3307">
        <v>11.052631578947</v>
      </c>
      <c r="E3307">
        <v>0.17988422357898001</v>
      </c>
      <c r="F3307">
        <v>20</v>
      </c>
    </row>
    <row r="3308" spans="1:9" x14ac:dyDescent="0.25">
      <c r="A3308">
        <v>1388.8</v>
      </c>
      <c r="B3308">
        <v>1427.3</v>
      </c>
      <c r="C3308" s="1">
        <f t="shared" si="969"/>
        <v>2.7721774193548487E-2</v>
      </c>
      <c r="D3308">
        <v>10.863157894737</v>
      </c>
      <c r="E3308">
        <v>0.17472153367441001</v>
      </c>
      <c r="F3308">
        <v>21</v>
      </c>
    </row>
    <row r="3309" spans="1:9" x14ac:dyDescent="0.25">
      <c r="A3309">
        <v>1378.9</v>
      </c>
      <c r="B3309">
        <v>1415.3</v>
      </c>
      <c r="C3309" s="1">
        <f t="shared" si="969"/>
        <v>2.6397853361374901E-2</v>
      </c>
      <c r="D3309">
        <v>11.042105263158</v>
      </c>
      <c r="E3309">
        <v>0.17980887139384999</v>
      </c>
      <c r="F3309">
        <v>20</v>
      </c>
    </row>
    <row r="3310" spans="1:9" x14ac:dyDescent="0.25">
      <c r="A3310">
        <v>1373.3</v>
      </c>
      <c r="B3310">
        <v>1419</v>
      </c>
      <c r="C3310" s="1">
        <f t="shared" si="969"/>
        <v>3.3277506735600371E-2</v>
      </c>
      <c r="D3310">
        <v>10.821052631579001</v>
      </c>
      <c r="E3310">
        <v>0.17636233283823999</v>
      </c>
      <c r="F3310">
        <v>19</v>
      </c>
    </row>
    <row r="3311" spans="1:9" x14ac:dyDescent="0.25">
      <c r="A3311">
        <v>1341.4</v>
      </c>
      <c r="B3311">
        <v>1420.4</v>
      </c>
      <c r="C3311" s="1">
        <f t="shared" si="969"/>
        <v>5.8893693156403693E-2</v>
      </c>
      <c r="D3311">
        <v>10.126315789474001</v>
      </c>
      <c r="E3311">
        <v>0.16743486344493</v>
      </c>
      <c r="F3311">
        <v>20</v>
      </c>
    </row>
    <row r="3312" spans="1:9" x14ac:dyDescent="0.25">
      <c r="A3312">
        <v>1386.2</v>
      </c>
      <c r="B3312">
        <v>1421.5</v>
      </c>
      <c r="C3312" s="1">
        <f t="shared" si="969"/>
        <v>2.5465300822392178E-2</v>
      </c>
      <c r="D3312">
        <v>11.105263157894999</v>
      </c>
      <c r="E3312">
        <v>0.17972654072819999</v>
      </c>
      <c r="F3312">
        <v>20</v>
      </c>
    </row>
    <row r="3313" spans="1:9" x14ac:dyDescent="0.25">
      <c r="A3313">
        <v>1352</v>
      </c>
      <c r="B3313">
        <v>1410.3</v>
      </c>
      <c r="C3313" s="1">
        <f t="shared" si="969"/>
        <v>4.3121301775147947E-2</v>
      </c>
      <c r="D3313">
        <v>10.378947368421001</v>
      </c>
      <c r="E3313">
        <v>0.17089191589641001</v>
      </c>
      <c r="F3313">
        <v>21</v>
      </c>
      <c r="H3313" t="s">
        <v>17</v>
      </c>
      <c r="I3313">
        <f t="shared" ref="I3313" si="982">STDEVP(A3299:A3318)</f>
        <v>11.766452311550832</v>
      </c>
    </row>
    <row r="3314" spans="1:9" x14ac:dyDescent="0.25">
      <c r="A3314">
        <v>1381.9</v>
      </c>
      <c r="B3314">
        <v>1411</v>
      </c>
      <c r="C3314" s="1">
        <f t="shared" si="969"/>
        <v>2.1057963673203561E-2</v>
      </c>
      <c r="D3314">
        <v>11.147368421053001</v>
      </c>
      <c r="E3314">
        <v>0.18118646624738999</v>
      </c>
      <c r="F3314">
        <v>20</v>
      </c>
      <c r="H3314" t="s">
        <v>18</v>
      </c>
      <c r="I3314">
        <f t="shared" ref="I3314" si="983">STDEVP(B3299:B3318)</f>
        <v>6.8849745823786437</v>
      </c>
    </row>
    <row r="3315" spans="1:9" x14ac:dyDescent="0.25">
      <c r="A3315">
        <v>1374</v>
      </c>
      <c r="B3315">
        <v>1424.8</v>
      </c>
      <c r="C3315" s="1">
        <f t="shared" si="969"/>
        <v>3.6972343522561735E-2</v>
      </c>
      <c r="D3315">
        <v>10.852631578946999</v>
      </c>
      <c r="E3315">
        <v>0.17675997921245001</v>
      </c>
      <c r="F3315">
        <v>21</v>
      </c>
      <c r="H3315" t="s">
        <v>19</v>
      </c>
      <c r="I3315">
        <f t="shared" ref="I3315" si="984">STDEVP(C3299:C3318)</f>
        <v>8.6078996322326278E-3</v>
      </c>
    </row>
    <row r="3316" spans="1:9" x14ac:dyDescent="0.25">
      <c r="A3316">
        <v>1380.9</v>
      </c>
      <c r="B3316">
        <v>1419.6</v>
      </c>
      <c r="C3316" s="1">
        <f t="shared" si="969"/>
        <v>2.8025200955898111E-2</v>
      </c>
      <c r="D3316">
        <v>10.968421052631999</v>
      </c>
      <c r="E3316">
        <v>0.17797799174105</v>
      </c>
      <c r="F3316">
        <v>20</v>
      </c>
      <c r="H3316" t="s">
        <v>20</v>
      </c>
      <c r="I3316">
        <f t="shared" ref="I3316" si="985">STDEVP(D3299:D3318)</f>
        <v>0.28698210007204494</v>
      </c>
    </row>
    <row r="3317" spans="1:9" x14ac:dyDescent="0.25">
      <c r="A3317">
        <v>1381.4</v>
      </c>
      <c r="B3317">
        <v>1432.6</v>
      </c>
      <c r="C3317" s="1">
        <f t="shared" si="969"/>
        <v>3.706384826987108E-2</v>
      </c>
      <c r="D3317">
        <v>11.2</v>
      </c>
      <c r="E3317">
        <v>0.18214181728449999</v>
      </c>
      <c r="F3317">
        <v>20</v>
      </c>
      <c r="H3317" t="s">
        <v>21</v>
      </c>
      <c r="I3317">
        <f t="shared" ref="I3317" si="986">STDEVP(E3299:E3318)</f>
        <v>4.284971789366987E-3</v>
      </c>
    </row>
    <row r="3318" spans="1:9" x14ac:dyDescent="0.25">
      <c r="A3318">
        <v>1373.4</v>
      </c>
      <c r="B3318">
        <v>1420.3</v>
      </c>
      <c r="C3318" s="1">
        <f t="shared" si="969"/>
        <v>3.4148827726809383E-2</v>
      </c>
      <c r="D3318">
        <v>11.189473684211</v>
      </c>
      <c r="E3318">
        <v>0.18339702543308001</v>
      </c>
      <c r="F3318">
        <v>19</v>
      </c>
      <c r="H3318" t="s">
        <v>22</v>
      </c>
      <c r="I3318">
        <f t="shared" ref="I3318" si="987">STDEVP(F3299:F3318)</f>
        <v>0.54772255750516607</v>
      </c>
    </row>
    <row r="3319" spans="1:9" x14ac:dyDescent="0.25">
      <c r="C3319" s="1" t="str">
        <f t="shared" si="969"/>
        <v/>
      </c>
    </row>
    <row r="3320" spans="1:9" x14ac:dyDescent="0.25">
      <c r="A3320">
        <v>1012.6320022982</v>
      </c>
      <c r="B3320">
        <v>1049.0347601264</v>
      </c>
      <c r="C3320" s="1">
        <f t="shared" si="969"/>
        <v>3.594865434391048E-2</v>
      </c>
      <c r="D3320">
        <v>15.445938047925001</v>
      </c>
      <c r="E3320">
        <v>0.43013176719112001</v>
      </c>
      <c r="F3320">
        <v>20</v>
      </c>
    </row>
    <row r="3321" spans="1:9" x14ac:dyDescent="0.25">
      <c r="A3321">
        <v>1012.7917265154</v>
      </c>
      <c r="B3321">
        <v>1044.0557311117</v>
      </c>
      <c r="C3321" s="1">
        <f t="shared" si="969"/>
        <v>3.0869135062809638E-2</v>
      </c>
      <c r="D3321">
        <v>15.381648158971</v>
      </c>
      <c r="E3321">
        <v>0.42797965947820998</v>
      </c>
      <c r="F3321">
        <v>22</v>
      </c>
    </row>
    <row r="3322" spans="1:9" x14ac:dyDescent="0.25">
      <c r="A3322">
        <v>1004.8721631715</v>
      </c>
      <c r="B3322">
        <v>1055.4018960069</v>
      </c>
      <c r="C3322" s="1">
        <f t="shared" si="969"/>
        <v>5.0284737389800771E-2</v>
      </c>
      <c r="D3322">
        <v>14.868497954413</v>
      </c>
      <c r="E3322">
        <v>0.41159737058292001</v>
      </c>
      <c r="F3322">
        <v>20</v>
      </c>
    </row>
    <row r="3323" spans="1:9" x14ac:dyDescent="0.25">
      <c r="A3323">
        <v>1006.3889686872</v>
      </c>
      <c r="B3323">
        <v>1050.4435507037999</v>
      </c>
      <c r="C3323" s="1">
        <f t="shared" si="969"/>
        <v>4.3774905515973295E-2</v>
      </c>
      <c r="D3323">
        <v>15.014611338399</v>
      </c>
      <c r="E3323">
        <v>0.41641743860387997</v>
      </c>
      <c r="F3323">
        <v>21</v>
      </c>
    </row>
    <row r="3324" spans="1:9" x14ac:dyDescent="0.25">
      <c r="A3324">
        <v>1017.4122378627</v>
      </c>
      <c r="B3324">
        <v>1053.7408790577001</v>
      </c>
      <c r="C3324" s="1">
        <f t="shared" si="969"/>
        <v>3.5706904087684732E-2</v>
      </c>
      <c r="D3324">
        <v>15.275277615429999</v>
      </c>
      <c r="E3324">
        <v>0.41965274457319002</v>
      </c>
      <c r="F3324">
        <v>21</v>
      </c>
    </row>
    <row r="3325" spans="1:9" x14ac:dyDescent="0.25">
      <c r="A3325">
        <v>1000.9451307096</v>
      </c>
      <c r="B3325">
        <v>1045.2967538063999</v>
      </c>
      <c r="C3325" s="1">
        <f t="shared" si="969"/>
        <v>4.430974459644732E-2</v>
      </c>
      <c r="D3325">
        <v>14.987726475744999</v>
      </c>
      <c r="E3325">
        <v>0.41881048022876999</v>
      </c>
      <c r="F3325">
        <v>21</v>
      </c>
    </row>
    <row r="3326" spans="1:9" x14ac:dyDescent="0.25">
      <c r="A3326">
        <v>1014.9480034473</v>
      </c>
      <c r="B3326">
        <v>1048.5216891698001</v>
      </c>
      <c r="C3326" s="1">
        <f t="shared" si="969"/>
        <v>3.3079217465787458E-2</v>
      </c>
      <c r="D3326">
        <v>15.444769140852999</v>
      </c>
      <c r="E3326">
        <v>0.42906926483447</v>
      </c>
      <c r="F3326">
        <v>21</v>
      </c>
    </row>
    <row r="3327" spans="1:9" x14ac:dyDescent="0.25">
      <c r="A3327">
        <v>1009.7615627693</v>
      </c>
      <c r="B3327">
        <v>1047.0640620511001</v>
      </c>
      <c r="C3327" s="1">
        <f t="shared" si="969"/>
        <v>3.6941888716279569E-2</v>
      </c>
      <c r="D3327">
        <v>15.513734658095</v>
      </c>
      <c r="E3327">
        <v>0.43449123687520003</v>
      </c>
      <c r="F3327">
        <v>21</v>
      </c>
    </row>
    <row r="3328" spans="1:9" x14ac:dyDescent="0.25">
      <c r="A3328">
        <v>1011.0537201953</v>
      </c>
      <c r="B3328">
        <v>1039.1749497271001</v>
      </c>
      <c r="C3328" s="1">
        <f t="shared" si="969"/>
        <v>2.7813783748669607E-2</v>
      </c>
      <c r="D3328">
        <v>15.353594389246</v>
      </c>
      <c r="E3328">
        <v>0.42666656745055997</v>
      </c>
      <c r="F3328">
        <v>21</v>
      </c>
    </row>
    <row r="3329" spans="1:9" x14ac:dyDescent="0.25">
      <c r="A3329">
        <v>1001.4966963516</v>
      </c>
      <c r="B3329">
        <v>1039.8351048549</v>
      </c>
      <c r="C3329" s="1">
        <f t="shared" si="969"/>
        <v>3.828111330068773E-2</v>
      </c>
      <c r="D3329">
        <v>15.153711279953001</v>
      </c>
      <c r="E3329">
        <v>0.42568729324061999</v>
      </c>
      <c r="F3329">
        <v>21</v>
      </c>
    </row>
    <row r="3330" spans="1:9" x14ac:dyDescent="0.25">
      <c r="A3330">
        <v>1016.2993392703</v>
      </c>
      <c r="B3330">
        <v>1051.4472852629001</v>
      </c>
      <c r="C3330" s="1">
        <f t="shared" ref="C3330:C3393" si="988">IFERROR((B3330/A3330)-1,"")</f>
        <v>3.4584245639514233E-2</v>
      </c>
      <c r="D3330">
        <v>15.499707773232</v>
      </c>
      <c r="E3330">
        <v>0.42976846956689002</v>
      </c>
      <c r="F3330">
        <v>20</v>
      </c>
    </row>
    <row r="3331" spans="1:9" x14ac:dyDescent="0.25">
      <c r="A3331">
        <v>1002.8457339845</v>
      </c>
      <c r="B3331">
        <v>1042.5446710715</v>
      </c>
      <c r="C3331" s="1">
        <f t="shared" si="988"/>
        <v>3.9586285050312142E-2</v>
      </c>
      <c r="D3331">
        <v>15.270601987141999</v>
      </c>
      <c r="E3331">
        <v>0.42910932159123</v>
      </c>
      <c r="F3331">
        <v>22</v>
      </c>
    </row>
    <row r="3332" spans="1:9" x14ac:dyDescent="0.25">
      <c r="A3332">
        <v>1002.5601838552</v>
      </c>
      <c r="B3332">
        <v>1035.2237862683</v>
      </c>
      <c r="C3332" s="1">
        <f t="shared" si="988"/>
        <v>3.2580191133760206E-2</v>
      </c>
      <c r="D3332">
        <v>15.261250730566999</v>
      </c>
      <c r="E3332">
        <v>0.42848872856082998</v>
      </c>
      <c r="F3332">
        <v>21</v>
      </c>
    </row>
    <row r="3333" spans="1:9" x14ac:dyDescent="0.25">
      <c r="A3333">
        <v>1002.9864981327</v>
      </c>
      <c r="B3333">
        <v>1040.615914967</v>
      </c>
      <c r="C3333" s="1">
        <f t="shared" si="988"/>
        <v>3.7517371275043176E-2</v>
      </c>
      <c r="D3333">
        <v>14.907071887784999</v>
      </c>
      <c r="E3333">
        <v>0.41407387617094998</v>
      </c>
      <c r="F3333">
        <v>20</v>
      </c>
    </row>
    <row r="3334" spans="1:9" x14ac:dyDescent="0.25">
      <c r="A3334">
        <v>1007.0864694053</v>
      </c>
      <c r="B3334">
        <v>1044.7963228957001</v>
      </c>
      <c r="C3334" s="1">
        <f t="shared" si="988"/>
        <v>3.7444504157292835E-2</v>
      </c>
      <c r="D3334">
        <v>15.281122150789001</v>
      </c>
      <c r="E3334">
        <v>0.42715040742678001</v>
      </c>
      <c r="F3334">
        <v>21</v>
      </c>
      <c r="H3334" t="s">
        <v>17</v>
      </c>
      <c r="I3334">
        <f t="shared" ref="I3334" si="989">STDEVP(A3320:A3339)</f>
        <v>5.1695939496819516</v>
      </c>
    </row>
    <row r="3335" spans="1:9" x14ac:dyDescent="0.25">
      <c r="A3335">
        <v>1013.0135018673</v>
      </c>
      <c r="B3335">
        <v>1042.2286699224001</v>
      </c>
      <c r="C3335" s="1">
        <f t="shared" si="988"/>
        <v>2.8839860476930879E-2</v>
      </c>
      <c r="D3335">
        <v>15.437755698422</v>
      </c>
      <c r="E3335">
        <v>0.42958501468343002</v>
      </c>
      <c r="F3335">
        <v>21</v>
      </c>
      <c r="H3335" t="s">
        <v>18</v>
      </c>
      <c r="I3335">
        <f t="shared" ref="I3335" si="990">STDEVP(B3320:B3339)</f>
        <v>5.251947338103192</v>
      </c>
    </row>
    <row r="3336" spans="1:9" x14ac:dyDescent="0.25">
      <c r="A3336">
        <v>1008.8543521976</v>
      </c>
      <c r="B3336">
        <v>1052.9899454179999</v>
      </c>
      <c r="C3336" s="1">
        <f t="shared" si="988"/>
        <v>4.3748230975322544E-2</v>
      </c>
      <c r="D3336">
        <v>15.400350672122</v>
      </c>
      <c r="E3336">
        <v>0.43045532078819998</v>
      </c>
      <c r="F3336">
        <v>21</v>
      </c>
      <c r="H3336" t="s">
        <v>19</v>
      </c>
      <c r="I3336">
        <f t="shared" ref="I3336" si="991">STDEVP(C3320:C3339)</f>
        <v>5.5905150156114218E-3</v>
      </c>
    </row>
    <row r="3337" spans="1:9" x14ac:dyDescent="0.25">
      <c r="A3337">
        <v>1005.0284401034</v>
      </c>
      <c r="B3337">
        <v>1048.4412525135999</v>
      </c>
      <c r="C3337" s="1">
        <f t="shared" si="988"/>
        <v>4.3195605893235678E-2</v>
      </c>
      <c r="D3337">
        <v>15.276446522501001</v>
      </c>
      <c r="E3337">
        <v>0.42747223751763003</v>
      </c>
      <c r="F3337">
        <v>21</v>
      </c>
      <c r="H3337" t="s">
        <v>20</v>
      </c>
      <c r="I3337">
        <f t="shared" ref="I3337" si="992">STDEVP(D3320:D3339)</f>
        <v>0.21077718577575516</v>
      </c>
    </row>
    <row r="3338" spans="1:9" x14ac:dyDescent="0.25">
      <c r="A3338">
        <v>1015.1048549267</v>
      </c>
      <c r="B3338">
        <v>1047.6702097098</v>
      </c>
      <c r="C3338" s="1">
        <f t="shared" si="988"/>
        <v>3.2080779266346449E-2</v>
      </c>
      <c r="D3338">
        <v>14.85447106955</v>
      </c>
      <c r="E3338">
        <v>0.40579996212316999</v>
      </c>
      <c r="F3338">
        <v>21</v>
      </c>
      <c r="H3338" t="s">
        <v>21</v>
      </c>
      <c r="I3338">
        <f t="shared" ref="I3338" si="993">STDEVP(E3320:E3339)</f>
        <v>7.5649100670255294E-3</v>
      </c>
    </row>
    <row r="3339" spans="1:9" x14ac:dyDescent="0.25">
      <c r="A3339">
        <v>1012.0810112037</v>
      </c>
      <c r="B3339">
        <v>1050.7227808100999</v>
      </c>
      <c r="C3339" s="1">
        <f t="shared" si="988"/>
        <v>3.8180510432106685E-2</v>
      </c>
      <c r="D3339">
        <v>15.040327293980001</v>
      </c>
      <c r="E3339">
        <v>0.41480793192533</v>
      </c>
      <c r="F3339">
        <v>21</v>
      </c>
      <c r="H3339" t="s">
        <v>22</v>
      </c>
      <c r="I3339">
        <f t="shared" ref="I3339" si="994">STDEVP(F3320:F3339)</f>
        <v>0.53851648071345048</v>
      </c>
    </row>
    <row r="3340" spans="1:9" x14ac:dyDescent="0.25">
      <c r="C3340" s="1" t="str">
        <f t="shared" si="988"/>
        <v/>
      </c>
    </row>
    <row r="3341" spans="1:9" x14ac:dyDescent="0.25">
      <c r="A3341">
        <v>3097.4377546401001</v>
      </c>
      <c r="B3341">
        <v>3156.6817564510002</v>
      </c>
      <c r="C3341" s="1">
        <f t="shared" si="988"/>
        <v>1.9126777195812794E-2</v>
      </c>
      <c r="D3341">
        <v>20.238667900092999</v>
      </c>
      <c r="E3341">
        <v>0.14677850482367</v>
      </c>
      <c r="F3341">
        <v>34</v>
      </c>
    </row>
    <row r="3342" spans="1:9" x14ac:dyDescent="0.25">
      <c r="A3342">
        <v>3092.4952467180001</v>
      </c>
      <c r="B3342">
        <v>3184.7243096425</v>
      </c>
      <c r="C3342" s="1">
        <f t="shared" si="988"/>
        <v>2.9823510002927378E-2</v>
      </c>
      <c r="D3342">
        <v>20.414431082330999</v>
      </c>
      <c r="E3342">
        <v>0.14855676801253001</v>
      </c>
      <c r="F3342">
        <v>34</v>
      </c>
    </row>
    <row r="3343" spans="1:9" x14ac:dyDescent="0.25">
      <c r="A3343">
        <v>3122.0144861928002</v>
      </c>
      <c r="B3343">
        <v>3199.2630149390002</v>
      </c>
      <c r="C3343" s="1">
        <f t="shared" si="988"/>
        <v>2.4743167941031041E-2</v>
      </c>
      <c r="D3343">
        <v>20.244218316373999</v>
      </c>
      <c r="E3343">
        <v>0.14552425354967999</v>
      </c>
      <c r="F3343">
        <v>35</v>
      </c>
    </row>
    <row r="3344" spans="1:9" x14ac:dyDescent="0.25">
      <c r="A3344">
        <v>3106.6274332276998</v>
      </c>
      <c r="B3344">
        <v>3181.4884563152</v>
      </c>
      <c r="C3344" s="1">
        <f t="shared" si="988"/>
        <v>2.4097200162081167E-2</v>
      </c>
      <c r="D3344">
        <v>19.990749306198001</v>
      </c>
      <c r="E3344">
        <v>0.14422204197267</v>
      </c>
      <c r="F3344">
        <v>35</v>
      </c>
    </row>
    <row r="3345" spans="1:9" x14ac:dyDescent="0.25">
      <c r="A3345">
        <v>3105.6016296967</v>
      </c>
      <c r="B3345">
        <v>3171.7754640110002</v>
      </c>
      <c r="C3345" s="1">
        <f t="shared" si="988"/>
        <v>2.130789528235888E-2</v>
      </c>
      <c r="D3345">
        <v>20.762257169287999</v>
      </c>
      <c r="E3345">
        <v>0.15065843884076999</v>
      </c>
      <c r="F3345">
        <v>34</v>
      </c>
    </row>
    <row r="3346" spans="1:9" x14ac:dyDescent="0.25">
      <c r="A3346">
        <v>3101.2657310999998</v>
      </c>
      <c r="B3346">
        <v>3182.6446355817998</v>
      </c>
      <c r="C3346" s="1">
        <f t="shared" si="988"/>
        <v>2.6240545486224898E-2</v>
      </c>
      <c r="D3346">
        <v>20.599444958372001</v>
      </c>
      <c r="E3346">
        <v>0.14955957576834</v>
      </c>
      <c r="F3346">
        <v>35</v>
      </c>
    </row>
    <row r="3347" spans="1:9" x14ac:dyDescent="0.25">
      <c r="A3347">
        <v>3113.4114984155999</v>
      </c>
      <c r="B3347">
        <v>3189.1416930739001</v>
      </c>
      <c r="C3347" s="1">
        <f t="shared" si="988"/>
        <v>2.4323862970519361E-2</v>
      </c>
      <c r="D3347">
        <v>20.382978723404001</v>
      </c>
      <c r="E3347">
        <v>0.14712862396326001</v>
      </c>
      <c r="F3347">
        <v>35</v>
      </c>
    </row>
    <row r="3348" spans="1:9" x14ac:dyDescent="0.25">
      <c r="A3348">
        <v>3115.3064735173998</v>
      </c>
      <c r="B3348">
        <v>3195.4033499321999</v>
      </c>
      <c r="C3348" s="1">
        <f t="shared" si="988"/>
        <v>2.5710753370715711E-2</v>
      </c>
      <c r="D3348">
        <v>20.612395929695001</v>
      </c>
      <c r="E3348">
        <v>0.14889507081754999</v>
      </c>
      <c r="F3348">
        <v>34</v>
      </c>
    </row>
    <row r="3349" spans="1:9" x14ac:dyDescent="0.25">
      <c r="A3349">
        <v>3110.4925305567999</v>
      </c>
      <c r="B3349">
        <v>3171.8515165233998</v>
      </c>
      <c r="C3349" s="1">
        <f t="shared" si="988"/>
        <v>1.9726453403704491E-2</v>
      </c>
      <c r="D3349">
        <v>20.216466234967999</v>
      </c>
      <c r="E3349">
        <v>0.14586964154359999</v>
      </c>
      <c r="F3349">
        <v>35</v>
      </c>
    </row>
    <row r="3350" spans="1:9" x14ac:dyDescent="0.25">
      <c r="A3350">
        <v>3121.3019465821999</v>
      </c>
      <c r="B3350">
        <v>3204.0986871888999</v>
      </c>
      <c r="C3350" s="1">
        <f t="shared" si="988"/>
        <v>2.6526347666351757E-2</v>
      </c>
      <c r="D3350">
        <v>20.775208140610999</v>
      </c>
      <c r="E3350">
        <v>0.14993887431358999</v>
      </c>
      <c r="F3350">
        <v>34</v>
      </c>
    </row>
    <row r="3351" spans="1:9" x14ac:dyDescent="0.25">
      <c r="A3351">
        <v>3114.7632412856001</v>
      </c>
      <c r="B3351">
        <v>3179.4033499321999</v>
      </c>
      <c r="C3351" s="1">
        <f t="shared" si="988"/>
        <v>2.0752816069551372E-2</v>
      </c>
      <c r="D3351">
        <v>20.497687326548998</v>
      </c>
      <c r="E3351">
        <v>0.14801335901078999</v>
      </c>
      <c r="F3351">
        <v>35</v>
      </c>
    </row>
    <row r="3352" spans="1:9" x14ac:dyDescent="0.25">
      <c r="A3352">
        <v>3127.3155273880002</v>
      </c>
      <c r="B3352">
        <v>3197.8379357176</v>
      </c>
      <c r="C3352" s="1">
        <f t="shared" si="988"/>
        <v>2.2550461477899519E-2</v>
      </c>
      <c r="D3352">
        <v>20.634597594820001</v>
      </c>
      <c r="E3352">
        <v>0.14842599015335001</v>
      </c>
      <c r="F3352">
        <v>34</v>
      </c>
    </row>
    <row r="3353" spans="1:9" x14ac:dyDescent="0.25">
      <c r="A3353">
        <v>3110.2507922137002</v>
      </c>
      <c r="B3353">
        <v>3191.9384336805001</v>
      </c>
      <c r="C3353" s="1">
        <f t="shared" si="988"/>
        <v>2.6264004713478117E-2</v>
      </c>
      <c r="D3353">
        <v>20.336725254394</v>
      </c>
      <c r="E3353">
        <v>0.14689883243433999</v>
      </c>
      <c r="F3353">
        <v>35</v>
      </c>
    </row>
    <row r="3354" spans="1:9" x14ac:dyDescent="0.25">
      <c r="A3354">
        <v>3116.9470348574</v>
      </c>
      <c r="B3354">
        <v>3217.9827976461002</v>
      </c>
      <c r="C3354" s="1">
        <f t="shared" si="988"/>
        <v>3.2414975826922321E-2</v>
      </c>
      <c r="D3354">
        <v>20.791859389454</v>
      </c>
      <c r="E3354">
        <v>0.15029052246738001</v>
      </c>
      <c r="F3354">
        <v>34</v>
      </c>
    </row>
    <row r="3355" spans="1:9" x14ac:dyDescent="0.25">
      <c r="A3355">
        <v>3103.7691263014999</v>
      </c>
      <c r="B3355">
        <v>3181.1960162971</v>
      </c>
      <c r="C3355" s="1">
        <f t="shared" si="988"/>
        <v>2.4946085499556236E-2</v>
      </c>
      <c r="D3355">
        <v>20.564292321924</v>
      </c>
      <c r="E3355">
        <v>0.14913313490089999</v>
      </c>
      <c r="F3355">
        <v>35</v>
      </c>
      <c r="H3355" t="s">
        <v>17</v>
      </c>
      <c r="I3355">
        <f t="shared" ref="I3355" si="995">STDEVP(A3341:A3360)</f>
        <v>9.4900245434951565</v>
      </c>
    </row>
    <row r="3356" spans="1:9" x14ac:dyDescent="0.25">
      <c r="A3356">
        <v>3093.6831145315</v>
      </c>
      <c r="B3356">
        <v>3174.7985513807998</v>
      </c>
      <c r="C3356" s="1">
        <f t="shared" si="988"/>
        <v>2.621969796075363E-2</v>
      </c>
      <c r="D3356">
        <v>20.353376503238</v>
      </c>
      <c r="E3356">
        <v>0.14791037940134999</v>
      </c>
      <c r="F3356">
        <v>35</v>
      </c>
      <c r="H3356" t="s">
        <v>18</v>
      </c>
      <c r="I3356">
        <f t="shared" ref="I3356" si="996">STDEVP(B3341:B3360)</f>
        <v>12.995168336694116</v>
      </c>
    </row>
    <row r="3357" spans="1:9" x14ac:dyDescent="0.25">
      <c r="A3357">
        <v>3112.6573110005002</v>
      </c>
      <c r="B3357">
        <v>3190.0425531915998</v>
      </c>
      <c r="C3357" s="1">
        <f t="shared" si="988"/>
        <v>2.4861471874083607E-2</v>
      </c>
      <c r="D3357">
        <v>20.342275670675001</v>
      </c>
      <c r="E3357">
        <v>0.14677348517742</v>
      </c>
      <c r="F3357">
        <v>35</v>
      </c>
      <c r="H3357" t="s">
        <v>19</v>
      </c>
      <c r="I3357">
        <f t="shared" ref="I3357" si="997">STDEVP(C3341:C3360)</f>
        <v>3.1343150047503667E-3</v>
      </c>
    </row>
    <row r="3358" spans="1:9" x14ac:dyDescent="0.25">
      <c r="A3358">
        <v>3109.1226799456999</v>
      </c>
      <c r="B3358">
        <v>3183.3309189679999</v>
      </c>
      <c r="C3358" s="1">
        <f t="shared" si="988"/>
        <v>2.3867903155109893E-2</v>
      </c>
      <c r="D3358">
        <v>20.405180388529001</v>
      </c>
      <c r="E3358">
        <v>0.14750760605072</v>
      </c>
      <c r="F3358">
        <v>35</v>
      </c>
      <c r="H3358" t="s">
        <v>20</v>
      </c>
      <c r="I3358">
        <f t="shared" ref="I3358" si="998">STDEVP(D3341:D3360)</f>
        <v>0.20231172173080997</v>
      </c>
    </row>
    <row r="3359" spans="1:9" x14ac:dyDescent="0.25">
      <c r="A3359">
        <v>3118.8365776369001</v>
      </c>
      <c r="B3359">
        <v>3194.3033046628002</v>
      </c>
      <c r="C3359" s="1">
        <f t="shared" si="988"/>
        <v>2.4197076424914865E-2</v>
      </c>
      <c r="D3359">
        <v>20.451433857539001</v>
      </c>
      <c r="E3359">
        <v>0.14741176383936999</v>
      </c>
      <c r="F3359">
        <v>35</v>
      </c>
      <c r="H3359" t="s">
        <v>21</v>
      </c>
      <c r="I3359">
        <f t="shared" ref="I3359" si="999">STDEVP(E3341:E3360)</f>
        <v>1.600902672400458E-3</v>
      </c>
    </row>
    <row r="3360" spans="1:9" x14ac:dyDescent="0.25">
      <c r="A3360">
        <v>3123.0131281122999</v>
      </c>
      <c r="B3360">
        <v>3189.5989135355999</v>
      </c>
      <c r="C3360" s="1">
        <f t="shared" si="988"/>
        <v>2.1321007210606036E-2</v>
      </c>
      <c r="D3360">
        <v>20.536540240518001</v>
      </c>
      <c r="E3360">
        <v>0.14786921721721999</v>
      </c>
      <c r="F3360">
        <v>34</v>
      </c>
      <c r="H3360" t="s">
        <v>22</v>
      </c>
      <c r="I3360">
        <f t="shared" ref="I3360" si="1000">STDEVP(F3341:F3360)</f>
        <v>0.48989794855663565</v>
      </c>
    </row>
    <row r="3361" spans="1:9" x14ac:dyDescent="0.25">
      <c r="C3361" s="1" t="str">
        <f t="shared" si="988"/>
        <v/>
      </c>
    </row>
    <row r="3362" spans="1:9" x14ac:dyDescent="0.25">
      <c r="A3362">
        <v>886.51178451177998</v>
      </c>
      <c r="B3362">
        <v>907.32761963065002</v>
      </c>
      <c r="C3362" s="1">
        <f t="shared" si="988"/>
        <v>2.3480607345037985E-2</v>
      </c>
      <c r="D3362">
        <v>14.340136054422</v>
      </c>
      <c r="E3362">
        <v>0.47257248108838001</v>
      </c>
      <c r="F3362">
        <v>25</v>
      </c>
    </row>
    <row r="3363" spans="1:9" x14ac:dyDescent="0.25">
      <c r="A3363">
        <v>877.91857973675997</v>
      </c>
      <c r="B3363">
        <v>898.85623915926999</v>
      </c>
      <c r="C3363" s="1">
        <f t="shared" si="988"/>
        <v>2.3849204135522495E-2</v>
      </c>
      <c r="D3363">
        <v>14.098948670377</v>
      </c>
      <c r="E3363">
        <v>0.46765400665933998</v>
      </c>
      <c r="F3363">
        <v>25</v>
      </c>
    </row>
    <row r="3364" spans="1:9" x14ac:dyDescent="0.25">
      <c r="A3364">
        <v>879.50433629221004</v>
      </c>
      <c r="B3364">
        <v>898.55320885623996</v>
      </c>
      <c r="C3364" s="1">
        <f t="shared" si="988"/>
        <v>2.1658645418777267E-2</v>
      </c>
      <c r="D3364">
        <v>14.088229231086</v>
      </c>
      <c r="E3364">
        <v>0.46564840632324001</v>
      </c>
      <c r="F3364">
        <v>25</v>
      </c>
    </row>
    <row r="3365" spans="1:9" x14ac:dyDescent="0.25">
      <c r="A3365">
        <v>879.27946127945995</v>
      </c>
      <c r="B3365">
        <v>901.82348739924998</v>
      </c>
      <c r="C3365" s="1">
        <f t="shared" si="988"/>
        <v>2.5639204726772169E-2</v>
      </c>
      <c r="D3365">
        <v>14.340136054422</v>
      </c>
      <c r="E3365">
        <v>0.47867157241821001</v>
      </c>
      <c r="F3365">
        <v>26</v>
      </c>
    </row>
    <row r="3366" spans="1:9" x14ac:dyDescent="0.25">
      <c r="A3366">
        <v>886.48648097133002</v>
      </c>
      <c r="B3366">
        <v>903.65615753495001</v>
      </c>
      <c r="C3366" s="1">
        <f t="shared" si="988"/>
        <v>1.9368232829458432E-2</v>
      </c>
      <c r="D3366">
        <v>14.253143681715001</v>
      </c>
      <c r="E3366">
        <v>0.46841946767337</v>
      </c>
      <c r="F3366">
        <v>25</v>
      </c>
    </row>
    <row r="3367" spans="1:9" x14ac:dyDescent="0.25">
      <c r="A3367">
        <v>877.09417406387001</v>
      </c>
      <c r="B3367">
        <v>896.87031935516995</v>
      </c>
      <c r="C3367" s="1">
        <f t="shared" si="988"/>
        <v>2.2547345400403707E-2</v>
      </c>
      <c r="D3367">
        <v>14.098124098124</v>
      </c>
      <c r="E3367">
        <v>0.46824364687984998</v>
      </c>
      <c r="F3367">
        <v>25</v>
      </c>
    </row>
    <row r="3368" spans="1:9" x14ac:dyDescent="0.25">
      <c r="A3368">
        <v>876.18875624936004</v>
      </c>
      <c r="B3368">
        <v>897.17865523926002</v>
      </c>
      <c r="C3368" s="1">
        <f t="shared" si="988"/>
        <v>2.3955910002486203E-2</v>
      </c>
      <c r="D3368">
        <v>14.15749330035</v>
      </c>
      <c r="E3368">
        <v>0.47170472618690001</v>
      </c>
      <c r="F3368">
        <v>25</v>
      </c>
    </row>
    <row r="3369" spans="1:9" x14ac:dyDescent="0.25">
      <c r="A3369">
        <v>873.75471890622998</v>
      </c>
      <c r="B3369">
        <v>903.08397102337005</v>
      </c>
      <c r="C3369" s="1">
        <f t="shared" si="988"/>
        <v>3.3566916987703976E-2</v>
      </c>
      <c r="D3369">
        <v>14.230467944754</v>
      </c>
      <c r="E3369">
        <v>0.4783427905896</v>
      </c>
      <c r="F3369">
        <v>26</v>
      </c>
    </row>
    <row r="3370" spans="1:9" x14ac:dyDescent="0.25">
      <c r="A3370">
        <v>885.42189572491998</v>
      </c>
      <c r="B3370">
        <v>908.88378736864001</v>
      </c>
      <c r="C3370" s="1">
        <f t="shared" si="988"/>
        <v>2.6497979953964412E-2</v>
      </c>
      <c r="D3370">
        <v>14.202432488147</v>
      </c>
      <c r="E3370">
        <v>0.46731025955781003</v>
      </c>
      <c r="F3370">
        <v>25</v>
      </c>
    </row>
    <row r="3371" spans="1:9" x14ac:dyDescent="0.25">
      <c r="A3371">
        <v>877.46842158963</v>
      </c>
      <c r="B3371">
        <v>898.77808386899005</v>
      </c>
      <c r="C3371" s="1">
        <f t="shared" si="988"/>
        <v>2.4285389371340838E-2</v>
      </c>
      <c r="D3371">
        <v>14.192537621109</v>
      </c>
      <c r="E3371">
        <v>0.47304680614420003</v>
      </c>
      <c r="F3371">
        <v>25</v>
      </c>
    </row>
    <row r="3372" spans="1:9" x14ac:dyDescent="0.25">
      <c r="A3372">
        <v>875.91531476379998</v>
      </c>
      <c r="B3372">
        <v>901.97816549332003</v>
      </c>
      <c r="C3372" s="1">
        <f t="shared" si="988"/>
        <v>2.9754989198411463E-2</v>
      </c>
      <c r="D3372">
        <v>14.123273551844999</v>
      </c>
      <c r="E3372">
        <v>0.47088534559803003</v>
      </c>
      <c r="F3372">
        <v>26</v>
      </c>
    </row>
    <row r="3373" spans="1:9" x14ac:dyDescent="0.25">
      <c r="A3373">
        <v>871.98530762167002</v>
      </c>
      <c r="B3373">
        <v>898.44464850526003</v>
      </c>
      <c r="C3373" s="1">
        <f t="shared" si="988"/>
        <v>3.0343792094109423E-2</v>
      </c>
      <c r="D3373">
        <v>14.12987012987</v>
      </c>
      <c r="E3373">
        <v>0.47368260601209999</v>
      </c>
      <c r="F3373">
        <v>25</v>
      </c>
    </row>
    <row r="3374" spans="1:9" x14ac:dyDescent="0.25">
      <c r="A3374">
        <v>882.20324456688002</v>
      </c>
      <c r="B3374">
        <v>904.46933986327997</v>
      </c>
      <c r="C3374" s="1">
        <f t="shared" si="988"/>
        <v>2.5239189986579147E-2</v>
      </c>
      <c r="D3374">
        <v>14.373531230674001</v>
      </c>
      <c r="E3374">
        <v>0.47762069600154999</v>
      </c>
      <c r="F3374">
        <v>26</v>
      </c>
    </row>
    <row r="3375" spans="1:9" x14ac:dyDescent="0.25">
      <c r="A3375">
        <v>881.89898989898995</v>
      </c>
      <c r="B3375">
        <v>903.58432812978003</v>
      </c>
      <c r="C3375" s="1">
        <f t="shared" si="988"/>
        <v>2.458936735291406E-2</v>
      </c>
      <c r="D3375">
        <v>14.326530612245</v>
      </c>
      <c r="E3375">
        <v>0.47565696245775002</v>
      </c>
      <c r="F3375">
        <v>25</v>
      </c>
    </row>
    <row r="3376" spans="1:9" x14ac:dyDescent="0.25">
      <c r="A3376">
        <v>884.51525354554997</v>
      </c>
      <c r="B3376">
        <v>904.48280787675003</v>
      </c>
      <c r="C3376" s="1">
        <f t="shared" si="988"/>
        <v>2.2574573192673419E-2</v>
      </c>
      <c r="D3376">
        <v>14.296433725005</v>
      </c>
      <c r="E3376">
        <v>0.47216728610283998</v>
      </c>
      <c r="F3376">
        <v>25</v>
      </c>
      <c r="H3376" t="s">
        <v>17</v>
      </c>
      <c r="I3376">
        <f t="shared" ref="I3376" si="1001">STDEVP(A3362:A3381)</f>
        <v>4.3526206256475302</v>
      </c>
    </row>
    <row r="3377" spans="1:9" x14ac:dyDescent="0.25">
      <c r="A3377">
        <v>872.26752372207</v>
      </c>
      <c r="B3377">
        <v>898.30303030303003</v>
      </c>
      <c r="C3377" s="1">
        <f t="shared" si="988"/>
        <v>2.9848075129363272E-2</v>
      </c>
      <c r="D3377">
        <v>14.228818800247</v>
      </c>
      <c r="E3377">
        <v>0.47814889214578998</v>
      </c>
      <c r="F3377">
        <v>26</v>
      </c>
      <c r="H3377" t="s">
        <v>18</v>
      </c>
      <c r="I3377">
        <f t="shared" ref="I3377" si="1002">STDEVP(B3362:B3381)</f>
        <v>3.756415954812407</v>
      </c>
    </row>
    <row r="3378" spans="1:9" x14ac:dyDescent="0.25">
      <c r="A3378">
        <v>875.46066727885</v>
      </c>
      <c r="B3378">
        <v>895.47699214366003</v>
      </c>
      <c r="C3378" s="1">
        <f t="shared" si="988"/>
        <v>2.28637626028656E-2</v>
      </c>
      <c r="D3378">
        <v>14.153370439085</v>
      </c>
      <c r="E3378">
        <v>0.47237893147552001</v>
      </c>
      <c r="F3378">
        <v>25</v>
      </c>
      <c r="H3378" t="s">
        <v>19</v>
      </c>
      <c r="I3378">
        <f t="shared" ref="I3378" si="1003">STDEVP(C3362:C3381)</f>
        <v>3.3419056100356739E-3</v>
      </c>
    </row>
    <row r="3379" spans="1:9" x14ac:dyDescent="0.25">
      <c r="A3379">
        <v>882.16651362105995</v>
      </c>
      <c r="B3379">
        <v>905.82491582492003</v>
      </c>
      <c r="C3379" s="1">
        <f t="shared" si="988"/>
        <v>2.6818522170773074E-2</v>
      </c>
      <c r="D3379">
        <v>14.188002473717001</v>
      </c>
      <c r="E3379">
        <v>0.46924772289132</v>
      </c>
      <c r="F3379">
        <v>25</v>
      </c>
      <c r="H3379" t="s">
        <v>20</v>
      </c>
      <c r="I3379">
        <f t="shared" ref="I3379" si="1004">STDEVP(D3362:D3381)</f>
        <v>9.1126470874800206E-2</v>
      </c>
    </row>
    <row r="3380" spans="1:9" x14ac:dyDescent="0.25">
      <c r="A3380">
        <v>876.55769819405998</v>
      </c>
      <c r="B3380">
        <v>896.58483828180999</v>
      </c>
      <c r="C3380" s="1">
        <f t="shared" si="988"/>
        <v>2.2847486399367956E-2</v>
      </c>
      <c r="D3380">
        <v>14.061842918986001</v>
      </c>
      <c r="E3380">
        <v>0.46658834399241</v>
      </c>
      <c r="F3380">
        <v>26</v>
      </c>
      <c r="H3380" t="s">
        <v>21</v>
      </c>
      <c r="I3380">
        <f t="shared" ref="I3380" si="1005">STDEVP(E3362:E3381)</f>
        <v>3.9977192901712527E-3</v>
      </c>
    </row>
    <row r="3381" spans="1:9" x14ac:dyDescent="0.25">
      <c r="A3381">
        <v>878.17753290480005</v>
      </c>
      <c r="B3381">
        <v>899.41148862361001</v>
      </c>
      <c r="C3381" s="1">
        <f t="shared" si="988"/>
        <v>2.4179570671289063E-2</v>
      </c>
      <c r="D3381">
        <v>14.202844774273</v>
      </c>
      <c r="E3381">
        <v>0.47319090477751002</v>
      </c>
      <c r="F3381">
        <v>25</v>
      </c>
      <c r="H3381" t="s">
        <v>22</v>
      </c>
      <c r="I3381">
        <f t="shared" ref="I3381" si="1006">STDEVP(F3362:F3381)</f>
        <v>0.45825756949558394</v>
      </c>
    </row>
    <row r="3382" spans="1:9" x14ac:dyDescent="0.25">
      <c r="C3382" s="1" t="str">
        <f t="shared" si="988"/>
        <v/>
      </c>
    </row>
    <row r="3383" spans="1:9" x14ac:dyDescent="0.25">
      <c r="A3383">
        <v>1961.3492063491999</v>
      </c>
      <c r="B3383">
        <v>1997.8979591836001</v>
      </c>
      <c r="C3383" s="1">
        <f t="shared" si="988"/>
        <v>1.8634495436144594E-2</v>
      </c>
      <c r="D3383">
        <v>15.453815261043999</v>
      </c>
      <c r="E3383">
        <v>0.18460794986653001</v>
      </c>
      <c r="F3383">
        <v>28</v>
      </c>
    </row>
    <row r="3384" spans="1:9" x14ac:dyDescent="0.25">
      <c r="A3384">
        <v>1967.5079365079</v>
      </c>
      <c r="B3384">
        <v>1999.7596371882</v>
      </c>
      <c r="C3384" s="1">
        <f t="shared" si="988"/>
        <v>1.6392157857082479E-2</v>
      </c>
      <c r="D3384">
        <v>15.618473895581999</v>
      </c>
      <c r="E3384">
        <v>0.18623529282745999</v>
      </c>
      <c r="F3384">
        <v>29</v>
      </c>
    </row>
    <row r="3385" spans="1:9" x14ac:dyDescent="0.25">
      <c r="A3385">
        <v>1956.9444444444</v>
      </c>
      <c r="B3385">
        <v>1988.1111111110999</v>
      </c>
      <c r="C3385" s="1">
        <f t="shared" si="988"/>
        <v>1.5926188786390627E-2</v>
      </c>
      <c r="D3385">
        <v>15.550200803213</v>
      </c>
      <c r="E3385">
        <v>0.18644447196337999</v>
      </c>
      <c r="F3385">
        <v>29</v>
      </c>
    </row>
    <row r="3386" spans="1:9" x14ac:dyDescent="0.25">
      <c r="A3386">
        <v>1962.373015873</v>
      </c>
      <c r="B3386">
        <v>1992.6734693876999</v>
      </c>
      <c r="C3386" s="1">
        <f t="shared" si="988"/>
        <v>1.5440720632422744E-2</v>
      </c>
      <c r="D3386">
        <v>15.526104417671</v>
      </c>
      <c r="E3386">
        <v>0.18552959838395</v>
      </c>
      <c r="F3386">
        <v>28</v>
      </c>
    </row>
    <row r="3387" spans="1:9" x14ac:dyDescent="0.25">
      <c r="A3387">
        <v>1964.5226757370001</v>
      </c>
      <c r="B3387">
        <v>1989.4909297052</v>
      </c>
      <c r="C3387" s="1">
        <f t="shared" si="988"/>
        <v>1.2709577892163093E-2</v>
      </c>
      <c r="D3387">
        <v>15.422834193919</v>
      </c>
      <c r="E3387">
        <v>0.18379011418825</v>
      </c>
      <c r="F3387">
        <v>29</v>
      </c>
    </row>
    <row r="3388" spans="1:9" x14ac:dyDescent="0.25">
      <c r="A3388">
        <v>1956.1678004534999</v>
      </c>
      <c r="B3388">
        <v>1983.1077097504999</v>
      </c>
      <c r="C3388" s="1">
        <f t="shared" si="988"/>
        <v>1.37717783161313E-2</v>
      </c>
      <c r="D3388">
        <v>15.468732071142</v>
      </c>
      <c r="E3388">
        <v>0.18538930992783001</v>
      </c>
      <c r="F3388">
        <v>29</v>
      </c>
    </row>
    <row r="3389" spans="1:9" x14ac:dyDescent="0.25">
      <c r="A3389">
        <v>1957.9240362812</v>
      </c>
      <c r="B3389">
        <v>1992.9523809524001</v>
      </c>
      <c r="C3389" s="1">
        <f t="shared" si="988"/>
        <v>1.7890553475063076E-2</v>
      </c>
      <c r="D3389">
        <v>15.534710269650001</v>
      </c>
      <c r="E3389">
        <v>0.18618265319272001</v>
      </c>
      <c r="F3389">
        <v>28</v>
      </c>
    </row>
    <row r="3390" spans="1:9" x14ac:dyDescent="0.25">
      <c r="A3390">
        <v>1958.179138322</v>
      </c>
      <c r="B3390">
        <v>1987.7414965986</v>
      </c>
      <c r="C3390" s="1">
        <f t="shared" si="988"/>
        <v>1.50968610062574E-2</v>
      </c>
      <c r="D3390">
        <v>15.50545037292</v>
      </c>
      <c r="E3390">
        <v>0.18571162126813001</v>
      </c>
      <c r="F3390">
        <v>29</v>
      </c>
    </row>
    <row r="3391" spans="1:9" x14ac:dyDescent="0.25">
      <c r="A3391">
        <v>1960.4546485261001</v>
      </c>
      <c r="B3391">
        <v>1991.2244897958999</v>
      </c>
      <c r="C3391" s="1">
        <f t="shared" si="988"/>
        <v>1.5695257879560165E-2</v>
      </c>
      <c r="D3391">
        <v>15.419391853126999</v>
      </c>
      <c r="E3391">
        <v>0.18422838092909</v>
      </c>
      <c r="F3391">
        <v>29</v>
      </c>
    </row>
    <row r="3392" spans="1:9" x14ac:dyDescent="0.25">
      <c r="A3392">
        <v>1950.8707482993</v>
      </c>
      <c r="B3392">
        <v>1990.2482993197</v>
      </c>
      <c r="C3392" s="1">
        <f t="shared" si="988"/>
        <v>2.0184602724054423E-2</v>
      </c>
      <c r="D3392">
        <v>15.552495697074001</v>
      </c>
      <c r="E3392">
        <v>0.18719981508815001</v>
      </c>
      <c r="F3392">
        <v>28</v>
      </c>
    </row>
    <row r="3393" spans="1:9" x14ac:dyDescent="0.25">
      <c r="A3393">
        <v>1966.246031746</v>
      </c>
      <c r="B3393">
        <v>1998.6020408162999</v>
      </c>
      <c r="C3393" s="1">
        <f t="shared" si="988"/>
        <v>1.6455727588458702E-2</v>
      </c>
      <c r="D3393">
        <v>15.461847389558001</v>
      </c>
      <c r="E3393">
        <v>0.18427299815747999</v>
      </c>
      <c r="F3393">
        <v>29</v>
      </c>
    </row>
    <row r="3394" spans="1:9" x14ac:dyDescent="0.25">
      <c r="A3394">
        <v>1970.1802721088</v>
      </c>
      <c r="B3394">
        <v>2001.9047619047001</v>
      </c>
      <c r="C3394" s="1">
        <f t="shared" ref="C3394:C3457" si="1007">IFERROR((B3394/A3394)-1,"")</f>
        <v>1.6102328423958756E-2</v>
      </c>
      <c r="D3394">
        <v>15.468158347676001</v>
      </c>
      <c r="E3394">
        <v>0.18393028406566</v>
      </c>
      <c r="F3394">
        <v>29</v>
      </c>
    </row>
    <row r="3395" spans="1:9" x14ac:dyDescent="0.25">
      <c r="A3395">
        <v>1960.8174603175</v>
      </c>
      <c r="B3395">
        <v>1996.1020408162999</v>
      </c>
      <c r="C3395" s="1">
        <f t="shared" si="1007"/>
        <v>1.799483185603945E-2</v>
      </c>
      <c r="D3395">
        <v>15.449799196787</v>
      </c>
      <c r="E3395">
        <v>0.18463951240995999</v>
      </c>
      <c r="F3395">
        <v>28</v>
      </c>
    </row>
    <row r="3396" spans="1:9" x14ac:dyDescent="0.25">
      <c r="A3396">
        <v>1972.1156462585</v>
      </c>
      <c r="B3396">
        <v>2005.7505668934</v>
      </c>
      <c r="C3396" s="1">
        <f t="shared" si="1007"/>
        <v>1.7055247596007961E-2</v>
      </c>
      <c r="D3396">
        <v>15.557659208262001</v>
      </c>
      <c r="E3396">
        <v>0.18493553451509001</v>
      </c>
      <c r="F3396">
        <v>29</v>
      </c>
    </row>
    <row r="3397" spans="1:9" x14ac:dyDescent="0.25">
      <c r="A3397">
        <v>1965.7732426304001</v>
      </c>
      <c r="B3397">
        <v>1997.5294784580001</v>
      </c>
      <c r="C3397" s="1">
        <f t="shared" si="1007"/>
        <v>1.6154577312847529E-2</v>
      </c>
      <c r="D3397">
        <v>15.530694205393001</v>
      </c>
      <c r="E3397">
        <v>0.1852133319972</v>
      </c>
      <c r="F3397">
        <v>29</v>
      </c>
      <c r="H3397" t="s">
        <v>17</v>
      </c>
      <c r="I3397">
        <f t="shared" ref="I3397" si="1008">STDEVP(A3383:A3402)</f>
        <v>5.547140236627742</v>
      </c>
    </row>
    <row r="3398" spans="1:9" x14ac:dyDescent="0.25">
      <c r="A3398">
        <v>1962.3979591837001</v>
      </c>
      <c r="B3398">
        <v>2001.0555555555</v>
      </c>
      <c r="C3398" s="1">
        <f t="shared" si="1007"/>
        <v>1.969916254289239E-2</v>
      </c>
      <c r="D3398">
        <v>15.549053356282</v>
      </c>
      <c r="E3398">
        <v>0.18585175843646001</v>
      </c>
      <c r="F3398">
        <v>28</v>
      </c>
      <c r="H3398" t="s">
        <v>18</v>
      </c>
      <c r="I3398">
        <f t="shared" ref="I3398" si="1009">STDEVP(B3383:B3402)</f>
        <v>6.207622016686785</v>
      </c>
    </row>
    <row r="3399" spans="1:9" x14ac:dyDescent="0.25">
      <c r="A3399">
        <v>1959.3866213152</v>
      </c>
      <c r="B3399">
        <v>1998.1077097504999</v>
      </c>
      <c r="C3399" s="1">
        <f t="shared" si="1007"/>
        <v>1.9761841799914359E-2</v>
      </c>
      <c r="D3399">
        <v>15.440045897877001</v>
      </c>
      <c r="E3399">
        <v>0.18463507827702999</v>
      </c>
      <c r="F3399">
        <v>29</v>
      </c>
      <c r="H3399" t="s">
        <v>19</v>
      </c>
      <c r="I3399">
        <f t="shared" ref="I3399" si="1010">STDEVP(C3383:C3402)</f>
        <v>2.0296600673301549E-3</v>
      </c>
    </row>
    <row r="3400" spans="1:9" x14ac:dyDescent="0.25">
      <c r="A3400">
        <v>1966.3015873016</v>
      </c>
      <c r="B3400">
        <v>1999.8560090702999</v>
      </c>
      <c r="C3400" s="1">
        <f t="shared" si="1007"/>
        <v>1.7064738179226824E-2</v>
      </c>
      <c r="D3400">
        <v>15.538152610441999</v>
      </c>
      <c r="E3400">
        <v>0.18526843190003001</v>
      </c>
      <c r="F3400">
        <v>29</v>
      </c>
      <c r="H3400" t="s">
        <v>20</v>
      </c>
      <c r="I3400">
        <f t="shared" ref="I3400" si="1011">STDEVP(D3383:D3402)</f>
        <v>5.5165614501835228E-2</v>
      </c>
    </row>
    <row r="3401" spans="1:9" x14ac:dyDescent="0.25">
      <c r="A3401">
        <v>1954.2959183672999</v>
      </c>
      <c r="B3401">
        <v>1993.3004535146999</v>
      </c>
      <c r="C3401" s="1">
        <f t="shared" si="1007"/>
        <v>1.9958356756936801E-2</v>
      </c>
      <c r="D3401">
        <v>15.423407917384001</v>
      </c>
      <c r="E3401">
        <v>0.18498175306989001</v>
      </c>
      <c r="F3401">
        <v>28</v>
      </c>
      <c r="H3401" t="s">
        <v>21</v>
      </c>
      <c r="I3401">
        <f t="shared" ref="I3401" si="1012">STDEVP(E3383:E3402)</f>
        <v>8.6639471848999681E-4</v>
      </c>
    </row>
    <row r="3402" spans="1:9" x14ac:dyDescent="0.25">
      <c r="A3402">
        <v>1970.6224489796</v>
      </c>
      <c r="B3402">
        <v>2008.1870748299</v>
      </c>
      <c r="C3402" s="1">
        <f t="shared" si="1007"/>
        <v>1.9062314990753837E-2</v>
      </c>
      <c r="D3402">
        <v>15.538726333907</v>
      </c>
      <c r="E3402">
        <v>0.18490520374587999</v>
      </c>
      <c r="F3402">
        <v>29</v>
      </c>
      <c r="H3402" t="s">
        <v>22</v>
      </c>
      <c r="I3402">
        <f t="shared" ref="I3402" si="1013">STDEVP(F3383:F3402)</f>
        <v>0.47696960070847289</v>
      </c>
    </row>
    <row r="3403" spans="1:9" x14ac:dyDescent="0.25">
      <c r="C3403" s="1" t="str">
        <f t="shared" si="1007"/>
        <v/>
      </c>
    </row>
    <row r="3404" spans="1:9" x14ac:dyDescent="0.25">
      <c r="A3404">
        <v>2896.9434582511999</v>
      </c>
      <c r="B3404">
        <v>2935.9053254436999</v>
      </c>
      <c r="C3404" s="1">
        <f t="shared" si="1007"/>
        <v>1.3449301912167755E-2</v>
      </c>
      <c r="D3404">
        <v>19.132201132201001</v>
      </c>
      <c r="E3404">
        <v>0.15005559625264001</v>
      </c>
      <c r="F3404">
        <v>49</v>
      </c>
    </row>
    <row r="3405" spans="1:9" x14ac:dyDescent="0.25">
      <c r="A3405">
        <v>2870.2051282051002</v>
      </c>
      <c r="B3405">
        <v>2934.0644312950999</v>
      </c>
      <c r="C3405" s="1">
        <f t="shared" si="1007"/>
        <v>2.2249038043470559E-2</v>
      </c>
      <c r="D3405">
        <v>19.038961038960998</v>
      </c>
      <c r="E3405">
        <v>0.15080094357043999</v>
      </c>
      <c r="F3405">
        <v>51</v>
      </c>
    </row>
    <row r="3406" spans="1:9" x14ac:dyDescent="0.25">
      <c r="A3406">
        <v>2896.8080210387998</v>
      </c>
      <c r="B3406">
        <v>2947.7389875081999</v>
      </c>
      <c r="C3406" s="1">
        <f t="shared" si="1007"/>
        <v>1.758175415819796E-2</v>
      </c>
      <c r="D3406">
        <v>18.961704961704999</v>
      </c>
      <c r="E3406">
        <v>0.14857012431579</v>
      </c>
      <c r="F3406">
        <v>48</v>
      </c>
    </row>
    <row r="3407" spans="1:9" x14ac:dyDescent="0.25">
      <c r="A3407">
        <v>2895.1880341880001</v>
      </c>
      <c r="B3407">
        <v>2953.2077580538999</v>
      </c>
      <c r="C3407" s="1">
        <f t="shared" si="1007"/>
        <v>2.0040053765341126E-2</v>
      </c>
      <c r="D3407">
        <v>19.056277056277001</v>
      </c>
      <c r="E3407">
        <v>0.14950258519744999</v>
      </c>
      <c r="F3407">
        <v>51</v>
      </c>
    </row>
    <row r="3408" spans="1:9" x14ac:dyDescent="0.25">
      <c r="A3408">
        <v>2881.1531886917001</v>
      </c>
      <c r="B3408">
        <v>2927.9184746875999</v>
      </c>
      <c r="C3408" s="1">
        <f t="shared" si="1007"/>
        <v>1.6231447248084452E-2</v>
      </c>
      <c r="D3408">
        <v>19.037629037628999</v>
      </c>
      <c r="E3408">
        <v>0.15014009573288001</v>
      </c>
      <c r="F3408">
        <v>49</v>
      </c>
    </row>
    <row r="3409" spans="1:9" x14ac:dyDescent="0.25">
      <c r="A3409">
        <v>2869.0677186061998</v>
      </c>
      <c r="B3409">
        <v>2925.6679815910002</v>
      </c>
      <c r="C3409" s="1">
        <f t="shared" si="1007"/>
        <v>1.9727754286781751E-2</v>
      </c>
      <c r="D3409">
        <v>18.786546786546999</v>
      </c>
      <c r="E3409">
        <v>0.14859246234354001</v>
      </c>
      <c r="F3409">
        <v>49</v>
      </c>
    </row>
    <row r="3410" spans="1:9" x14ac:dyDescent="0.25">
      <c r="A3410">
        <v>2895.0848126233</v>
      </c>
      <c r="B3410">
        <v>2944.4240631163002</v>
      </c>
      <c r="C3410" s="1">
        <f t="shared" si="1007"/>
        <v>1.7042419716986723E-2</v>
      </c>
      <c r="D3410">
        <v>19.080919080918999</v>
      </c>
      <c r="E3410">
        <v>0.1496933808333</v>
      </c>
      <c r="F3410">
        <v>49</v>
      </c>
    </row>
    <row r="3411" spans="1:9" x14ac:dyDescent="0.25">
      <c r="A3411">
        <v>2878.2912557528002</v>
      </c>
      <c r="B3411">
        <v>2931.6094674556002</v>
      </c>
      <c r="C3411" s="1">
        <f t="shared" si="1007"/>
        <v>1.8524258653891845E-2</v>
      </c>
      <c r="D3411">
        <v>18.667998667999001</v>
      </c>
      <c r="E3411">
        <v>0.14701197940989999</v>
      </c>
      <c r="F3411">
        <v>48</v>
      </c>
    </row>
    <row r="3412" spans="1:9" x14ac:dyDescent="0.25">
      <c r="A3412">
        <v>2889.7337278107002</v>
      </c>
      <c r="B3412">
        <v>2948.2241946088002</v>
      </c>
      <c r="C3412" s="1">
        <f t="shared" si="1007"/>
        <v>2.0240780745710119E-2</v>
      </c>
      <c r="D3412">
        <v>18.941058941059001</v>
      </c>
      <c r="E3412">
        <v>0.14881097558053</v>
      </c>
      <c r="F3412">
        <v>48</v>
      </c>
    </row>
    <row r="3413" spans="1:9" x14ac:dyDescent="0.25">
      <c r="A3413">
        <v>2891.4477317554001</v>
      </c>
      <c r="B3413">
        <v>2936.2156476002001</v>
      </c>
      <c r="C3413" s="1">
        <f t="shared" si="1007"/>
        <v>1.5482872248782309E-2</v>
      </c>
      <c r="D3413">
        <v>18.751248751249001</v>
      </c>
      <c r="E3413">
        <v>0.14697226024814</v>
      </c>
      <c r="F3413">
        <v>48</v>
      </c>
    </row>
    <row r="3414" spans="1:9" x14ac:dyDescent="0.25">
      <c r="A3414">
        <v>2897.3813280735999</v>
      </c>
      <c r="B3414">
        <v>2943.7902695593998</v>
      </c>
      <c r="C3414" s="1">
        <f t="shared" si="1007"/>
        <v>1.6017546960812368E-2</v>
      </c>
      <c r="D3414">
        <v>19.006327006326998</v>
      </c>
      <c r="E3414">
        <v>0.1488927665766</v>
      </c>
      <c r="F3414">
        <v>48</v>
      </c>
    </row>
    <row r="3415" spans="1:9" x14ac:dyDescent="0.25">
      <c r="A3415">
        <v>2882.1512163051002</v>
      </c>
      <c r="B3415">
        <v>2925.5601577909001</v>
      </c>
      <c r="C3415" s="1">
        <f t="shared" si="1007"/>
        <v>1.5061299088064528E-2</v>
      </c>
      <c r="D3415">
        <v>19.085581085581001</v>
      </c>
      <c r="E3415">
        <v>0.15049792590727001</v>
      </c>
      <c r="F3415">
        <v>48</v>
      </c>
    </row>
    <row r="3416" spans="1:9" x14ac:dyDescent="0.25">
      <c r="A3416">
        <v>2869.3563445102</v>
      </c>
      <c r="B3416">
        <v>2931.5069033529999</v>
      </c>
      <c r="C3416" s="1">
        <f t="shared" si="1007"/>
        <v>2.1660104699686267E-2</v>
      </c>
      <c r="D3416">
        <v>18.799866799867001</v>
      </c>
      <c r="E3416">
        <v>0.14871562545754</v>
      </c>
      <c r="F3416">
        <v>49</v>
      </c>
    </row>
    <row r="3417" spans="1:9" x14ac:dyDescent="0.25">
      <c r="A3417">
        <v>2895.6186719264001</v>
      </c>
      <c r="B3417">
        <v>2942.2399737014998</v>
      </c>
      <c r="C3417" s="1">
        <f t="shared" si="1007"/>
        <v>1.6100635842385858E-2</v>
      </c>
      <c r="D3417">
        <v>19.149517149516999</v>
      </c>
      <c r="E3417">
        <v>0.15028975011767001</v>
      </c>
      <c r="F3417">
        <v>50</v>
      </c>
    </row>
    <row r="3418" spans="1:9" x14ac:dyDescent="0.25">
      <c r="A3418">
        <v>2886.1216305061998</v>
      </c>
      <c r="B3418">
        <v>2937.7488494411</v>
      </c>
      <c r="C3418" s="1">
        <f t="shared" si="1007"/>
        <v>1.7888095355788947E-2</v>
      </c>
      <c r="D3418">
        <v>18.921744921744999</v>
      </c>
      <c r="E3418">
        <v>0.14881054512134001</v>
      </c>
      <c r="F3418">
        <v>49</v>
      </c>
      <c r="H3418" t="s">
        <v>17</v>
      </c>
      <c r="I3418">
        <f t="shared" ref="I3418" si="1014">STDEVP(A3404:A3423)</f>
        <v>9.4835807297633234</v>
      </c>
    </row>
    <row r="3419" spans="1:9" x14ac:dyDescent="0.25">
      <c r="A3419">
        <v>2884.3274161735999</v>
      </c>
      <c r="B3419">
        <v>2938.9520052595999</v>
      </c>
      <c r="C3419" s="1">
        <f t="shared" si="1007"/>
        <v>1.8938414820625971E-2</v>
      </c>
      <c r="D3419">
        <v>18.897102897103</v>
      </c>
      <c r="E3419">
        <v>0.14867384846503001</v>
      </c>
      <c r="F3419">
        <v>50</v>
      </c>
      <c r="H3419" t="s">
        <v>18</v>
      </c>
      <c r="I3419">
        <f t="shared" ref="I3419" si="1015">STDEVP(B3404:B3423)</f>
        <v>8.018350907686397</v>
      </c>
    </row>
    <row r="3420" spans="1:9" x14ac:dyDescent="0.25">
      <c r="A3420">
        <v>2882.5627876397002</v>
      </c>
      <c r="B3420">
        <v>2944.5128205127999</v>
      </c>
      <c r="C3420" s="1">
        <f t="shared" si="1007"/>
        <v>2.1491303897607672E-2</v>
      </c>
      <c r="D3420">
        <v>18.932400932400999</v>
      </c>
      <c r="E3420">
        <v>0.14919523529584999</v>
      </c>
      <c r="F3420">
        <v>48</v>
      </c>
      <c r="H3420" t="s">
        <v>19</v>
      </c>
      <c r="I3420">
        <f t="shared" ref="I3420" si="1016">STDEVP(C3404:C3423)</f>
        <v>2.320799412394956E-3</v>
      </c>
    </row>
    <row r="3421" spans="1:9" x14ac:dyDescent="0.25">
      <c r="A3421">
        <v>2873.2366863904999</v>
      </c>
      <c r="B3421">
        <v>2924.6738987508002</v>
      </c>
      <c r="C3421" s="1">
        <f t="shared" si="1007"/>
        <v>1.7902184182716274E-2</v>
      </c>
      <c r="D3421">
        <v>18.921078921079001</v>
      </c>
      <c r="E3421">
        <v>0.14953935333367999</v>
      </c>
      <c r="F3421">
        <v>51</v>
      </c>
      <c r="H3421" t="s">
        <v>20</v>
      </c>
      <c r="I3421">
        <f t="shared" ref="I3421" si="1017">STDEVP(D3404:D3423)</f>
        <v>0.12492145216787839</v>
      </c>
    </row>
    <row r="3422" spans="1:9" x14ac:dyDescent="0.25">
      <c r="A3422">
        <v>2892.5246548322998</v>
      </c>
      <c r="B3422">
        <v>2942.0111768573001</v>
      </c>
      <c r="C3422" s="1">
        <f t="shared" si="1007"/>
        <v>1.7108418399244263E-2</v>
      </c>
      <c r="D3422">
        <v>18.933066933067</v>
      </c>
      <c r="E3422">
        <v>0.14856548074594</v>
      </c>
      <c r="F3422">
        <v>47</v>
      </c>
      <c r="H3422" t="s">
        <v>21</v>
      </c>
      <c r="I3422">
        <f t="shared" ref="I3422" si="1018">STDEVP(E3404:E3423)</f>
        <v>9.8107823625862402E-4</v>
      </c>
    </row>
    <row r="3423" spans="1:9" x14ac:dyDescent="0.25">
      <c r="A3423">
        <v>2886.6568047337</v>
      </c>
      <c r="B3423">
        <v>2934.0157790926</v>
      </c>
      <c r="C3423" s="1">
        <f t="shared" si="1007"/>
        <v>1.6406167259384041E-2</v>
      </c>
      <c r="D3423">
        <v>18.941058941059001</v>
      </c>
      <c r="E3423">
        <v>0.14893041207335</v>
      </c>
      <c r="F3423">
        <v>49</v>
      </c>
      <c r="H3423" t="s">
        <v>22</v>
      </c>
      <c r="I3423">
        <f t="shared" ref="I3423" si="1019">STDEVP(F3404:F3423)</f>
        <v>1.1169153951844339</v>
      </c>
    </row>
    <row r="3424" spans="1:9" x14ac:dyDescent="0.25">
      <c r="C3424" s="1" t="str">
        <f t="shared" si="1007"/>
        <v/>
      </c>
    </row>
    <row r="3425" spans="1:9" x14ac:dyDescent="0.25">
      <c r="A3425">
        <v>2864.5012345679002</v>
      </c>
      <c r="B3425">
        <v>2904.5950617284002</v>
      </c>
      <c r="C3425" s="1">
        <f t="shared" si="1007"/>
        <v>1.3996791719500967E-2</v>
      </c>
      <c r="D3425">
        <v>19.464669163545999</v>
      </c>
      <c r="E3425">
        <v>0.15536592118715001</v>
      </c>
      <c r="F3425">
        <v>38</v>
      </c>
    </row>
    <row r="3426" spans="1:9" x14ac:dyDescent="0.25">
      <c r="A3426">
        <v>2858.8370370369998</v>
      </c>
      <c r="B3426">
        <v>2896.5580246913</v>
      </c>
      <c r="C3426" s="1">
        <f t="shared" si="1007"/>
        <v>1.3194521816254134E-2</v>
      </c>
      <c r="D3426">
        <v>19.378277153557999</v>
      </c>
      <c r="E3426">
        <v>0.15493222039731999</v>
      </c>
      <c r="F3426">
        <v>37</v>
      </c>
    </row>
    <row r="3427" spans="1:9" x14ac:dyDescent="0.25">
      <c r="A3427">
        <v>2860.8074074074002</v>
      </c>
      <c r="B3427">
        <v>2908.6888888888998</v>
      </c>
      <c r="C3427" s="1">
        <f t="shared" si="1007"/>
        <v>1.6737051699992733E-2</v>
      </c>
      <c r="D3427">
        <v>19.534082397003999</v>
      </c>
      <c r="E3427">
        <v>0.15624630277894999</v>
      </c>
      <c r="F3427">
        <v>37</v>
      </c>
    </row>
    <row r="3428" spans="1:9" x14ac:dyDescent="0.25">
      <c r="A3428">
        <v>2858.9358024691001</v>
      </c>
      <c r="B3428">
        <v>2902.1160493827001</v>
      </c>
      <c r="C3428" s="1">
        <f t="shared" si="1007"/>
        <v>1.5103608439303695E-2</v>
      </c>
      <c r="D3428">
        <v>19.616978776528999</v>
      </c>
      <c r="E3428">
        <v>0.15711742670246001</v>
      </c>
      <c r="F3428">
        <v>38</v>
      </c>
    </row>
    <row r="3429" spans="1:9" x14ac:dyDescent="0.25">
      <c r="A3429">
        <v>2879.0172839505999</v>
      </c>
      <c r="B3429">
        <v>2926.9753086419</v>
      </c>
      <c r="C3429" s="1">
        <f t="shared" si="1007"/>
        <v>1.6657775887156889E-2</v>
      </c>
      <c r="D3429">
        <v>19.548064918851001</v>
      </c>
      <c r="E3429">
        <v>0.15526663773554</v>
      </c>
      <c r="F3429">
        <v>37</v>
      </c>
    </row>
    <row r="3430" spans="1:9" x14ac:dyDescent="0.25">
      <c r="A3430">
        <v>2867.6320987653999</v>
      </c>
      <c r="B3430">
        <v>2913.2716049382002</v>
      </c>
      <c r="C3430" s="1">
        <f t="shared" si="1007"/>
        <v>1.5915398001176362E-2</v>
      </c>
      <c r="D3430">
        <v>19.479151061174001</v>
      </c>
      <c r="E3430">
        <v>0.15533050691184999</v>
      </c>
      <c r="F3430">
        <v>37</v>
      </c>
    </row>
    <row r="3431" spans="1:9" x14ac:dyDescent="0.25">
      <c r="A3431">
        <v>2859.5506172839</v>
      </c>
      <c r="B3431">
        <v>2898.1407407407</v>
      </c>
      <c r="C3431" s="1">
        <f t="shared" si="1007"/>
        <v>1.3495170613015528E-2</v>
      </c>
      <c r="D3431">
        <v>19.440199750312001</v>
      </c>
      <c r="E3431">
        <v>0.15548161930139001</v>
      </c>
      <c r="F3431">
        <v>38</v>
      </c>
    </row>
    <row r="3432" spans="1:9" x14ac:dyDescent="0.25">
      <c r="A3432">
        <v>2873.6518518518001</v>
      </c>
      <c r="B3432">
        <v>2920.8222222221998</v>
      </c>
      <c r="C3432" s="1">
        <f t="shared" si="1007"/>
        <v>1.6414782584049936E-2</v>
      </c>
      <c r="D3432">
        <v>19.502621722846001</v>
      </c>
      <c r="E3432">
        <v>0.15514987981010001</v>
      </c>
      <c r="F3432">
        <v>37</v>
      </c>
    </row>
    <row r="3433" spans="1:9" x14ac:dyDescent="0.25">
      <c r="A3433">
        <v>2866.6024691358002</v>
      </c>
      <c r="B3433">
        <v>2914.8395061728002</v>
      </c>
      <c r="C3433" s="1">
        <f t="shared" si="1007"/>
        <v>1.6827250222644974E-2</v>
      </c>
      <c r="D3433">
        <v>19.450686641697999</v>
      </c>
      <c r="E3433">
        <v>0.15513558584212001</v>
      </c>
      <c r="F3433">
        <v>38</v>
      </c>
    </row>
    <row r="3434" spans="1:9" x14ac:dyDescent="0.25">
      <c r="A3434">
        <v>2869.7530864197001</v>
      </c>
      <c r="B3434">
        <v>2911.2024691358001</v>
      </c>
      <c r="C3434" s="1">
        <f t="shared" si="1007"/>
        <v>1.4443536244371558E-2</v>
      </c>
      <c r="D3434">
        <v>19.497627965044</v>
      </c>
      <c r="E3434">
        <v>0.15534911445550001</v>
      </c>
      <c r="F3434">
        <v>37</v>
      </c>
    </row>
    <row r="3435" spans="1:9" x14ac:dyDescent="0.25">
      <c r="A3435">
        <v>2865.6740740741002</v>
      </c>
      <c r="B3435">
        <v>2908.7777777777001</v>
      </c>
      <c r="C3435" s="1">
        <f t="shared" si="1007"/>
        <v>1.504138383829523E-2</v>
      </c>
      <c r="D3435">
        <v>19.381273408239998</v>
      </c>
      <c r="E3435">
        <v>0.15449592943595</v>
      </c>
      <c r="F3435">
        <v>38</v>
      </c>
    </row>
    <row r="3436" spans="1:9" x14ac:dyDescent="0.25">
      <c r="A3436">
        <v>2861.9827160494001</v>
      </c>
      <c r="B3436">
        <v>2905.3975308641998</v>
      </c>
      <c r="C3436" s="1">
        <f t="shared" si="1007"/>
        <v>1.5169488820228949E-2</v>
      </c>
      <c r="D3436">
        <v>19.454182272160001</v>
      </c>
      <c r="E3436">
        <v>0.15540352766389001</v>
      </c>
      <c r="F3436">
        <v>37</v>
      </c>
    </row>
    <row r="3437" spans="1:9" x14ac:dyDescent="0.25">
      <c r="A3437">
        <v>2862.2172839506002</v>
      </c>
      <c r="B3437">
        <v>2906.2839506171999</v>
      </c>
      <c r="C3437" s="1">
        <f t="shared" si="1007"/>
        <v>1.5395989296024482E-2</v>
      </c>
      <c r="D3437">
        <v>19.426716604245001</v>
      </c>
      <c r="E3437">
        <v>0.15515475553314001</v>
      </c>
      <c r="F3437">
        <v>37</v>
      </c>
    </row>
    <row r="3438" spans="1:9" x14ac:dyDescent="0.25">
      <c r="A3438">
        <v>2872.2518518519</v>
      </c>
      <c r="B3438">
        <v>2915.7481481481</v>
      </c>
      <c r="C3438" s="1">
        <f t="shared" si="1007"/>
        <v>1.5143621987102396E-2</v>
      </c>
      <c r="D3438">
        <v>19.358801498127001</v>
      </c>
      <c r="E3438">
        <v>0.15389636812845001</v>
      </c>
      <c r="F3438">
        <v>38</v>
      </c>
    </row>
    <row r="3439" spans="1:9" x14ac:dyDescent="0.25">
      <c r="A3439">
        <v>2857.9950617283998</v>
      </c>
      <c r="B3439">
        <v>2900.5456790122998</v>
      </c>
      <c r="C3439" s="1">
        <f t="shared" si="1007"/>
        <v>1.4888275299596687E-2</v>
      </c>
      <c r="D3439">
        <v>19.516604244694001</v>
      </c>
      <c r="E3439">
        <v>0.15626066762311999</v>
      </c>
      <c r="F3439">
        <v>38</v>
      </c>
      <c r="H3439" t="s">
        <v>17</v>
      </c>
      <c r="I3439">
        <f t="shared" ref="I3439" si="1020">STDEVP(A3425:A3444)</f>
        <v>7.2916637588352229</v>
      </c>
    </row>
    <row r="3440" spans="1:9" x14ac:dyDescent="0.25">
      <c r="A3440">
        <v>2844.7111111110999</v>
      </c>
      <c r="B3440">
        <v>2904.5901234568</v>
      </c>
      <c r="C3440" s="1">
        <f t="shared" si="1007"/>
        <v>2.1049241911356154E-2</v>
      </c>
      <c r="D3440">
        <v>19.469662921348</v>
      </c>
      <c r="E3440">
        <v>0.15667511214572999</v>
      </c>
      <c r="F3440">
        <v>37</v>
      </c>
      <c r="H3440" t="s">
        <v>18</v>
      </c>
      <c r="I3440">
        <f t="shared" ref="I3440" si="1021">STDEVP(B3425:B3444)</f>
        <v>7.2277925326815753</v>
      </c>
    </row>
    <row r="3441" spans="1:9" x14ac:dyDescent="0.25">
      <c r="A3441">
        <v>2862.3407407406999</v>
      </c>
      <c r="B3441">
        <v>2911.3555555554999</v>
      </c>
      <c r="C3441" s="1">
        <f t="shared" si="1007"/>
        <v>1.7124032131169864E-2</v>
      </c>
      <c r="D3441">
        <v>19.534082397003999</v>
      </c>
      <c r="E3441">
        <v>0.15617854832063999</v>
      </c>
      <c r="F3441">
        <v>37</v>
      </c>
      <c r="H3441" t="s">
        <v>19</v>
      </c>
      <c r="I3441">
        <f t="shared" ref="I3441" si="1022">STDEVP(C3425:C3444)</f>
        <v>1.6907899255023844E-3</v>
      </c>
    </row>
    <row r="3442" spans="1:9" x14ac:dyDescent="0.25">
      <c r="A3442">
        <v>2873.5160493827002</v>
      </c>
      <c r="B3442">
        <v>2912.6444444444001</v>
      </c>
      <c r="C3442" s="1">
        <f t="shared" si="1007"/>
        <v>1.3616905000445545E-2</v>
      </c>
      <c r="D3442">
        <v>19.40024968789</v>
      </c>
      <c r="E3442">
        <v>0.15420310319179001</v>
      </c>
      <c r="F3442">
        <v>38</v>
      </c>
      <c r="H3442" t="s">
        <v>20</v>
      </c>
      <c r="I3442">
        <f t="shared" ref="I3442" si="1023">STDEVP(D3425:D3444)</f>
        <v>6.8699407596382212E-2</v>
      </c>
    </row>
    <row r="3443" spans="1:9" x14ac:dyDescent="0.25">
      <c r="A3443">
        <v>2863.9802469135998</v>
      </c>
      <c r="B3443">
        <v>2908.9901234568001</v>
      </c>
      <c r="C3443" s="1">
        <f t="shared" si="1007"/>
        <v>1.5715847409110362E-2</v>
      </c>
      <c r="D3443">
        <v>19.387765293383001</v>
      </c>
      <c r="E3443">
        <v>0.15467556463334001</v>
      </c>
      <c r="F3443">
        <v>37</v>
      </c>
      <c r="H3443" t="s">
        <v>21</v>
      </c>
      <c r="I3443">
        <f t="shared" ref="I3443" si="1024">STDEVP(E3425:E3444)</f>
        <v>7.9076977929276311E-4</v>
      </c>
    </row>
    <row r="3444" spans="1:9" x14ac:dyDescent="0.25">
      <c r="A3444">
        <v>2870.2987654321</v>
      </c>
      <c r="B3444">
        <v>2912.1827160492999</v>
      </c>
      <c r="C3444" s="1">
        <f t="shared" si="1007"/>
        <v>1.4592191977232938E-2</v>
      </c>
      <c r="D3444">
        <v>19.573533083645</v>
      </c>
      <c r="E3444">
        <v>0.15602741662889999</v>
      </c>
      <c r="F3444">
        <v>38</v>
      </c>
      <c r="H3444" t="s">
        <v>22</v>
      </c>
      <c r="I3444">
        <f t="shared" ref="I3444" si="1025">STDEVP(F3425:F3444)</f>
        <v>0.49749371855330987</v>
      </c>
    </row>
    <row r="3445" spans="1:9" x14ac:dyDescent="0.25">
      <c r="C3445" s="1" t="str">
        <f t="shared" si="1007"/>
        <v/>
      </c>
    </row>
    <row r="3446" spans="1:9" x14ac:dyDescent="0.25">
      <c r="A3446">
        <v>1296.8607656080001</v>
      </c>
      <c r="B3446">
        <v>1330.7501509479</v>
      </c>
      <c r="C3446" s="1">
        <f t="shared" si="1007"/>
        <v>2.6131861059125905E-2</v>
      </c>
      <c r="D3446">
        <v>16.439072039071998</v>
      </c>
      <c r="E3446">
        <v>0.33526523240252998</v>
      </c>
      <c r="F3446">
        <v>31</v>
      </c>
    </row>
    <row r="3447" spans="1:9" x14ac:dyDescent="0.25">
      <c r="A3447">
        <v>1311.2348750151</v>
      </c>
      <c r="B3447">
        <v>1337.0363482671</v>
      </c>
      <c r="C3447" s="1">
        <f t="shared" si="1007"/>
        <v>1.9677232312558024E-2</v>
      </c>
      <c r="D3447">
        <v>16.503540903541001</v>
      </c>
      <c r="E3447">
        <v>0.33211975609713001</v>
      </c>
      <c r="F3447">
        <v>33</v>
      </c>
    </row>
    <row r="3448" spans="1:9" x14ac:dyDescent="0.25">
      <c r="A3448">
        <v>1303.8422895786</v>
      </c>
      <c r="B3448">
        <v>1337.8913174736999</v>
      </c>
      <c r="C3448" s="1">
        <f t="shared" si="1007"/>
        <v>2.6114376076959767E-2</v>
      </c>
      <c r="D3448">
        <v>16.595360195360001</v>
      </c>
      <c r="E3448">
        <v>0.33727111968953</v>
      </c>
      <c r="F3448">
        <v>32</v>
      </c>
    </row>
    <row r="3449" spans="1:9" x14ac:dyDescent="0.25">
      <c r="A3449">
        <v>1301.2962202633</v>
      </c>
      <c r="B3449">
        <v>1335.8239343073999</v>
      </c>
      <c r="C3449" s="1">
        <f t="shared" si="1007"/>
        <v>2.6533323855435276E-2</v>
      </c>
      <c r="D3449">
        <v>16.735531135531001</v>
      </c>
      <c r="E3449">
        <v>0.34171863246425999</v>
      </c>
      <c r="F3449">
        <v>33</v>
      </c>
    </row>
    <row r="3450" spans="1:9" x14ac:dyDescent="0.25">
      <c r="A3450">
        <v>1300.0845308538001</v>
      </c>
      <c r="B3450">
        <v>1329.2877671778999</v>
      </c>
      <c r="C3450" s="1">
        <f t="shared" si="1007"/>
        <v>2.2462567341618334E-2</v>
      </c>
      <c r="D3450">
        <v>16.437606837606999</v>
      </c>
      <c r="E3450">
        <v>0.33402966360332997</v>
      </c>
      <c r="F3450">
        <v>31</v>
      </c>
    </row>
    <row r="3451" spans="1:9" x14ac:dyDescent="0.25">
      <c r="A3451">
        <v>1307.5954594856</v>
      </c>
      <c r="B3451">
        <v>1341.9198164473</v>
      </c>
      <c r="C3451" s="1">
        <f t="shared" si="1007"/>
        <v>2.624998176056903E-2</v>
      </c>
      <c r="D3451">
        <v>16.673992673992998</v>
      </c>
      <c r="E3451">
        <v>0.33808284095550001</v>
      </c>
      <c r="F3451">
        <v>32</v>
      </c>
    </row>
    <row r="3452" spans="1:9" x14ac:dyDescent="0.25">
      <c r="A3452">
        <v>1311.8401159279999</v>
      </c>
      <c r="B3452">
        <v>1338.6909793503</v>
      </c>
      <c r="C3452" s="1">
        <f t="shared" si="1007"/>
        <v>2.0468091420809964E-2</v>
      </c>
      <c r="D3452">
        <v>16.705250305250001</v>
      </c>
      <c r="E3452">
        <v>0.33737905516460998</v>
      </c>
      <c r="F3452">
        <v>32</v>
      </c>
    </row>
    <row r="3453" spans="1:9" x14ac:dyDescent="0.25">
      <c r="A3453">
        <v>1299.7901219659</v>
      </c>
      <c r="B3453">
        <v>1331.3546673107001</v>
      </c>
      <c r="C3453" s="1">
        <f t="shared" si="1007"/>
        <v>2.4284340072579846E-2</v>
      </c>
      <c r="D3453">
        <v>16.477167277166998</v>
      </c>
      <c r="E3453">
        <v>0.33541618172435</v>
      </c>
      <c r="F3453">
        <v>31</v>
      </c>
    </row>
    <row r="3454" spans="1:9" x14ac:dyDescent="0.25">
      <c r="A3454">
        <v>1297.2711025238</v>
      </c>
      <c r="B3454">
        <v>1327.2249728294</v>
      </c>
      <c r="C3454" s="1">
        <f t="shared" si="1007"/>
        <v>2.3089907920808228E-2</v>
      </c>
      <c r="D3454">
        <v>16.58315018315</v>
      </c>
      <c r="E3454">
        <v>0.33913008887045998</v>
      </c>
      <c r="F3454">
        <v>32</v>
      </c>
    </row>
    <row r="3455" spans="1:9" x14ac:dyDescent="0.25">
      <c r="A3455">
        <v>1308.9614780823999</v>
      </c>
      <c r="B3455">
        <v>1340.3818379423001</v>
      </c>
      <c r="C3455" s="1">
        <f t="shared" si="1007"/>
        <v>2.4004037082840934E-2</v>
      </c>
      <c r="D3455">
        <v>16.636385836386001</v>
      </c>
      <c r="E3455">
        <v>0.33665884466732998</v>
      </c>
      <c r="F3455">
        <v>32</v>
      </c>
    </row>
    <row r="3456" spans="1:9" x14ac:dyDescent="0.25">
      <c r="A3456">
        <v>1316.2161574689001</v>
      </c>
      <c r="B3456">
        <v>1343.0235478807001</v>
      </c>
      <c r="C3456" s="1">
        <f t="shared" si="1007"/>
        <v>2.0367012104874238E-2</v>
      </c>
      <c r="D3456">
        <v>16.672039072038999</v>
      </c>
      <c r="E3456">
        <v>0.33514074823209999</v>
      </c>
      <c r="F3456">
        <v>32</v>
      </c>
    </row>
    <row r="3457" spans="1:9" x14ac:dyDescent="0.25">
      <c r="A3457">
        <v>1313.8712715856</v>
      </c>
      <c r="B3457">
        <v>1340.4583987440999</v>
      </c>
      <c r="C3457" s="1">
        <f t="shared" si="1007"/>
        <v>2.0235716948445059E-2</v>
      </c>
      <c r="D3457">
        <v>16.596825396825</v>
      </c>
      <c r="E3457">
        <v>0.33369192179605001</v>
      </c>
      <c r="F3457">
        <v>31</v>
      </c>
    </row>
    <row r="3458" spans="1:9" x14ac:dyDescent="0.25">
      <c r="A3458">
        <v>1311.3756792658</v>
      </c>
      <c r="B3458">
        <v>1348.2122932013001</v>
      </c>
      <c r="C3458" s="1">
        <f t="shared" ref="C3458:C3521" si="1026">IFERROR((B3458/A3458)-1,"")</f>
        <v>2.8090054221627581E-2</v>
      </c>
      <c r="D3458">
        <v>16.496214896215001</v>
      </c>
      <c r="E3458">
        <v>0.33232506024130998</v>
      </c>
      <c r="F3458">
        <v>32</v>
      </c>
    </row>
    <row r="3459" spans="1:9" x14ac:dyDescent="0.25">
      <c r="A3459">
        <v>1304.9996377248999</v>
      </c>
      <c r="B3459">
        <v>1337.2184518777999</v>
      </c>
      <c r="C3459" s="1">
        <f t="shared" si="1026"/>
        <v>2.468875333105025E-2</v>
      </c>
      <c r="D3459">
        <v>16.796092796092999</v>
      </c>
      <c r="E3459">
        <v>0.34243091512397</v>
      </c>
      <c r="F3459">
        <v>32</v>
      </c>
    </row>
    <row r="3460" spans="1:9" x14ac:dyDescent="0.25">
      <c r="A3460">
        <v>1300.3634826712</v>
      </c>
      <c r="B3460">
        <v>1332.1033691583</v>
      </c>
      <c r="C3460" s="1">
        <f t="shared" si="1026"/>
        <v>2.4408472638665746E-2</v>
      </c>
      <c r="D3460">
        <v>16.690598290598</v>
      </c>
      <c r="E3460">
        <v>0.34101836102034999</v>
      </c>
      <c r="F3460">
        <v>33</v>
      </c>
      <c r="H3460" t="s">
        <v>17</v>
      </c>
      <c r="I3460">
        <f t="shared" ref="I3460" si="1027">STDEVP(A3446:A3465)</f>
        <v>6.3164491729704455</v>
      </c>
    </row>
    <row r="3461" spans="1:9" x14ac:dyDescent="0.25">
      <c r="A3461">
        <v>1295.0216157468999</v>
      </c>
      <c r="B3461">
        <v>1333.8183794228</v>
      </c>
      <c r="C3461" s="1">
        <f t="shared" si="1026"/>
        <v>2.9958390813055402E-2</v>
      </c>
      <c r="D3461">
        <v>16.484981684981999</v>
      </c>
      <c r="E3461">
        <v>0.33731317900822</v>
      </c>
      <c r="F3461">
        <v>32</v>
      </c>
      <c r="H3461" t="s">
        <v>18</v>
      </c>
      <c r="I3461">
        <f t="shared" ref="I3461" si="1028">STDEVP(B3446:B3465)</f>
        <v>5.0650229405938534</v>
      </c>
    </row>
    <row r="3462" spans="1:9" x14ac:dyDescent="0.25">
      <c r="A3462">
        <v>1310.0874290545</v>
      </c>
      <c r="B3462">
        <v>1339.663567202</v>
      </c>
      <c r="C3462" s="1">
        <f t="shared" si="1026"/>
        <v>2.2575697996617849E-2</v>
      </c>
      <c r="D3462">
        <v>16.602197802197999</v>
      </c>
      <c r="E3462">
        <v>0.33506919223594001</v>
      </c>
      <c r="F3462">
        <v>32</v>
      </c>
      <c r="H3462" t="s">
        <v>19</v>
      </c>
      <c r="I3462">
        <f t="shared" ref="I3462" si="1029">STDEVP(C3446:C3465)</f>
        <v>2.8576930634526907E-3</v>
      </c>
    </row>
    <row r="3463" spans="1:9" x14ac:dyDescent="0.25">
      <c r="A3463">
        <v>1315.6901340418001</v>
      </c>
      <c r="B3463">
        <v>1342.0685907499001</v>
      </c>
      <c r="C3463" s="1">
        <f t="shared" si="1026"/>
        <v>2.0049140770756813E-2</v>
      </c>
      <c r="D3463">
        <v>16.554334554335</v>
      </c>
      <c r="E3463">
        <v>0.3319267720697</v>
      </c>
      <c r="F3463">
        <v>31</v>
      </c>
      <c r="H3463" t="s">
        <v>20</v>
      </c>
      <c r="I3463">
        <f t="shared" ref="I3463" si="1030">STDEVP(D3446:D3465)</f>
        <v>0.10568165859538552</v>
      </c>
    </row>
    <row r="3464" spans="1:9" x14ac:dyDescent="0.25">
      <c r="A3464">
        <v>1305.8606448497001</v>
      </c>
      <c r="B3464">
        <v>1335.0411786016</v>
      </c>
      <c r="C3464" s="1">
        <f t="shared" si="1026"/>
        <v>2.2345825235631001E-2</v>
      </c>
      <c r="D3464">
        <v>16.778510378509999</v>
      </c>
      <c r="E3464">
        <v>0.34117468752494001</v>
      </c>
      <c r="F3464">
        <v>32</v>
      </c>
      <c r="H3464" t="s">
        <v>21</v>
      </c>
      <c r="I3464">
        <f t="shared" ref="I3464" si="1031">STDEVP(E3446:E3465)</f>
        <v>3.1113768839905508E-3</v>
      </c>
    </row>
    <row r="3465" spans="1:9" x14ac:dyDescent="0.25">
      <c r="A3465">
        <v>1308.4385943727</v>
      </c>
      <c r="B3465">
        <v>1335.5783117981</v>
      </c>
      <c r="C3465" s="1">
        <f t="shared" si="1026"/>
        <v>2.0742064275787842E-2</v>
      </c>
      <c r="D3465">
        <v>16.626617826617998</v>
      </c>
      <c r="E3465">
        <v>0.33646010332090998</v>
      </c>
      <c r="F3465">
        <v>32</v>
      </c>
      <c r="H3465" t="s">
        <v>22</v>
      </c>
      <c r="I3465">
        <f t="shared" ref="I3465" si="1032">STDEVP(F3446:F3465)</f>
        <v>0.62449979983983994</v>
      </c>
    </row>
    <row r="3466" spans="1:9" x14ac:dyDescent="0.25">
      <c r="C3466" s="1" t="str">
        <f t="shared" si="1026"/>
        <v/>
      </c>
    </row>
    <row r="3467" spans="1:9" x14ac:dyDescent="0.25">
      <c r="A3467">
        <v>1597.5384615385001</v>
      </c>
      <c r="B3467">
        <v>1631.1928994083</v>
      </c>
      <c r="C3467" s="1">
        <f t="shared" si="1026"/>
        <v>2.1066433566419018E-2</v>
      </c>
      <c r="D3467">
        <v>14.0625</v>
      </c>
      <c r="E3467">
        <v>0.21000315885668</v>
      </c>
      <c r="F3467">
        <v>31</v>
      </c>
    </row>
    <row r="3468" spans="1:9" x14ac:dyDescent="0.25">
      <c r="A3468">
        <v>1592.4828402367</v>
      </c>
      <c r="B3468">
        <v>1633.6520710059001</v>
      </c>
      <c r="C3468" s="1">
        <f t="shared" si="1026"/>
        <v>2.5852228814648326E-2</v>
      </c>
      <c r="D3468">
        <v>14.168269230769001</v>
      </c>
      <c r="E3468">
        <v>0.21268927377267999</v>
      </c>
      <c r="F3468">
        <v>31</v>
      </c>
    </row>
    <row r="3469" spans="1:9" x14ac:dyDescent="0.25">
      <c r="A3469">
        <v>1596.8899408284001</v>
      </c>
      <c r="B3469">
        <v>1638.1680473373001</v>
      </c>
      <c r="C3469" s="1">
        <f t="shared" si="1026"/>
        <v>2.5849061637577053E-2</v>
      </c>
      <c r="D3469">
        <v>13.882692307692</v>
      </c>
      <c r="E3469">
        <v>0.20685018698696001</v>
      </c>
      <c r="F3469">
        <v>31</v>
      </c>
    </row>
    <row r="3470" spans="1:9" x14ac:dyDescent="0.25">
      <c r="A3470">
        <v>1605.4343195265999</v>
      </c>
      <c r="B3470">
        <v>1634.8189349112999</v>
      </c>
      <c r="C3470" s="1">
        <f t="shared" si="1026"/>
        <v>1.830321865385609E-2</v>
      </c>
      <c r="D3470">
        <v>14.225961538462</v>
      </c>
      <c r="E3470">
        <v>0.21167127360072999</v>
      </c>
      <c r="F3470">
        <v>31</v>
      </c>
    </row>
    <row r="3471" spans="1:9" x14ac:dyDescent="0.25">
      <c r="A3471">
        <v>1599.9408284024</v>
      </c>
      <c r="B3471">
        <v>1640.8213017752</v>
      </c>
      <c r="C3471" s="1">
        <f t="shared" si="1026"/>
        <v>2.5551240800336661E-2</v>
      </c>
      <c r="D3471">
        <v>14.129807692308001</v>
      </c>
      <c r="E3471">
        <v>0.21077655438154</v>
      </c>
      <c r="F3471">
        <v>31</v>
      </c>
    </row>
    <row r="3472" spans="1:9" x14ac:dyDescent="0.25">
      <c r="A3472">
        <v>1602.0142011834</v>
      </c>
      <c r="B3472">
        <v>1635.5100591716</v>
      </c>
      <c r="C3472" s="1">
        <f t="shared" si="1026"/>
        <v>2.0908589926017296E-2</v>
      </c>
      <c r="D3472">
        <v>14.066346153846</v>
      </c>
      <c r="E3472">
        <v>0.20927114938474001</v>
      </c>
      <c r="F3472">
        <v>31</v>
      </c>
    </row>
    <row r="3473" spans="1:9" x14ac:dyDescent="0.25">
      <c r="A3473">
        <v>1598.0284023669001</v>
      </c>
      <c r="B3473">
        <v>1632.5680473373</v>
      </c>
      <c r="C3473" s="1">
        <f t="shared" si="1026"/>
        <v>2.1613911817363052E-2</v>
      </c>
      <c r="D3473">
        <v>14.120192307691999</v>
      </c>
      <c r="E3473">
        <v>0.21087273064500001</v>
      </c>
      <c r="F3473">
        <v>32</v>
      </c>
    </row>
    <row r="3474" spans="1:9" x14ac:dyDescent="0.25">
      <c r="A3474">
        <v>1596.7952662722</v>
      </c>
      <c r="B3474">
        <v>1632.8568047337999</v>
      </c>
      <c r="C3474" s="1">
        <f t="shared" si="1026"/>
        <v>2.2583695745658883E-2</v>
      </c>
      <c r="D3474">
        <v>14.177884615385</v>
      </c>
      <c r="E3474">
        <v>0.21214643160782001</v>
      </c>
      <c r="F3474">
        <v>31</v>
      </c>
    </row>
    <row r="3475" spans="1:9" x14ac:dyDescent="0.25">
      <c r="A3475">
        <v>1592.6130177514999</v>
      </c>
      <c r="B3475">
        <v>1629.2520710060001</v>
      </c>
      <c r="C3475" s="1">
        <f t="shared" si="1026"/>
        <v>2.3005622110403356E-2</v>
      </c>
      <c r="D3475">
        <v>14.020192307692</v>
      </c>
      <c r="E3475">
        <v>0.21001752300987001</v>
      </c>
      <c r="F3475">
        <v>31</v>
      </c>
    </row>
    <row r="3476" spans="1:9" x14ac:dyDescent="0.25">
      <c r="A3476">
        <v>1603.4603550295999</v>
      </c>
      <c r="B3476">
        <v>1639.9360946746001</v>
      </c>
      <c r="C3476" s="1">
        <f t="shared" si="1026"/>
        <v>2.2748139379053622E-2</v>
      </c>
      <c r="D3476">
        <v>14.241346153845999</v>
      </c>
      <c r="E3476">
        <v>0.21218168257899001</v>
      </c>
      <c r="F3476">
        <v>31</v>
      </c>
    </row>
    <row r="3477" spans="1:9" x14ac:dyDescent="0.25">
      <c r="A3477">
        <v>1595.1573964496999</v>
      </c>
      <c r="B3477">
        <v>1633.3420118344</v>
      </c>
      <c r="C3477" s="1">
        <f t="shared" si="1026"/>
        <v>2.3937835519984851E-2</v>
      </c>
      <c r="D3477">
        <v>14.038461538462</v>
      </c>
      <c r="E3477">
        <v>0.2099225984118</v>
      </c>
      <c r="F3477">
        <v>32</v>
      </c>
    </row>
    <row r="3478" spans="1:9" x14ac:dyDescent="0.25">
      <c r="A3478">
        <v>1608.1396449704</v>
      </c>
      <c r="B3478">
        <v>1641.1479289941001</v>
      </c>
      <c r="C3478" s="1">
        <f t="shared" si="1026"/>
        <v>2.0525757279186818E-2</v>
      </c>
      <c r="D3478">
        <v>14.183653846154</v>
      </c>
      <c r="E3478">
        <v>0.21046394932418999</v>
      </c>
      <c r="F3478">
        <v>31</v>
      </c>
    </row>
    <row r="3479" spans="1:9" x14ac:dyDescent="0.25">
      <c r="A3479">
        <v>1601.7467455620999</v>
      </c>
      <c r="B3479">
        <v>1640.9325443787</v>
      </c>
      <c r="C3479" s="1">
        <f t="shared" si="1026"/>
        <v>2.4464416066503958E-2</v>
      </c>
      <c r="D3479">
        <v>14.273076923076999</v>
      </c>
      <c r="E3479">
        <v>0.21318643805282</v>
      </c>
      <c r="F3479">
        <v>31</v>
      </c>
    </row>
    <row r="3480" spans="1:9" x14ac:dyDescent="0.25">
      <c r="A3480">
        <v>1608.8165680473001</v>
      </c>
      <c r="B3480">
        <v>1647.3869822485999</v>
      </c>
      <c r="C3480" s="1">
        <f t="shared" si="1026"/>
        <v>2.3974401412408808E-2</v>
      </c>
      <c r="D3480">
        <v>14.246153846154</v>
      </c>
      <c r="E3480">
        <v>0.21157655227637001</v>
      </c>
      <c r="F3480">
        <v>31</v>
      </c>
    </row>
    <row r="3481" spans="1:9" x14ac:dyDescent="0.25">
      <c r="A3481">
        <v>1605.3751479289999</v>
      </c>
      <c r="B3481">
        <v>1632.7242603550999</v>
      </c>
      <c r="C3481" s="1">
        <f t="shared" si="1026"/>
        <v>1.703596350135439E-2</v>
      </c>
      <c r="D3481">
        <v>14.093269230769</v>
      </c>
      <c r="E3481">
        <v>0.20918085888997001</v>
      </c>
      <c r="F3481">
        <v>31</v>
      </c>
      <c r="H3481" t="s">
        <v>17</v>
      </c>
      <c r="I3481">
        <f t="shared" ref="I3481" si="1033">STDEVP(A3467:A3486)</f>
        <v>5.0692243402574517</v>
      </c>
    </row>
    <row r="3482" spans="1:9" x14ac:dyDescent="0.25">
      <c r="A3482">
        <v>1599.0508875739999</v>
      </c>
      <c r="B3482">
        <v>1629.6260355029999</v>
      </c>
      <c r="C3482" s="1">
        <f t="shared" si="1026"/>
        <v>1.9120809829502816E-2</v>
      </c>
      <c r="D3482">
        <v>14.209615384615001</v>
      </c>
      <c r="E3482">
        <v>0.21238763722024001</v>
      </c>
      <c r="F3482">
        <v>31</v>
      </c>
      <c r="H3482" t="s">
        <v>18</v>
      </c>
      <c r="I3482">
        <f t="shared" ref="I3482" si="1034">STDEVP(B3467:B3486)</f>
        <v>4.8096787681302731</v>
      </c>
    </row>
    <row r="3483" spans="1:9" x14ac:dyDescent="0.25">
      <c r="A3483">
        <v>1604.7526627218999</v>
      </c>
      <c r="B3483">
        <v>1638.4189349113001</v>
      </c>
      <c r="C3483" s="1">
        <f t="shared" si="1026"/>
        <v>2.0979103491435946E-2</v>
      </c>
      <c r="D3483">
        <v>14.016346153845999</v>
      </c>
      <c r="E3483">
        <v>0.20803856672908</v>
      </c>
      <c r="F3483">
        <v>32</v>
      </c>
      <c r="H3483" t="s">
        <v>19</v>
      </c>
      <c r="I3483">
        <f t="shared" ref="I3483" si="1035">STDEVP(C3467:C3486)</f>
        <v>2.7489699972433946E-3</v>
      </c>
    </row>
    <row r="3484" spans="1:9" x14ac:dyDescent="0.25">
      <c r="A3484">
        <v>1590.2390532544</v>
      </c>
      <c r="B3484">
        <v>1631.8201183432</v>
      </c>
      <c r="C3484" s="1">
        <f t="shared" si="1026"/>
        <v>2.6147682012779727E-2</v>
      </c>
      <c r="D3484">
        <v>13.998076923077001</v>
      </c>
      <c r="E3484">
        <v>0.20999543989269001</v>
      </c>
      <c r="F3484">
        <v>31</v>
      </c>
      <c r="H3484" t="s">
        <v>20</v>
      </c>
      <c r="I3484">
        <f t="shared" ref="I3484" si="1036">STDEVP(D3467:D3486)</f>
        <v>0.10064575156311444</v>
      </c>
    </row>
    <row r="3485" spans="1:9" x14ac:dyDescent="0.25">
      <c r="A3485">
        <v>1602.2934911243001</v>
      </c>
      <c r="B3485">
        <v>1641.0485207101001</v>
      </c>
      <c r="C3485" s="1">
        <f t="shared" si="1026"/>
        <v>2.4187222753183857E-2</v>
      </c>
      <c r="D3485">
        <v>14.158653846153999</v>
      </c>
      <c r="E3485">
        <v>0.21096574869320001</v>
      </c>
      <c r="F3485">
        <v>31</v>
      </c>
      <c r="H3485" t="s">
        <v>21</v>
      </c>
      <c r="I3485">
        <f t="shared" ref="I3485" si="1037">STDEVP(E3467:E3486)</f>
        <v>1.6286127852466017E-3</v>
      </c>
    </row>
    <row r="3486" spans="1:9" x14ac:dyDescent="0.25">
      <c r="A3486">
        <v>1602.1017751479001</v>
      </c>
      <c r="B3486">
        <v>1630.0710059172</v>
      </c>
      <c r="C3486" s="1">
        <f t="shared" si="1026"/>
        <v>1.7457836451568731E-2</v>
      </c>
      <c r="D3486">
        <v>14.006730769231</v>
      </c>
      <c r="E3486">
        <v>0.20820181483882</v>
      </c>
      <c r="F3486">
        <v>31</v>
      </c>
      <c r="H3486" t="s">
        <v>22</v>
      </c>
      <c r="I3486">
        <f t="shared" ref="I3486" si="1038">STDEVP(F3467:F3486)</f>
        <v>0.35707142142714249</v>
      </c>
    </row>
    <row r="3487" spans="1:9" x14ac:dyDescent="0.25">
      <c r="C3487" s="1" t="str">
        <f t="shared" si="1026"/>
        <v/>
      </c>
    </row>
    <row r="3488" spans="1:9" x14ac:dyDescent="0.25">
      <c r="A3488">
        <v>2577.1756232686998</v>
      </c>
      <c r="B3488">
        <v>2627.2066481994998</v>
      </c>
      <c r="C3488" s="1">
        <f t="shared" si="1026"/>
        <v>1.9413122054656284E-2</v>
      </c>
      <c r="D3488">
        <v>18.417917133258999</v>
      </c>
      <c r="E3488">
        <v>0.16482888876179999</v>
      </c>
      <c r="F3488">
        <v>31</v>
      </c>
    </row>
    <row r="3489" spans="1:9" x14ac:dyDescent="0.25">
      <c r="A3489">
        <v>2586.0975069251999</v>
      </c>
      <c r="B3489">
        <v>2621.3285318560002</v>
      </c>
      <c r="C3489" s="1">
        <f t="shared" si="1026"/>
        <v>1.3623239199781256E-2</v>
      </c>
      <c r="D3489">
        <v>18.413437849944</v>
      </c>
      <c r="E3489">
        <v>0.16412105829785001</v>
      </c>
      <c r="F3489">
        <v>32</v>
      </c>
    </row>
    <row r="3490" spans="1:9" x14ac:dyDescent="0.25">
      <c r="A3490">
        <v>2582.0930747921998</v>
      </c>
      <c r="B3490">
        <v>2617.4869806094998</v>
      </c>
      <c r="C3490" s="1">
        <f t="shared" si="1026"/>
        <v>1.3707447714737642E-2</v>
      </c>
      <c r="D3490">
        <v>18.443001119821002</v>
      </c>
      <c r="E3490">
        <v>0.16471781040271999</v>
      </c>
      <c r="F3490">
        <v>31</v>
      </c>
    </row>
    <row r="3491" spans="1:9" x14ac:dyDescent="0.25">
      <c r="A3491">
        <v>2578.6193905816999</v>
      </c>
      <c r="B3491">
        <v>2631.6797783933998</v>
      </c>
      <c r="C3491" s="1">
        <f t="shared" si="1026"/>
        <v>2.0577052978621335E-2</v>
      </c>
      <c r="D3491">
        <v>18.383426651735999</v>
      </c>
      <c r="E3491">
        <v>0.16438501944493</v>
      </c>
      <c r="F3491">
        <v>32</v>
      </c>
    </row>
    <row r="3492" spans="1:9" x14ac:dyDescent="0.25">
      <c r="A3492">
        <v>2593.1501385042002</v>
      </c>
      <c r="B3492">
        <v>2628.8465373961999</v>
      </c>
      <c r="C3492" s="1">
        <f t="shared" si="1026"/>
        <v>1.3765650650906958E-2</v>
      </c>
      <c r="D3492">
        <v>18.353863381859</v>
      </c>
      <c r="E3492">
        <v>0.16305343176893999</v>
      </c>
      <c r="F3492">
        <v>31</v>
      </c>
    </row>
    <row r="3493" spans="1:9" x14ac:dyDescent="0.25">
      <c r="A3493">
        <v>2579.6875346259999</v>
      </c>
      <c r="B3493">
        <v>2616.4664819945001</v>
      </c>
      <c r="C3493" s="1">
        <f t="shared" si="1026"/>
        <v>1.425713264681594E-2</v>
      </c>
      <c r="D3493">
        <v>18.484210526316001</v>
      </c>
      <c r="E3493">
        <v>0.16537064418094</v>
      </c>
      <c r="F3493">
        <v>31</v>
      </c>
    </row>
    <row r="3494" spans="1:9" x14ac:dyDescent="0.25">
      <c r="A3494">
        <v>2581.8980609417999</v>
      </c>
      <c r="B3494">
        <v>2616.6847645429998</v>
      </c>
      <c r="C3494" s="1">
        <f t="shared" si="1026"/>
        <v>1.3473306373881666E-2</v>
      </c>
      <c r="D3494">
        <v>18.305487122060001</v>
      </c>
      <c r="E3494">
        <v>0.16332504974625001</v>
      </c>
      <c r="F3494">
        <v>32</v>
      </c>
    </row>
    <row r="3495" spans="1:9" x14ac:dyDescent="0.25">
      <c r="A3495">
        <v>2585.5313019391001</v>
      </c>
      <c r="B3495">
        <v>2618.6626038782001</v>
      </c>
      <c r="C3495" s="1">
        <f t="shared" si="1026"/>
        <v>1.2814117513971768E-2</v>
      </c>
      <c r="D3495">
        <v>18.364613661814001</v>
      </c>
      <c r="E3495">
        <v>0.16367887183895</v>
      </c>
      <c r="F3495">
        <v>31</v>
      </c>
    </row>
    <row r="3496" spans="1:9" x14ac:dyDescent="0.25">
      <c r="A3496">
        <v>2581.5922437672998</v>
      </c>
      <c r="B3496">
        <v>2615.4182825486</v>
      </c>
      <c r="C3496" s="1">
        <f t="shared" si="1026"/>
        <v>1.3102781379579209E-2</v>
      </c>
      <c r="D3496">
        <v>18.370884658455001</v>
      </c>
      <c r="E3496">
        <v>0.16403246711778999</v>
      </c>
      <c r="F3496">
        <v>32</v>
      </c>
    </row>
    <row r="3497" spans="1:9" x14ac:dyDescent="0.25">
      <c r="A3497">
        <v>2580.9939058171999</v>
      </c>
      <c r="B3497">
        <v>2625.2930747923001</v>
      </c>
      <c r="C3497" s="1">
        <f t="shared" si="1026"/>
        <v>1.7163608513470763E-2</v>
      </c>
      <c r="D3497">
        <v>18.302351623740002</v>
      </c>
      <c r="E3497">
        <v>0.16339825098175001</v>
      </c>
      <c r="F3497">
        <v>32</v>
      </c>
    </row>
    <row r="3498" spans="1:9" x14ac:dyDescent="0.25">
      <c r="A3498">
        <v>2573.2554016620002</v>
      </c>
      <c r="B3498">
        <v>2608.4121883656999</v>
      </c>
      <c r="C3498" s="1">
        <f t="shared" si="1026"/>
        <v>1.3662377500885725E-2</v>
      </c>
      <c r="D3498">
        <v>18.370884658455001</v>
      </c>
      <c r="E3498">
        <v>0.16460039133733001</v>
      </c>
      <c r="F3498">
        <v>31</v>
      </c>
    </row>
    <row r="3499" spans="1:9" x14ac:dyDescent="0.25">
      <c r="A3499">
        <v>2575.6498614958</v>
      </c>
      <c r="B3499">
        <v>2622.4487534627001</v>
      </c>
      <c r="C3499" s="1">
        <f t="shared" si="1026"/>
        <v>1.816974141808303E-2</v>
      </c>
      <c r="D3499">
        <v>18.395072788354</v>
      </c>
      <c r="E3499">
        <v>0.16474675910735001</v>
      </c>
      <c r="F3499">
        <v>31</v>
      </c>
    </row>
    <row r="3500" spans="1:9" x14ac:dyDescent="0.25">
      <c r="A3500">
        <v>2585.9346260388002</v>
      </c>
      <c r="B3500">
        <v>2617.6332409973002</v>
      </c>
      <c r="C3500" s="1">
        <f t="shared" si="1026"/>
        <v>1.2258088290134639E-2</v>
      </c>
      <c r="D3500">
        <v>18.474356103024</v>
      </c>
      <c r="E3500">
        <v>0.16479821683129001</v>
      </c>
      <c r="F3500">
        <v>32</v>
      </c>
    </row>
    <row r="3501" spans="1:9" x14ac:dyDescent="0.25">
      <c r="A3501">
        <v>2571.6609418283001</v>
      </c>
      <c r="B3501">
        <v>2611.8227146815002</v>
      </c>
      <c r="C3501" s="1">
        <f t="shared" si="1026"/>
        <v>1.5617055965646554E-2</v>
      </c>
      <c r="D3501">
        <v>18.380739081746999</v>
      </c>
      <c r="E3501">
        <v>0.16486168638307999</v>
      </c>
      <c r="F3501">
        <v>32</v>
      </c>
    </row>
    <row r="3502" spans="1:9" x14ac:dyDescent="0.25">
      <c r="A3502">
        <v>2577.0349030471002</v>
      </c>
      <c r="B3502">
        <v>2615.6875346260999</v>
      </c>
      <c r="C3502" s="1">
        <f t="shared" si="1026"/>
        <v>1.4998877792961496E-2</v>
      </c>
      <c r="D3502">
        <v>18.501231802911999</v>
      </c>
      <c r="E3502">
        <v>0.16570424185647001</v>
      </c>
      <c r="F3502">
        <v>31</v>
      </c>
      <c r="H3502" t="s">
        <v>17</v>
      </c>
      <c r="I3502">
        <f t="shared" ref="I3502" si="1039">STDEVP(A3488:A3507)</f>
        <v>6.2237974635780322</v>
      </c>
    </row>
    <row r="3503" spans="1:9" x14ac:dyDescent="0.25">
      <c r="A3503">
        <v>2573.1678670360002</v>
      </c>
      <c r="B3503">
        <v>2617.0459833795999</v>
      </c>
      <c r="C3503" s="1">
        <f t="shared" si="1026"/>
        <v>1.7052177942103119E-2</v>
      </c>
      <c r="D3503">
        <v>18.380291153415001</v>
      </c>
      <c r="E3503">
        <v>0.16473918625555001</v>
      </c>
      <c r="F3503">
        <v>32</v>
      </c>
      <c r="H3503" t="s">
        <v>18</v>
      </c>
      <c r="I3503">
        <f t="shared" ref="I3503" si="1040">STDEVP(B3488:B3507)</f>
        <v>5.9141364642782186</v>
      </c>
    </row>
    <row r="3504" spans="1:9" x14ac:dyDescent="0.25">
      <c r="A3504">
        <v>2579.9711911356999</v>
      </c>
      <c r="B3504">
        <v>2623.4891966760001</v>
      </c>
      <c r="C3504" s="1">
        <f t="shared" si="1026"/>
        <v>1.6867632355671347E-2</v>
      </c>
      <c r="D3504">
        <v>18.481522956327002</v>
      </c>
      <c r="E3504">
        <v>0.16529115660787999</v>
      </c>
      <c r="F3504">
        <v>32</v>
      </c>
      <c r="H3504" t="s">
        <v>19</v>
      </c>
      <c r="I3504">
        <f t="shared" ref="I3504" si="1041">STDEVP(C3488:C3507)</f>
        <v>2.3265631444434379E-3</v>
      </c>
    </row>
    <row r="3505" spans="1:9" x14ac:dyDescent="0.25">
      <c r="A3505">
        <v>2565.9235457064001</v>
      </c>
      <c r="B3505">
        <v>2611.2332409973001</v>
      </c>
      <c r="C3505" s="1">
        <f t="shared" si="1026"/>
        <v>1.7658240584259577E-2</v>
      </c>
      <c r="D3505">
        <v>18.318477043672999</v>
      </c>
      <c r="E3505">
        <v>0.16463900061302</v>
      </c>
      <c r="F3505">
        <v>31</v>
      </c>
      <c r="H3505" t="s">
        <v>20</v>
      </c>
      <c r="I3505">
        <f t="shared" ref="I3505" si="1042">STDEVP(D3488:D3507)</f>
        <v>5.6228655940877934E-2</v>
      </c>
    </row>
    <row r="3506" spans="1:9" x14ac:dyDescent="0.25">
      <c r="A3506">
        <v>2573.6398891967001</v>
      </c>
      <c r="B3506">
        <v>2619.2498614958999</v>
      </c>
      <c r="C3506" s="1">
        <f t="shared" si="1026"/>
        <v>1.7721971317998131E-2</v>
      </c>
      <c r="D3506">
        <v>18.414781634937999</v>
      </c>
      <c r="E3506">
        <v>0.16508027612542001</v>
      </c>
      <c r="F3506">
        <v>32</v>
      </c>
      <c r="H3506" t="s">
        <v>21</v>
      </c>
      <c r="I3506">
        <f t="shared" ref="I3506" si="1043">STDEVP(E3488:E3507)</f>
        <v>7.0066836566676346E-4</v>
      </c>
    </row>
    <row r="3507" spans="1:9" x14ac:dyDescent="0.25">
      <c r="A3507">
        <v>2570.8786703600999</v>
      </c>
      <c r="B3507">
        <v>2613.5479224377</v>
      </c>
      <c r="C3507" s="1">
        <f t="shared" si="1026"/>
        <v>1.6597147337032103E-2</v>
      </c>
      <c r="D3507">
        <v>18.398656215006</v>
      </c>
      <c r="E3507">
        <v>0.16513341407942</v>
      </c>
      <c r="F3507">
        <v>32</v>
      </c>
      <c r="H3507" t="s">
        <v>22</v>
      </c>
      <c r="I3507">
        <f t="shared" ref="I3507" si="1044">STDEVP(F3488:F3507)</f>
        <v>0.49749371855330998</v>
      </c>
    </row>
    <row r="3508" spans="1:9" x14ac:dyDescent="0.25">
      <c r="C3508" s="1" t="str">
        <f t="shared" si="1026"/>
        <v/>
      </c>
    </row>
    <row r="3509" spans="1:9" x14ac:dyDescent="0.25">
      <c r="A3509">
        <v>1074.8125</v>
      </c>
      <c r="B3509">
        <v>1151.5</v>
      </c>
      <c r="C3509" s="1">
        <f t="shared" si="1026"/>
        <v>7.1349654009420282E-2</v>
      </c>
      <c r="D3509">
        <v>13.083333333333</v>
      </c>
      <c r="E3509">
        <v>0.29637775505493003</v>
      </c>
      <c r="F3509">
        <v>12</v>
      </c>
    </row>
    <row r="3510" spans="1:9" x14ac:dyDescent="0.25">
      <c r="A3510">
        <v>1087.3125</v>
      </c>
      <c r="B3510">
        <v>1151.625</v>
      </c>
      <c r="C3510" s="1">
        <f t="shared" si="1026"/>
        <v>5.9148128987756454E-2</v>
      </c>
      <c r="D3510">
        <v>13.25</v>
      </c>
      <c r="E3510">
        <v>0.29676664897479998</v>
      </c>
      <c r="F3510">
        <v>12</v>
      </c>
    </row>
    <row r="3511" spans="1:9" x14ac:dyDescent="0.25">
      <c r="A3511">
        <v>1082.75</v>
      </c>
      <c r="B3511">
        <v>1146.8125</v>
      </c>
      <c r="C3511" s="1">
        <f t="shared" si="1026"/>
        <v>5.9166474255368362E-2</v>
      </c>
      <c r="D3511">
        <v>12.666666666667</v>
      </c>
      <c r="E3511">
        <v>0.28173521383925998</v>
      </c>
      <c r="F3511">
        <v>12</v>
      </c>
    </row>
    <row r="3512" spans="1:9" x14ac:dyDescent="0.25">
      <c r="A3512">
        <v>1108.8125</v>
      </c>
      <c r="B3512">
        <v>1164.5</v>
      </c>
      <c r="C3512" s="1">
        <f t="shared" si="1026"/>
        <v>5.0222648103263712E-2</v>
      </c>
      <c r="D3512">
        <v>13.983333333333</v>
      </c>
      <c r="E3512">
        <v>0.31043840584117</v>
      </c>
      <c r="F3512">
        <v>12</v>
      </c>
    </row>
    <row r="3513" spans="1:9" x14ac:dyDescent="0.25">
      <c r="A3513">
        <v>1095.625</v>
      </c>
      <c r="B3513">
        <v>1165.53125</v>
      </c>
      <c r="C3513" s="1">
        <f t="shared" si="1026"/>
        <v>6.3804905875641804E-2</v>
      </c>
      <c r="D3513">
        <v>13.366666666666999</v>
      </c>
      <c r="E3513">
        <v>0.29709618623278</v>
      </c>
      <c r="F3513">
        <v>12</v>
      </c>
    </row>
    <row r="3514" spans="1:9" x14ac:dyDescent="0.25">
      <c r="A3514">
        <v>1092.5625</v>
      </c>
      <c r="B3514">
        <v>1158.625</v>
      </c>
      <c r="C3514" s="1">
        <f t="shared" si="1026"/>
        <v>6.0465648418282614E-2</v>
      </c>
      <c r="D3514">
        <v>13.583333333333</v>
      </c>
      <c r="E3514">
        <v>0.30443381330965003</v>
      </c>
      <c r="F3514">
        <v>12</v>
      </c>
    </row>
    <row r="3515" spans="1:9" x14ac:dyDescent="0.25">
      <c r="A3515">
        <v>1058.9375</v>
      </c>
      <c r="B3515">
        <v>1145.625</v>
      </c>
      <c r="C3515" s="1">
        <f t="shared" si="1026"/>
        <v>8.1862716165968186E-2</v>
      </c>
      <c r="D3515">
        <v>12.25</v>
      </c>
      <c r="E3515">
        <v>0.27768273922844999</v>
      </c>
      <c r="F3515">
        <v>13</v>
      </c>
    </row>
    <row r="3516" spans="1:9" x14ac:dyDescent="0.25">
      <c r="A3516">
        <v>1106</v>
      </c>
      <c r="B3516">
        <v>1134.09375</v>
      </c>
      <c r="C3516" s="1">
        <f t="shared" si="1026"/>
        <v>2.540122061482819E-2</v>
      </c>
      <c r="D3516">
        <v>13.166666666667</v>
      </c>
      <c r="E3516">
        <v>0.28773381999029002</v>
      </c>
      <c r="F3516">
        <v>12</v>
      </c>
    </row>
    <row r="3517" spans="1:9" x14ac:dyDescent="0.25">
      <c r="A3517">
        <v>1095.1875</v>
      </c>
      <c r="B3517">
        <v>1166.375</v>
      </c>
      <c r="C3517" s="1">
        <f t="shared" si="1026"/>
        <v>6.5000285339268382E-2</v>
      </c>
      <c r="D3517">
        <v>13.583333333333</v>
      </c>
      <c r="E3517">
        <v>0.30336015363569002</v>
      </c>
      <c r="F3517">
        <v>12</v>
      </c>
    </row>
    <row r="3518" spans="1:9" x14ac:dyDescent="0.25">
      <c r="A3518">
        <v>1094.125</v>
      </c>
      <c r="B3518">
        <v>1152.5</v>
      </c>
      <c r="C3518" s="1">
        <f t="shared" si="1026"/>
        <v>5.3353136067634033E-2</v>
      </c>
      <c r="D3518">
        <v>13.466666666667001</v>
      </c>
      <c r="E3518">
        <v>0.30118243284190999</v>
      </c>
      <c r="F3518">
        <v>12</v>
      </c>
    </row>
    <row r="3519" spans="1:9" x14ac:dyDescent="0.25">
      <c r="A3519">
        <v>1095.375</v>
      </c>
      <c r="B3519">
        <v>1170</v>
      </c>
      <c r="C3519" s="1">
        <f t="shared" si="1026"/>
        <v>6.8127353646011635E-2</v>
      </c>
      <c r="D3519">
        <v>13.533333333332999</v>
      </c>
      <c r="E3519">
        <v>0.30189530220747002</v>
      </c>
      <c r="F3519">
        <v>12</v>
      </c>
    </row>
    <row r="3520" spans="1:9" x14ac:dyDescent="0.25">
      <c r="A3520">
        <v>1075.6875</v>
      </c>
      <c r="B3520">
        <v>1155.4375</v>
      </c>
      <c r="C3520" s="1">
        <f t="shared" si="1026"/>
        <v>7.4138632270059901E-2</v>
      </c>
      <c r="D3520">
        <v>13.65</v>
      </c>
      <c r="E3520">
        <v>0.31236438066984001</v>
      </c>
      <c r="F3520">
        <v>12</v>
      </c>
    </row>
    <row r="3521" spans="1:9" x14ac:dyDescent="0.25">
      <c r="A3521">
        <v>1079</v>
      </c>
      <c r="B3521">
        <v>1147.5625</v>
      </c>
      <c r="C3521" s="1">
        <f t="shared" si="1026"/>
        <v>6.3542632066728499E-2</v>
      </c>
      <c r="D3521">
        <v>12.366666666666999</v>
      </c>
      <c r="E3521">
        <v>0.27428062286483001</v>
      </c>
      <c r="F3521">
        <v>12</v>
      </c>
    </row>
    <row r="3522" spans="1:9" x14ac:dyDescent="0.25">
      <c r="A3522">
        <v>1106.125</v>
      </c>
      <c r="B3522">
        <v>1157.59375</v>
      </c>
      <c r="C3522" s="1">
        <f t="shared" ref="C3522:C3585" si="1045">IFERROR((B3522/A3522)-1,"")</f>
        <v>4.6530681432930265E-2</v>
      </c>
      <c r="D3522">
        <v>13.166666666667</v>
      </c>
      <c r="E3522">
        <v>0.28836476173115</v>
      </c>
      <c r="F3522">
        <v>13</v>
      </c>
    </row>
    <row r="3523" spans="1:9" x14ac:dyDescent="0.25">
      <c r="A3523">
        <v>1091.125</v>
      </c>
      <c r="B3523">
        <v>1144.375</v>
      </c>
      <c r="C3523" s="1">
        <f t="shared" si="1045"/>
        <v>4.8802841104364836E-2</v>
      </c>
      <c r="D3523">
        <v>13.433333333333</v>
      </c>
      <c r="E3523">
        <v>0.30058636159349</v>
      </c>
      <c r="F3523">
        <v>12</v>
      </c>
      <c r="H3523" t="s">
        <v>17</v>
      </c>
      <c r="I3523">
        <f t="shared" ref="I3523" si="1046">STDEVP(A3509:A3528)</f>
        <v>13.098148127693472</v>
      </c>
    </row>
    <row r="3524" spans="1:9" x14ac:dyDescent="0.25">
      <c r="A3524">
        <v>1073.4375</v>
      </c>
      <c r="B3524">
        <v>1150.5</v>
      </c>
      <c r="C3524" s="1">
        <f t="shared" si="1045"/>
        <v>7.1790393013100529E-2</v>
      </c>
      <c r="D3524">
        <v>12.75</v>
      </c>
      <c r="E3524">
        <v>0.28711011415274001</v>
      </c>
      <c r="F3524">
        <v>12</v>
      </c>
      <c r="H3524" t="s">
        <v>18</v>
      </c>
      <c r="I3524">
        <f t="shared" ref="I3524" si="1047">STDEVP(B3509:B3528)</f>
        <v>10.055041271942585</v>
      </c>
    </row>
    <row r="3525" spans="1:9" x14ac:dyDescent="0.25">
      <c r="A3525">
        <v>1103.6875</v>
      </c>
      <c r="B3525">
        <v>1163.71875</v>
      </c>
      <c r="C3525" s="1">
        <f t="shared" si="1045"/>
        <v>5.439152839911654E-2</v>
      </c>
      <c r="D3525">
        <v>13.75</v>
      </c>
      <c r="E3525">
        <v>0.30522533703999</v>
      </c>
      <c r="F3525">
        <v>12</v>
      </c>
      <c r="H3525" t="s">
        <v>19</v>
      </c>
      <c r="I3525">
        <f t="shared" ref="I3525" si="1048">STDEVP(C3509:C3528)</f>
        <v>1.4773585471085822E-2</v>
      </c>
    </row>
    <row r="3526" spans="1:9" x14ac:dyDescent="0.25">
      <c r="A3526">
        <v>1081.0625</v>
      </c>
      <c r="B3526">
        <v>1168</v>
      </c>
      <c r="C3526" s="1">
        <f t="shared" si="1045"/>
        <v>8.0418569694166608E-2</v>
      </c>
      <c r="D3526">
        <v>12.95</v>
      </c>
      <c r="E3526">
        <v>0.29002461594791001</v>
      </c>
      <c r="F3526">
        <v>12</v>
      </c>
      <c r="H3526" t="s">
        <v>20</v>
      </c>
      <c r="I3526">
        <f t="shared" ref="I3526" si="1049">STDEVP(D3509:D3528)</f>
        <v>0.45316479710281271</v>
      </c>
    </row>
    <row r="3527" spans="1:9" x14ac:dyDescent="0.25">
      <c r="A3527">
        <v>1105.25</v>
      </c>
      <c r="B3527">
        <v>1135</v>
      </c>
      <c r="C3527" s="1">
        <f t="shared" si="1045"/>
        <v>2.6916987106989421E-2</v>
      </c>
      <c r="D3527">
        <v>13.7</v>
      </c>
      <c r="E3527">
        <v>0.30337779317037999</v>
      </c>
      <c r="F3527">
        <v>12</v>
      </c>
      <c r="H3527" t="s">
        <v>21</v>
      </c>
      <c r="I3527">
        <f t="shared" ref="I3527" si="1050">STDEVP(E3509:E3528)</f>
        <v>1.0226726206944141E-2</v>
      </c>
    </row>
    <row r="3528" spans="1:9" x14ac:dyDescent="0.25">
      <c r="A3528">
        <v>1079.875</v>
      </c>
      <c r="B3528">
        <v>1156.21875</v>
      </c>
      <c r="C3528" s="1">
        <f t="shared" si="1045"/>
        <v>7.069683991202691E-2</v>
      </c>
      <c r="D3528">
        <v>13</v>
      </c>
      <c r="E3528">
        <v>0.29184880909824001</v>
      </c>
      <c r="F3528">
        <v>12</v>
      </c>
      <c r="H3528" t="s">
        <v>22</v>
      </c>
      <c r="I3528">
        <f t="shared" ref="I3528" si="1051">STDEVP(F3509:F3528)</f>
        <v>0.30000000000000004</v>
      </c>
    </row>
    <row r="3529" spans="1:9" x14ac:dyDescent="0.25">
      <c r="C3529" s="1" t="str">
        <f t="shared" si="1045"/>
        <v/>
      </c>
    </row>
    <row r="3530" spans="1:9" x14ac:dyDescent="0.25">
      <c r="A3530">
        <v>1357.2659131468999</v>
      </c>
      <c r="B3530">
        <v>1393.7477691849999</v>
      </c>
      <c r="C3530" s="1">
        <f t="shared" si="1045"/>
        <v>2.6878930417927327E-2</v>
      </c>
      <c r="D3530">
        <v>11.804878048779999</v>
      </c>
      <c r="E3530">
        <v>0.20471628298795999</v>
      </c>
      <c r="F3530">
        <v>16</v>
      </c>
    </row>
    <row r="3531" spans="1:9" x14ac:dyDescent="0.25">
      <c r="A3531">
        <v>1349.0612730518001</v>
      </c>
      <c r="B3531">
        <v>1397.9857227841001</v>
      </c>
      <c r="C3531" s="1">
        <f t="shared" si="1045"/>
        <v>3.6265550505074406E-2</v>
      </c>
      <c r="D3531">
        <v>11.624390243902001</v>
      </c>
      <c r="E3531">
        <v>0.20247244981536999</v>
      </c>
      <c r="F3531">
        <v>16</v>
      </c>
    </row>
    <row r="3532" spans="1:9" x14ac:dyDescent="0.25">
      <c r="A3532">
        <v>1341.4717430101</v>
      </c>
      <c r="B3532">
        <v>1383.5490779298</v>
      </c>
      <c r="C3532" s="1">
        <f t="shared" si="1045"/>
        <v>3.1366545839633941E-2</v>
      </c>
      <c r="D3532">
        <v>11.682926829268</v>
      </c>
      <c r="E3532">
        <v>0.20484563869217001</v>
      </c>
      <c r="F3532">
        <v>17</v>
      </c>
    </row>
    <row r="3533" spans="1:9" x14ac:dyDescent="0.25">
      <c r="A3533">
        <v>1350.7293277811</v>
      </c>
      <c r="B3533">
        <v>1389.9119571684</v>
      </c>
      <c r="C3533" s="1">
        <f t="shared" si="1045"/>
        <v>2.900849828415808E-2</v>
      </c>
      <c r="D3533">
        <v>11.60487804878</v>
      </c>
      <c r="E3533">
        <v>0.20182376446156</v>
      </c>
      <c r="F3533">
        <v>16</v>
      </c>
    </row>
    <row r="3534" spans="1:9" x14ac:dyDescent="0.25">
      <c r="A3534">
        <v>1349.6240333134999</v>
      </c>
      <c r="B3534">
        <v>1382.5746579417</v>
      </c>
      <c r="C3534" s="1">
        <f t="shared" si="1045"/>
        <v>2.4414669430050218E-2</v>
      </c>
      <c r="D3534">
        <v>11.670731707317</v>
      </c>
      <c r="E3534">
        <v>0.20311056969499999</v>
      </c>
      <c r="F3534">
        <v>16</v>
      </c>
    </row>
    <row r="3535" spans="1:9" x14ac:dyDescent="0.25">
      <c r="A3535">
        <v>1355.3158834026999</v>
      </c>
      <c r="B3535">
        <v>1394.7126710292</v>
      </c>
      <c r="C3535" s="1">
        <f t="shared" si="1045"/>
        <v>2.9068343482841152E-2</v>
      </c>
      <c r="D3535">
        <v>11.802439024390001</v>
      </c>
      <c r="E3535">
        <v>0.20513553522239</v>
      </c>
      <c r="F3535">
        <v>17</v>
      </c>
    </row>
    <row r="3536" spans="1:9" x14ac:dyDescent="0.25">
      <c r="A3536">
        <v>1363.4039262343999</v>
      </c>
      <c r="B3536">
        <v>1395.760856633</v>
      </c>
      <c r="C3536" s="1">
        <f t="shared" si="1045"/>
        <v>2.3732460920782961E-2</v>
      </c>
      <c r="D3536">
        <v>11.721951219512</v>
      </c>
      <c r="E3536">
        <v>0.20187631842678</v>
      </c>
      <c r="F3536">
        <v>16</v>
      </c>
    </row>
    <row r="3537" spans="1:9" x14ac:dyDescent="0.25">
      <c r="A3537">
        <v>1349.5002974419999</v>
      </c>
      <c r="B3537">
        <v>1399.6632956574001</v>
      </c>
      <c r="C3537" s="1">
        <f t="shared" si="1045"/>
        <v>3.7171535501314912E-2</v>
      </c>
      <c r="D3537">
        <v>11.724390243902</v>
      </c>
      <c r="E3537">
        <v>0.20439651924380001</v>
      </c>
      <c r="F3537">
        <v>16</v>
      </c>
    </row>
    <row r="3538" spans="1:9" x14ac:dyDescent="0.25">
      <c r="A3538">
        <v>1356.7900059487999</v>
      </c>
      <c r="B3538">
        <v>1390.8518738846001</v>
      </c>
      <c r="C3538" s="1">
        <f t="shared" si="1045"/>
        <v>2.5104745602825052E-2</v>
      </c>
      <c r="D3538">
        <v>11.680487804878</v>
      </c>
      <c r="E3538">
        <v>0.20208342666854001</v>
      </c>
      <c r="F3538">
        <v>17</v>
      </c>
    </row>
    <row r="3539" spans="1:9" x14ac:dyDescent="0.25">
      <c r="A3539">
        <v>1352.750743605</v>
      </c>
      <c r="B3539">
        <v>1396.7007733492001</v>
      </c>
      <c r="C3539" s="1">
        <f t="shared" si="1045"/>
        <v>3.2489377627008986E-2</v>
      </c>
      <c r="D3539">
        <v>11.760975609756001</v>
      </c>
      <c r="E3539">
        <v>0.2044128314408</v>
      </c>
      <c r="F3539">
        <v>16</v>
      </c>
    </row>
    <row r="3540" spans="1:9" x14ac:dyDescent="0.25">
      <c r="A3540">
        <v>1350.6067816776001</v>
      </c>
      <c r="B3540">
        <v>1389.5002974419999</v>
      </c>
      <c r="C3540" s="1">
        <f t="shared" si="1045"/>
        <v>2.8797068319240893E-2</v>
      </c>
      <c r="D3540">
        <v>11.756097560976</v>
      </c>
      <c r="E3540">
        <v>0.2048369258926</v>
      </c>
      <c r="F3540">
        <v>16</v>
      </c>
    </row>
    <row r="3541" spans="1:9" x14ac:dyDescent="0.25">
      <c r="A3541">
        <v>1345.1980963712001</v>
      </c>
      <c r="B3541">
        <v>1398.6519928614</v>
      </c>
      <c r="C3541" s="1">
        <f t="shared" si="1045"/>
        <v>3.9736821390393695E-2</v>
      </c>
      <c r="D3541">
        <v>11.643902439024</v>
      </c>
      <c r="E3541">
        <v>0.20341309282715</v>
      </c>
      <c r="F3541">
        <v>17</v>
      </c>
    </row>
    <row r="3542" spans="1:9" x14ac:dyDescent="0.25">
      <c r="A3542">
        <v>1353.1576442594001</v>
      </c>
      <c r="B3542">
        <v>1393.5455086258</v>
      </c>
      <c r="C3542" s="1">
        <f t="shared" si="1045"/>
        <v>2.9847124270952818E-2</v>
      </c>
      <c r="D3542">
        <v>11.726829268293001</v>
      </c>
      <c r="E3542">
        <v>0.20385219284132999</v>
      </c>
      <c r="F3542">
        <v>16</v>
      </c>
    </row>
    <row r="3543" spans="1:9" x14ac:dyDescent="0.25">
      <c r="A3543">
        <v>1367.0588935158</v>
      </c>
      <c r="B3543">
        <v>1393.0458060678</v>
      </c>
      <c r="C3543" s="1">
        <f t="shared" si="1045"/>
        <v>1.9009358466749671E-2</v>
      </c>
      <c r="D3543">
        <v>11.729268292683001</v>
      </c>
      <c r="E3543">
        <v>0.20128616034225</v>
      </c>
      <c r="F3543">
        <v>16</v>
      </c>
    </row>
    <row r="3544" spans="1:9" x14ac:dyDescent="0.25">
      <c r="A3544">
        <v>1351.1017251635999</v>
      </c>
      <c r="B3544">
        <v>1397.9904818560001</v>
      </c>
      <c r="C3544" s="1">
        <f t="shared" si="1045"/>
        <v>3.4704090609256388E-2</v>
      </c>
      <c r="D3544">
        <v>11.741463414634</v>
      </c>
      <c r="E3544">
        <v>0.20455596972071999</v>
      </c>
      <c r="F3544">
        <v>17</v>
      </c>
      <c r="H3544" t="s">
        <v>17</v>
      </c>
      <c r="I3544">
        <f t="shared" ref="I3544" si="1052">STDEVP(A3530:A3549)</f>
        <v>5.9417184904786344</v>
      </c>
    </row>
    <row r="3545" spans="1:9" x14ac:dyDescent="0.25">
      <c r="A3545">
        <v>1352.0154669839001</v>
      </c>
      <c r="B3545">
        <v>1399.6644854253</v>
      </c>
      <c r="C3545" s="1">
        <f t="shared" si="1045"/>
        <v>3.5242953653256803E-2</v>
      </c>
      <c r="D3545">
        <v>11.668292682927</v>
      </c>
      <c r="E3545">
        <v>0.20276268335577999</v>
      </c>
      <c r="F3545">
        <v>16</v>
      </c>
      <c r="H3545" t="s">
        <v>18</v>
      </c>
      <c r="I3545">
        <f t="shared" ref="I3545" si="1053">STDEVP(B3530:B3549)</f>
        <v>5.0148346210527341</v>
      </c>
    </row>
    <row r="3546" spans="1:9" x14ac:dyDescent="0.25">
      <c r="A3546">
        <v>1345.750148721</v>
      </c>
      <c r="B3546">
        <v>1386.9482450922001</v>
      </c>
      <c r="C3546" s="1">
        <f t="shared" si="1045"/>
        <v>3.0613480823579842E-2</v>
      </c>
      <c r="D3546">
        <v>11.612195121951</v>
      </c>
      <c r="E3546">
        <v>0.20264813892738001</v>
      </c>
      <c r="F3546">
        <v>17</v>
      </c>
      <c r="H3546" t="s">
        <v>19</v>
      </c>
      <c r="I3546">
        <f t="shared" ref="I3546" si="1054">STDEVP(C3530:C3549)</f>
        <v>4.9057644928322723E-3</v>
      </c>
    </row>
    <row r="3547" spans="1:9" x14ac:dyDescent="0.25">
      <c r="A3547">
        <v>1355.7144556810999</v>
      </c>
      <c r="B3547">
        <v>1392.3355145747</v>
      </c>
      <c r="C3547" s="1">
        <f t="shared" si="1045"/>
        <v>2.7012368821575983E-2</v>
      </c>
      <c r="D3547">
        <v>11.785365853659</v>
      </c>
      <c r="E3547">
        <v>0.20453256650925</v>
      </c>
      <c r="F3547">
        <v>16</v>
      </c>
      <c r="H3547" t="s">
        <v>20</v>
      </c>
      <c r="I3547">
        <f t="shared" ref="I3547" si="1055">STDEVP(D3530:D3549)</f>
        <v>6.3757982318671191E-2</v>
      </c>
    </row>
    <row r="3548" spans="1:9" x14ac:dyDescent="0.25">
      <c r="A3548">
        <v>1353.6049970255999</v>
      </c>
      <c r="B3548">
        <v>1394.4651992861</v>
      </c>
      <c r="C3548" s="1">
        <f t="shared" si="1045"/>
        <v>3.0186208199796782E-2</v>
      </c>
      <c r="D3548">
        <v>11.609756097561</v>
      </c>
      <c r="E3548">
        <v>0.20123222390265999</v>
      </c>
      <c r="F3548">
        <v>17</v>
      </c>
      <c r="H3548" t="s">
        <v>21</v>
      </c>
      <c r="I3548">
        <f t="shared" ref="I3548" si="1056">STDEVP(E3530:E3549)</f>
        <v>1.2525919689861901E-3</v>
      </c>
    </row>
    <row r="3549" spans="1:9" x14ac:dyDescent="0.25">
      <c r="A3549">
        <v>1344.9613325401999</v>
      </c>
      <c r="B3549">
        <v>1386.3723973824999</v>
      </c>
      <c r="C3549" s="1">
        <f t="shared" si="1045"/>
        <v>3.0789780970199132E-2</v>
      </c>
      <c r="D3549">
        <v>11.629268292682999</v>
      </c>
      <c r="E3549">
        <v>0.20317709445585999</v>
      </c>
      <c r="F3549">
        <v>16</v>
      </c>
      <c r="H3549" t="s">
        <v>22</v>
      </c>
      <c r="I3549">
        <f t="shared" ref="I3549" si="1057">STDEVP(F3530:F3549)</f>
        <v>0.47696960070847289</v>
      </c>
    </row>
    <row r="3550" spans="1:9" x14ac:dyDescent="0.25">
      <c r="C3550" s="1" t="str">
        <f t="shared" si="1045"/>
        <v/>
      </c>
    </row>
    <row r="3551" spans="1:9" x14ac:dyDescent="0.25">
      <c r="A3551">
        <v>1002.2742022715</v>
      </c>
      <c r="B3551">
        <v>1029.4748512709</v>
      </c>
      <c r="C3551" s="1">
        <f t="shared" si="1045"/>
        <v>2.7138929584093807E-2</v>
      </c>
      <c r="D3551">
        <v>13.744459644322999</v>
      </c>
      <c r="E3551">
        <v>0.37311115457175997</v>
      </c>
      <c r="F3551">
        <v>44</v>
      </c>
    </row>
    <row r="3552" spans="1:9" x14ac:dyDescent="0.25">
      <c r="A3552">
        <v>1005.9437533802</v>
      </c>
      <c r="B3552">
        <v>1037.9864791779</v>
      </c>
      <c r="C3552" s="1">
        <f t="shared" si="1045"/>
        <v>3.1853397061246458E-2</v>
      </c>
      <c r="D3552">
        <v>13.841860465116</v>
      </c>
      <c r="E3552">
        <v>0.37473870460859998</v>
      </c>
      <c r="F3552">
        <v>46</v>
      </c>
    </row>
    <row r="3553" spans="1:9" x14ac:dyDescent="0.25">
      <c r="A3553">
        <v>1008.2747431044</v>
      </c>
      <c r="B3553">
        <v>1032.8761492699</v>
      </c>
      <c r="C3553" s="1">
        <f t="shared" si="1045"/>
        <v>2.4399506517196023E-2</v>
      </c>
      <c r="D3553">
        <v>13.830369357045001</v>
      </c>
      <c r="E3553">
        <v>0.37338320196899</v>
      </c>
      <c r="F3553">
        <v>48</v>
      </c>
    </row>
    <row r="3554" spans="1:9" x14ac:dyDescent="0.25">
      <c r="A3554">
        <v>1006.6982152515</v>
      </c>
      <c r="B3554">
        <v>1032.9210383991001</v>
      </c>
      <c r="C3554" s="1">
        <f t="shared" si="1045"/>
        <v>2.604834572101522E-2</v>
      </c>
      <c r="D3554">
        <v>13.756497948015999</v>
      </c>
      <c r="E3554">
        <v>0.37119913242994002</v>
      </c>
      <c r="F3554">
        <v>44</v>
      </c>
    </row>
    <row r="3555" spans="1:9" x14ac:dyDescent="0.25">
      <c r="A3555">
        <v>1007.6246619794</v>
      </c>
      <c r="B3555">
        <v>1029.4575446187</v>
      </c>
      <c r="C3555" s="1">
        <f t="shared" si="1045"/>
        <v>2.1667673949554711E-2</v>
      </c>
      <c r="D3555">
        <v>13.884541723666</v>
      </c>
      <c r="E3555">
        <v>0.37566488087723998</v>
      </c>
      <c r="F3555">
        <v>49</v>
      </c>
    </row>
    <row r="3556" spans="1:9" x14ac:dyDescent="0.25">
      <c r="A3556">
        <v>1011.7176852353</v>
      </c>
      <c r="B3556">
        <v>1035.0546241211</v>
      </c>
      <c r="C3556" s="1">
        <f t="shared" si="1045"/>
        <v>2.3066651128444526E-2</v>
      </c>
      <c r="D3556">
        <v>13.672777017784</v>
      </c>
      <c r="E3556">
        <v>0.36570133140896</v>
      </c>
      <c r="F3556">
        <v>57</v>
      </c>
    </row>
    <row r="3557" spans="1:9" x14ac:dyDescent="0.25">
      <c r="A3557">
        <v>1011.9442942131</v>
      </c>
      <c r="B3557">
        <v>1032.6884802596001</v>
      </c>
      <c r="C3557" s="1">
        <f t="shared" si="1045"/>
        <v>2.0499335946778663E-2</v>
      </c>
      <c r="D3557">
        <v>14.021887824897</v>
      </c>
      <c r="E3557">
        <v>0.37857012851346</v>
      </c>
      <c r="F3557">
        <v>42</v>
      </c>
    </row>
    <row r="3558" spans="1:9" x14ac:dyDescent="0.25">
      <c r="A3558">
        <v>1001.8501892915</v>
      </c>
      <c r="B3558">
        <v>1027.7279610600001</v>
      </c>
      <c r="C3558" s="1">
        <f t="shared" si="1045"/>
        <v>2.5829981413489245E-2</v>
      </c>
      <c r="D3558">
        <v>13.567715458276</v>
      </c>
      <c r="E3558">
        <v>0.36650951135639998</v>
      </c>
      <c r="F3558">
        <v>43</v>
      </c>
    </row>
    <row r="3559" spans="1:9" x14ac:dyDescent="0.25">
      <c r="A3559">
        <v>999.64845862628999</v>
      </c>
      <c r="B3559">
        <v>1023.6446727961001</v>
      </c>
      <c r="C3559" s="1">
        <f t="shared" si="1045"/>
        <v>2.4004652798430337E-2</v>
      </c>
      <c r="D3559">
        <v>13.429274965799999</v>
      </c>
      <c r="E3559">
        <v>0.36272756610307999</v>
      </c>
      <c r="F3559">
        <v>53</v>
      </c>
    </row>
    <row r="3560" spans="1:9" x14ac:dyDescent="0.25">
      <c r="A3560">
        <v>1010.3207138993999</v>
      </c>
      <c r="B3560">
        <v>1036.4369929690999</v>
      </c>
      <c r="C3560" s="1">
        <f t="shared" si="1045"/>
        <v>2.5849493839339877E-2</v>
      </c>
      <c r="D3560">
        <v>13.979753761970001</v>
      </c>
      <c r="E3560">
        <v>0.37767110911717</v>
      </c>
      <c r="F3560">
        <v>46</v>
      </c>
    </row>
    <row r="3561" spans="1:9" x14ac:dyDescent="0.25">
      <c r="A3561">
        <v>1008.0903190914</v>
      </c>
      <c r="B3561">
        <v>1032.5105462412</v>
      </c>
      <c r="C3561" s="1">
        <f t="shared" si="1045"/>
        <v>2.4224245275770606E-2</v>
      </c>
      <c r="D3561">
        <v>13.664569083447001</v>
      </c>
      <c r="E3561">
        <v>0.36731873508247997</v>
      </c>
      <c r="F3561">
        <v>44</v>
      </c>
    </row>
    <row r="3562" spans="1:9" x14ac:dyDescent="0.25">
      <c r="A3562">
        <v>1003.1249323959</v>
      </c>
      <c r="B3562">
        <v>1026.557598702</v>
      </c>
      <c r="C3562" s="1">
        <f t="shared" si="1045"/>
        <v>2.3359668919934462E-2</v>
      </c>
      <c r="D3562">
        <v>13.515731874145001</v>
      </c>
      <c r="E3562">
        <v>0.36422828521785999</v>
      </c>
      <c r="F3562">
        <v>44</v>
      </c>
    </row>
    <row r="3563" spans="1:9" x14ac:dyDescent="0.25">
      <c r="A3563">
        <v>1003.3163872363</v>
      </c>
      <c r="B3563">
        <v>1028.4840454299001</v>
      </c>
      <c r="C3563" s="1">
        <f t="shared" si="1045"/>
        <v>2.5084468382825964E-2</v>
      </c>
      <c r="D3563">
        <v>13.598358413133001</v>
      </c>
      <c r="E3563">
        <v>0.36726787777686998</v>
      </c>
      <c r="F3563">
        <v>43</v>
      </c>
    </row>
    <row r="3564" spans="1:9" x14ac:dyDescent="0.25">
      <c r="A3564">
        <v>1012.2709572742</v>
      </c>
      <c r="B3564">
        <v>1034.4023796647</v>
      </c>
      <c r="C3564" s="1">
        <f t="shared" si="1045"/>
        <v>2.1863140724786234E-2</v>
      </c>
      <c r="D3564">
        <v>13.864295485635999</v>
      </c>
      <c r="E3564">
        <v>0.37282451645001002</v>
      </c>
      <c r="F3564">
        <v>48</v>
      </c>
    </row>
    <row r="3565" spans="1:9" x14ac:dyDescent="0.25">
      <c r="A3565">
        <v>999.78474851271005</v>
      </c>
      <c r="B3565">
        <v>1023.6614386154</v>
      </c>
      <c r="C3565" s="1">
        <f t="shared" si="1045"/>
        <v>2.3881830702267903E-2</v>
      </c>
      <c r="D3565">
        <v>13.502051983584</v>
      </c>
      <c r="E3565">
        <v>0.36564136604348002</v>
      </c>
      <c r="F3565">
        <v>45</v>
      </c>
      <c r="H3565" t="s">
        <v>17</v>
      </c>
      <c r="I3565">
        <f t="shared" ref="I3565" si="1058">STDEVP(A3551:A3570)</f>
        <v>4.1616021370708784</v>
      </c>
    </row>
    <row r="3566" spans="1:9" x14ac:dyDescent="0.25">
      <c r="A3566">
        <v>1012.7771768524</v>
      </c>
      <c r="B3566">
        <v>1033.7176852352</v>
      </c>
      <c r="C3566" s="1">
        <f t="shared" si="1045"/>
        <v>2.0676323342791791E-2</v>
      </c>
      <c r="D3566">
        <v>13.875786593707</v>
      </c>
      <c r="E3566">
        <v>0.37248718537852998</v>
      </c>
      <c r="F3566">
        <v>46</v>
      </c>
      <c r="H3566" t="s">
        <v>18</v>
      </c>
      <c r="I3566">
        <f t="shared" ref="I3566" si="1059">STDEVP(B3551:B3570)</f>
        <v>3.9644715496532643</v>
      </c>
    </row>
    <row r="3567" spans="1:9" x14ac:dyDescent="0.25">
      <c r="A3567">
        <v>1005.8080043267</v>
      </c>
      <c r="B3567">
        <v>1028.2055164953999</v>
      </c>
      <c r="C3567" s="1">
        <f t="shared" si="1045"/>
        <v>2.2268178491672508E-2</v>
      </c>
      <c r="D3567">
        <v>13.854993160055001</v>
      </c>
      <c r="E3567">
        <v>0.37529992683286001</v>
      </c>
      <c r="F3567">
        <v>48</v>
      </c>
      <c r="H3567" t="s">
        <v>19</v>
      </c>
      <c r="I3567">
        <f t="shared" ref="I3567" si="1060">STDEVP(C3551:C3570)</f>
        <v>2.6628439268552191E-3</v>
      </c>
    </row>
    <row r="3568" spans="1:9" x14ac:dyDescent="0.25">
      <c r="A3568">
        <v>1012.1503515414</v>
      </c>
      <c r="B3568">
        <v>1034.0189291509</v>
      </c>
      <c r="C3568" s="1">
        <f t="shared" si="1045"/>
        <v>2.1606056428470799E-2</v>
      </c>
      <c r="D3568">
        <v>13.859370725033999</v>
      </c>
      <c r="E3568">
        <v>0.37249751970167</v>
      </c>
      <c r="F3568">
        <v>50</v>
      </c>
      <c r="H3568" t="s">
        <v>20</v>
      </c>
      <c r="I3568">
        <f t="shared" ref="I3568" si="1061">STDEVP(D3551:D3570)</f>
        <v>0.16355268674997137</v>
      </c>
    </row>
    <row r="3569" spans="1:9" x14ac:dyDescent="0.25">
      <c r="A3569">
        <v>1005.6133044889</v>
      </c>
      <c r="B3569">
        <v>1033.7279610600001</v>
      </c>
      <c r="C3569" s="1">
        <f t="shared" si="1045"/>
        <v>2.7957721368244259E-2</v>
      </c>
      <c r="D3569">
        <v>13.868673050616</v>
      </c>
      <c r="E3569">
        <v>0.37617736785601003</v>
      </c>
      <c r="F3569">
        <v>45</v>
      </c>
      <c r="H3569" t="s">
        <v>21</v>
      </c>
      <c r="I3569">
        <f t="shared" ref="I3569" si="1062">STDEVP(E3551:E3570)</f>
        <v>4.6551902805353493E-3</v>
      </c>
    </row>
    <row r="3570" spans="1:9" x14ac:dyDescent="0.25">
      <c r="A3570">
        <v>1003.4910762574</v>
      </c>
      <c r="B3570">
        <v>1027.197944835</v>
      </c>
      <c r="C3570" s="1">
        <f t="shared" si="1045"/>
        <v>2.3624394016553474E-2</v>
      </c>
      <c r="D3570">
        <v>13.606019151847001</v>
      </c>
      <c r="E3570">
        <v>0.36727285145406002</v>
      </c>
      <c r="F3570">
        <v>48</v>
      </c>
      <c r="H3570" t="s">
        <v>22</v>
      </c>
      <c r="I3570">
        <f t="shared" ref="I3570" si="1063">STDEVP(F3551:F3570)</f>
        <v>3.5675621928706436</v>
      </c>
    </row>
    <row r="3571" spans="1:9" x14ac:dyDescent="0.25">
      <c r="C3571" s="1" t="str">
        <f t="shared" si="1045"/>
        <v/>
      </c>
    </row>
    <row r="3572" spans="1:9" x14ac:dyDescent="0.25">
      <c r="A3572">
        <v>1079.0435555556001</v>
      </c>
      <c r="B3572">
        <v>1101.8346666667001</v>
      </c>
      <c r="C3572" s="1">
        <f t="shared" si="1045"/>
        <v>2.1121585865331305E-2</v>
      </c>
      <c r="D3572">
        <v>10.694774774775</v>
      </c>
      <c r="E3572">
        <v>0.24336597203999999</v>
      </c>
      <c r="F3572">
        <v>20</v>
      </c>
    </row>
    <row r="3573" spans="1:9" x14ac:dyDescent="0.25">
      <c r="A3573">
        <v>1092.1653333332999</v>
      </c>
      <c r="B3573">
        <v>1110.2666666667001</v>
      </c>
      <c r="C3573" s="1">
        <f t="shared" si="1045"/>
        <v>1.657380323376012E-2</v>
      </c>
      <c r="D3573">
        <v>10.631351351351</v>
      </c>
      <c r="E3573">
        <v>0.23813134085932</v>
      </c>
      <c r="F3573">
        <v>20</v>
      </c>
    </row>
    <row r="3574" spans="1:9" x14ac:dyDescent="0.25">
      <c r="A3574">
        <v>1088.7875555556</v>
      </c>
      <c r="B3574">
        <v>1106.3040000000001</v>
      </c>
      <c r="C3574" s="1">
        <f t="shared" si="1045"/>
        <v>1.6088027783768721E-2</v>
      </c>
      <c r="D3574">
        <v>10.573693693694</v>
      </c>
      <c r="E3574">
        <v>0.23737934868758001</v>
      </c>
      <c r="F3574">
        <v>21</v>
      </c>
    </row>
    <row r="3575" spans="1:9" x14ac:dyDescent="0.25">
      <c r="A3575">
        <v>1087.0684444444</v>
      </c>
      <c r="B3575">
        <v>1111.5128888889001</v>
      </c>
      <c r="C3575" s="1">
        <f t="shared" si="1045"/>
        <v>2.2486573471455662E-2</v>
      </c>
      <c r="D3575">
        <v>10.65009009009</v>
      </c>
      <c r="E3575">
        <v>0.23990506093578001</v>
      </c>
      <c r="F3575">
        <v>20</v>
      </c>
    </row>
    <row r="3576" spans="1:9" x14ac:dyDescent="0.25">
      <c r="A3576">
        <v>1090.9404444444001</v>
      </c>
      <c r="B3576">
        <v>1109.5306666667</v>
      </c>
      <c r="C3576" s="1">
        <f t="shared" si="1045"/>
        <v>1.7040547279157492E-2</v>
      </c>
      <c r="D3576">
        <v>10.697657657658</v>
      </c>
      <c r="E3576">
        <v>0.24016750157146</v>
      </c>
      <c r="F3576">
        <v>21</v>
      </c>
    </row>
    <row r="3577" spans="1:9" x14ac:dyDescent="0.25">
      <c r="A3577">
        <v>1086.2719999999999</v>
      </c>
      <c r="B3577">
        <v>1111.9555555556001</v>
      </c>
      <c r="C3577" s="1">
        <f t="shared" si="1045"/>
        <v>2.3643761006083341E-2</v>
      </c>
      <c r="D3577">
        <v>10.588108108108001</v>
      </c>
      <c r="E3577">
        <v>0.23856449563660001</v>
      </c>
      <c r="F3577">
        <v>20</v>
      </c>
    </row>
    <row r="3578" spans="1:9" x14ac:dyDescent="0.25">
      <c r="A3578">
        <v>1082.4213333333</v>
      </c>
      <c r="B3578">
        <v>1103.3422222222</v>
      </c>
      <c r="C3578" s="1">
        <f t="shared" si="1045"/>
        <v>1.9327860828901366E-2</v>
      </c>
      <c r="D3578">
        <v>10.644324324324</v>
      </c>
      <c r="E3578">
        <v>0.2410274604515</v>
      </c>
      <c r="F3578">
        <v>20</v>
      </c>
    </row>
    <row r="3579" spans="1:9" x14ac:dyDescent="0.25">
      <c r="A3579">
        <v>1085.8471111111</v>
      </c>
      <c r="B3579">
        <v>1111.2639999999999</v>
      </c>
      <c r="C3579" s="1">
        <f t="shared" si="1045"/>
        <v>2.3407428752001636E-2</v>
      </c>
      <c r="D3579">
        <v>10.567927927928</v>
      </c>
      <c r="E3579">
        <v>0.23807910102374999</v>
      </c>
      <c r="F3579">
        <v>21</v>
      </c>
    </row>
    <row r="3580" spans="1:9" x14ac:dyDescent="0.25">
      <c r="A3580">
        <v>1087.0951111111001</v>
      </c>
      <c r="B3580">
        <v>1106.7964444444001</v>
      </c>
      <c r="C3580" s="1">
        <f t="shared" si="1045"/>
        <v>1.8122915954578822E-2</v>
      </c>
      <c r="D3580">
        <v>10.585225225225001</v>
      </c>
      <c r="E3580">
        <v>0.23809744644055</v>
      </c>
      <c r="F3580">
        <v>20</v>
      </c>
    </row>
    <row r="3581" spans="1:9" x14ac:dyDescent="0.25">
      <c r="A3581">
        <v>1081.9626666667</v>
      </c>
      <c r="B3581">
        <v>1099.6373333332999</v>
      </c>
      <c r="C3581" s="1">
        <f t="shared" si="1045"/>
        <v>1.6335745410746894E-2</v>
      </c>
      <c r="D3581">
        <v>10.64</v>
      </c>
      <c r="E3581">
        <v>0.24100753499531</v>
      </c>
      <c r="F3581">
        <v>21</v>
      </c>
    </row>
    <row r="3582" spans="1:9" x14ac:dyDescent="0.25">
      <c r="A3582">
        <v>1082.9546666666999</v>
      </c>
      <c r="B3582">
        <v>1105.2</v>
      </c>
      <c r="C3582" s="1">
        <f t="shared" si="1045"/>
        <v>2.0541333832348352E-2</v>
      </c>
      <c r="D3582">
        <v>10.687567567567999</v>
      </c>
      <c r="E3582">
        <v>0.24211191268981</v>
      </c>
      <c r="F3582">
        <v>20</v>
      </c>
    </row>
    <row r="3583" spans="1:9" x14ac:dyDescent="0.25">
      <c r="A3583">
        <v>1081.2088888889</v>
      </c>
      <c r="B3583">
        <v>1109.4026666667</v>
      </c>
      <c r="C3583" s="1">
        <f t="shared" si="1045"/>
        <v>2.6076161662685893E-2</v>
      </c>
      <c r="D3583">
        <v>10.590990990990999</v>
      </c>
      <c r="E3583">
        <v>0.23988626715549999</v>
      </c>
      <c r="F3583">
        <v>21</v>
      </c>
    </row>
    <row r="3584" spans="1:9" x14ac:dyDescent="0.25">
      <c r="A3584">
        <v>1087.3155555556</v>
      </c>
      <c r="B3584">
        <v>1107.4791111111001</v>
      </c>
      <c r="C3584" s="1">
        <f t="shared" si="1045"/>
        <v>1.8544345707623755E-2</v>
      </c>
      <c r="D3584">
        <v>10.677477477477</v>
      </c>
      <c r="E3584">
        <v>0.24066376375609</v>
      </c>
      <c r="F3584">
        <v>20</v>
      </c>
    </row>
    <row r="3585" spans="1:9" x14ac:dyDescent="0.25">
      <c r="A3585">
        <v>1083.2746666667001</v>
      </c>
      <c r="B3585">
        <v>1107.5999999999999</v>
      </c>
      <c r="C3585" s="1">
        <f t="shared" si="1045"/>
        <v>2.2455369890768573E-2</v>
      </c>
      <c r="D3585">
        <v>10.644324324324</v>
      </c>
      <c r="E3585">
        <v>0.24079074918219001</v>
      </c>
      <c r="F3585">
        <v>20</v>
      </c>
    </row>
    <row r="3586" spans="1:9" x14ac:dyDescent="0.25">
      <c r="A3586">
        <v>1086.7111111111001</v>
      </c>
      <c r="B3586">
        <v>1109.9306666667001</v>
      </c>
      <c r="C3586" s="1">
        <f t="shared" ref="C3586:C3649" si="1064">IFERROR((B3586/A3586)-1,"")</f>
        <v>2.1366815263220484E-2</v>
      </c>
      <c r="D3586">
        <v>10.684684684684999</v>
      </c>
      <c r="E3586">
        <v>0.24111173430230001</v>
      </c>
      <c r="F3586">
        <v>21</v>
      </c>
      <c r="H3586" t="s">
        <v>17</v>
      </c>
      <c r="I3586">
        <f t="shared" ref="I3586" si="1065">STDEVP(A3572:A3591)</f>
        <v>3.2466326076125789</v>
      </c>
    </row>
    <row r="3587" spans="1:9" x14ac:dyDescent="0.25">
      <c r="A3587">
        <v>1081.1111111110999</v>
      </c>
      <c r="B3587">
        <v>1105.2408888888999</v>
      </c>
      <c r="C3587" s="1">
        <f t="shared" si="1064"/>
        <v>2.231942446045232E-2</v>
      </c>
      <c r="D3587">
        <v>10.61981981982</v>
      </c>
      <c r="E3587">
        <v>0.24076619181750999</v>
      </c>
      <c r="F3587">
        <v>20</v>
      </c>
      <c r="H3587" t="s">
        <v>18</v>
      </c>
      <c r="I3587">
        <f t="shared" ref="I3587" si="1066">STDEVP(B3572:B3591)</f>
        <v>3.3438059084936658</v>
      </c>
    </row>
    <row r="3588" spans="1:9" x14ac:dyDescent="0.25">
      <c r="A3588">
        <v>1085.6248888888999</v>
      </c>
      <c r="B3588">
        <v>1104.9351111111</v>
      </c>
      <c r="C3588" s="1">
        <f t="shared" si="1064"/>
        <v>1.7787195577252612E-2</v>
      </c>
      <c r="D3588">
        <v>10.636396396396</v>
      </c>
      <c r="E3588">
        <v>0.24005641935656999</v>
      </c>
      <c r="F3588">
        <v>21</v>
      </c>
      <c r="H3588" t="s">
        <v>19</v>
      </c>
      <c r="I3588">
        <f t="shared" ref="I3588" si="1067">STDEVP(C3572:C3591)</f>
        <v>2.740542747674944E-3</v>
      </c>
    </row>
    <row r="3589" spans="1:9" x14ac:dyDescent="0.25">
      <c r="A3589">
        <v>1084.3573333332999</v>
      </c>
      <c r="B3589">
        <v>1105.4791111111001</v>
      </c>
      <c r="C3589" s="1">
        <f t="shared" si="1064"/>
        <v>1.9478613855888449E-2</v>
      </c>
      <c r="D3589">
        <v>10.657297297296999</v>
      </c>
      <c r="E3589">
        <v>0.24087796637886</v>
      </c>
      <c r="F3589">
        <v>20</v>
      </c>
      <c r="H3589" t="s">
        <v>20</v>
      </c>
      <c r="I3589">
        <f t="shared" ref="I3589" si="1068">STDEVP(D3572:D3591)</f>
        <v>4.0599596625693526E-2</v>
      </c>
    </row>
    <row r="3590" spans="1:9" x14ac:dyDescent="0.25">
      <c r="A3590">
        <v>1086.3946666667</v>
      </c>
      <c r="B3590">
        <v>1109.8008888889001</v>
      </c>
      <c r="C3590" s="1">
        <f t="shared" si="1064"/>
        <v>2.1544861126772341E-2</v>
      </c>
      <c r="D3590">
        <v>10.59027027027</v>
      </c>
      <c r="E3590">
        <v>0.23854793546822001</v>
      </c>
      <c r="F3590">
        <v>20</v>
      </c>
      <c r="H3590" t="s">
        <v>21</v>
      </c>
      <c r="I3590">
        <f t="shared" ref="I3590" si="1069">STDEVP(E3572:E3591)</f>
        <v>1.4837313008380345E-3</v>
      </c>
    </row>
    <row r="3591" spans="1:9" x14ac:dyDescent="0.25">
      <c r="A3591">
        <v>1084.0746666667001</v>
      </c>
      <c r="B3591">
        <v>1103.3973333332999</v>
      </c>
      <c r="C3591" s="1">
        <f t="shared" si="1064"/>
        <v>1.7824110516310609E-2</v>
      </c>
      <c r="D3591">
        <v>10.655135135135</v>
      </c>
      <c r="E3591">
        <v>0.24084419641831001</v>
      </c>
      <c r="F3591">
        <v>21</v>
      </c>
      <c r="H3591" t="s">
        <v>22</v>
      </c>
      <c r="I3591">
        <f t="shared" ref="I3591" si="1070">STDEVP(F3572:F3591)</f>
        <v>0.48989794855663565</v>
      </c>
    </row>
    <row r="3592" spans="1:9" x14ac:dyDescent="0.25">
      <c r="C3592" s="1" t="str">
        <f t="shared" si="1064"/>
        <v/>
      </c>
    </row>
    <row r="3593" spans="1:9" x14ac:dyDescent="0.25">
      <c r="A3593">
        <v>1237.1185185185</v>
      </c>
      <c r="B3593">
        <v>1265.1580246912999</v>
      </c>
      <c r="C3593" s="1">
        <f t="shared" si="1064"/>
        <v>2.2665173750998857E-2</v>
      </c>
      <c r="D3593">
        <v>12.967790262172</v>
      </c>
      <c r="E3593">
        <v>0.2620814446334</v>
      </c>
      <c r="F3593">
        <v>20</v>
      </c>
    </row>
    <row r="3594" spans="1:9" x14ac:dyDescent="0.25">
      <c r="A3594">
        <v>1237.8172839506001</v>
      </c>
      <c r="B3594">
        <v>1259.8962962963001</v>
      </c>
      <c r="C3594" s="1">
        <f t="shared" si="1064"/>
        <v>1.7837052876845449E-2</v>
      </c>
      <c r="D3594">
        <v>12.995255930087</v>
      </c>
      <c r="E3594">
        <v>0.26255548359689002</v>
      </c>
      <c r="F3594">
        <v>20</v>
      </c>
    </row>
    <row r="3595" spans="1:9" x14ac:dyDescent="0.25">
      <c r="A3595">
        <v>1246.4493827161</v>
      </c>
      <c r="B3595">
        <v>1271.6049382716001</v>
      </c>
      <c r="C3595" s="1">
        <f t="shared" si="1064"/>
        <v>2.0181770639321472E-2</v>
      </c>
      <c r="D3595">
        <v>12.94631710362</v>
      </c>
      <c r="E3595">
        <v>0.25898160159604</v>
      </c>
      <c r="F3595">
        <v>21</v>
      </c>
    </row>
    <row r="3596" spans="1:9" x14ac:dyDescent="0.25">
      <c r="A3596">
        <v>1239.437037037</v>
      </c>
      <c r="B3596">
        <v>1267.1506172838999</v>
      </c>
      <c r="C3596" s="1">
        <f t="shared" si="1064"/>
        <v>2.2359812897920328E-2</v>
      </c>
      <c r="D3596">
        <v>12.960299625468</v>
      </c>
      <c r="E3596">
        <v>0.26130794306743999</v>
      </c>
      <c r="F3596">
        <v>20</v>
      </c>
    </row>
    <row r="3597" spans="1:9" x14ac:dyDescent="0.25">
      <c r="A3597">
        <v>1236.0666666667</v>
      </c>
      <c r="B3597">
        <v>1263.2567901233999</v>
      </c>
      <c r="C3597" s="1">
        <f t="shared" si="1064"/>
        <v>2.1997295283452178E-2</v>
      </c>
      <c r="D3597">
        <v>12.984269662920999</v>
      </c>
      <c r="E3597">
        <v>0.26272295978533999</v>
      </c>
      <c r="F3597">
        <v>21</v>
      </c>
    </row>
    <row r="3598" spans="1:9" x14ac:dyDescent="0.25">
      <c r="A3598">
        <v>1235.4049382716</v>
      </c>
      <c r="B3598">
        <v>1264.6790123456999</v>
      </c>
      <c r="C3598" s="1">
        <f t="shared" si="1064"/>
        <v>2.3695934156662712E-2</v>
      </c>
      <c r="D3598">
        <v>13.009238451935</v>
      </c>
      <c r="E3598">
        <v>0.26348115141314998</v>
      </c>
      <c r="F3598">
        <v>20</v>
      </c>
    </row>
    <row r="3599" spans="1:9" x14ac:dyDescent="0.25">
      <c r="A3599">
        <v>1239.2345679012001</v>
      </c>
      <c r="B3599">
        <v>1270.8345679012</v>
      </c>
      <c r="C3599" s="1">
        <f t="shared" si="1064"/>
        <v>2.5499611468649208E-2</v>
      </c>
      <c r="D3599">
        <v>13.010736579275999</v>
      </c>
      <c r="E3599">
        <v>0.26286555022871</v>
      </c>
      <c r="F3599">
        <v>20</v>
      </c>
    </row>
    <row r="3600" spans="1:9" x14ac:dyDescent="0.25">
      <c r="A3600">
        <v>1237.6148148148</v>
      </c>
      <c r="B3600">
        <v>1271.8419753086</v>
      </c>
      <c r="C3600" s="1">
        <f t="shared" si="1064"/>
        <v>2.7655745619788785E-2</v>
      </c>
      <c r="D3600">
        <v>13.03670411985</v>
      </c>
      <c r="E3600">
        <v>0.26367466234532</v>
      </c>
      <c r="F3600">
        <v>20</v>
      </c>
    </row>
    <row r="3601" spans="1:9" x14ac:dyDescent="0.25">
      <c r="A3601">
        <v>1242.6913580247001</v>
      </c>
      <c r="B3601">
        <v>1274.0172839505999</v>
      </c>
      <c r="C3601" s="1">
        <f t="shared" si="1064"/>
        <v>2.5208130501280346E-2</v>
      </c>
      <c r="D3601">
        <v>13.028214731586001</v>
      </c>
      <c r="E3601">
        <v>0.26219179975680001</v>
      </c>
      <c r="F3601">
        <v>21</v>
      </c>
    </row>
    <row r="3602" spans="1:9" x14ac:dyDescent="0.25">
      <c r="A3602">
        <v>1242.4123456790001</v>
      </c>
      <c r="B3602">
        <v>1268.8864197531</v>
      </c>
      <c r="C3602" s="1">
        <f t="shared" si="1064"/>
        <v>2.1308605123069091E-2</v>
      </c>
      <c r="D3602">
        <v>13.028714107366</v>
      </c>
      <c r="E3602">
        <v>0.26228778935809999</v>
      </c>
      <c r="F3602">
        <v>20</v>
      </c>
    </row>
    <row r="3603" spans="1:9" x14ac:dyDescent="0.25">
      <c r="A3603">
        <v>1238.7580246913999</v>
      </c>
      <c r="B3603">
        <v>1269.3827160494</v>
      </c>
      <c r="C3603" s="1">
        <f t="shared" si="1064"/>
        <v>2.4722093215605367E-2</v>
      </c>
      <c r="D3603">
        <v>13.041697877653</v>
      </c>
      <c r="E3603">
        <v>0.26352668040735</v>
      </c>
      <c r="F3603">
        <v>20</v>
      </c>
    </row>
    <row r="3604" spans="1:9" x14ac:dyDescent="0.25">
      <c r="A3604">
        <v>1247.0592592593</v>
      </c>
      <c r="B3604">
        <v>1272.4345679011999</v>
      </c>
      <c r="C3604" s="1">
        <f t="shared" si="1064"/>
        <v>2.0348117744598326E-2</v>
      </c>
      <c r="D3604">
        <v>12.946816479401001</v>
      </c>
      <c r="E3604">
        <v>0.25892889138983</v>
      </c>
      <c r="F3604">
        <v>20</v>
      </c>
    </row>
    <row r="3605" spans="1:9" x14ac:dyDescent="0.25">
      <c r="A3605">
        <v>1233.3654320988001</v>
      </c>
      <c r="B3605">
        <v>1264.4716049382</v>
      </c>
      <c r="C3605" s="1">
        <f t="shared" si="1064"/>
        <v>2.5220564830057635E-2</v>
      </c>
      <c r="D3605">
        <v>13.038701622971001</v>
      </c>
      <c r="E3605">
        <v>0.26478605038748998</v>
      </c>
      <c r="F3605">
        <v>21</v>
      </c>
    </row>
    <row r="3606" spans="1:9" x14ac:dyDescent="0.25">
      <c r="A3606">
        <v>1246.6938271604999</v>
      </c>
      <c r="B3606">
        <v>1271.4814814814999</v>
      </c>
      <c r="C3606" s="1">
        <f t="shared" si="1064"/>
        <v>1.9882712002719183E-2</v>
      </c>
      <c r="D3606">
        <v>12.982272159800001</v>
      </c>
      <c r="E3606">
        <v>0.25999353129309</v>
      </c>
      <c r="F3606">
        <v>20</v>
      </c>
    </row>
    <row r="3607" spans="1:9" x14ac:dyDescent="0.25">
      <c r="A3607">
        <v>1246.3950617283999</v>
      </c>
      <c r="B3607">
        <v>1274.2790123457</v>
      </c>
      <c r="C3607" s="1">
        <f t="shared" si="1064"/>
        <v>2.2371679312202186E-2</v>
      </c>
      <c r="D3607">
        <v>13.008739076155001</v>
      </c>
      <c r="E3607">
        <v>0.26085504818260002</v>
      </c>
      <c r="F3607">
        <v>20</v>
      </c>
      <c r="H3607" t="s">
        <v>17</v>
      </c>
      <c r="I3607">
        <f t="shared" ref="I3607" si="1071">STDEVP(A3593:A3612)</f>
        <v>4.5858311703891212</v>
      </c>
    </row>
    <row r="3608" spans="1:9" x14ac:dyDescent="0.25">
      <c r="A3608">
        <v>1235.7827160494001</v>
      </c>
      <c r="B3608">
        <v>1261.3185185185</v>
      </c>
      <c r="C3608" s="1">
        <f t="shared" si="1064"/>
        <v>2.0663666951690196E-2</v>
      </c>
      <c r="D3608">
        <v>12.982272159800001</v>
      </c>
      <c r="E3608">
        <v>0.26274406795478999</v>
      </c>
      <c r="F3608">
        <v>20</v>
      </c>
      <c r="H3608" t="s">
        <v>18</v>
      </c>
      <c r="I3608">
        <f t="shared" ref="I3608" si="1072">STDEVP(B3593:B3612)</f>
        <v>4.3064915412653333</v>
      </c>
    </row>
    <row r="3609" spans="1:9" x14ac:dyDescent="0.25">
      <c r="A3609">
        <v>1233.4617283951</v>
      </c>
      <c r="B3609">
        <v>1263.8172839506001</v>
      </c>
      <c r="C3609" s="1">
        <f t="shared" si="1064"/>
        <v>2.4610050605296641E-2</v>
      </c>
      <c r="D3609">
        <v>12.927840199749999</v>
      </c>
      <c r="E3609">
        <v>0.26205300665073</v>
      </c>
      <c r="F3609">
        <v>21</v>
      </c>
      <c r="H3609" t="s">
        <v>19</v>
      </c>
      <c r="I3609">
        <f t="shared" ref="I3609" si="1073">STDEVP(C3593:C3612)</f>
        <v>2.8466046636866299E-3</v>
      </c>
    </row>
    <row r="3610" spans="1:9" x14ac:dyDescent="0.25">
      <c r="A3610">
        <v>1243.0814814815001</v>
      </c>
      <c r="B3610">
        <v>1263.6666666665999</v>
      </c>
      <c r="C3610" s="1">
        <f t="shared" si="1064"/>
        <v>1.6559803594343947E-2</v>
      </c>
      <c r="D3610">
        <v>13.032209737828</v>
      </c>
      <c r="E3610">
        <v>0.26205247634195</v>
      </c>
      <c r="F3610">
        <v>20</v>
      </c>
      <c r="H3610" t="s">
        <v>20</v>
      </c>
      <c r="I3610">
        <f t="shared" ref="I3610" si="1074">STDEVP(D3593:D3612)</f>
        <v>3.3637277550222548E-2</v>
      </c>
    </row>
    <row r="3611" spans="1:9" x14ac:dyDescent="0.25">
      <c r="A3611">
        <v>1232.4469135802001</v>
      </c>
      <c r="B3611">
        <v>1265.5456790123001</v>
      </c>
      <c r="C3611" s="1">
        <f t="shared" si="1064"/>
        <v>2.6856138846540256E-2</v>
      </c>
      <c r="D3611">
        <v>13.019225967541001</v>
      </c>
      <c r="E3611">
        <v>0.26447448139627999</v>
      </c>
      <c r="F3611">
        <v>20</v>
      </c>
      <c r="H3611" t="s">
        <v>21</v>
      </c>
      <c r="I3611">
        <f t="shared" ref="I3611" si="1075">STDEVP(E3593:E3612)</f>
        <v>1.5357513054114211E-3</v>
      </c>
    </row>
    <row r="3612" spans="1:9" x14ac:dyDescent="0.25">
      <c r="A3612">
        <v>1237.1333333333</v>
      </c>
      <c r="B3612">
        <v>1262.8370370370001</v>
      </c>
      <c r="C3612" s="1">
        <f t="shared" si="1064"/>
        <v>2.0776825756076533E-2</v>
      </c>
      <c r="D3612">
        <v>12.975280898875999</v>
      </c>
      <c r="E3612">
        <v>0.26222238824878003</v>
      </c>
      <c r="F3612">
        <v>20</v>
      </c>
      <c r="H3612" t="s">
        <v>22</v>
      </c>
      <c r="I3612">
        <f t="shared" ref="I3612" si="1076">STDEVP(F3593:F3612)</f>
        <v>0.4330127018922193</v>
      </c>
    </row>
    <row r="3613" spans="1:9" x14ac:dyDescent="0.25">
      <c r="C3613" s="1" t="str">
        <f t="shared" si="1064"/>
        <v/>
      </c>
    </row>
    <row r="3614" spans="1:9" x14ac:dyDescent="0.25">
      <c r="A3614">
        <v>3418.862244898</v>
      </c>
      <c r="B3614">
        <v>3488.7551020407</v>
      </c>
      <c r="C3614" s="1">
        <f t="shared" si="1064"/>
        <v>2.0443308953732142E-2</v>
      </c>
      <c r="D3614">
        <v>22.931168831169</v>
      </c>
      <c r="E3614">
        <v>0.15186015543913001</v>
      </c>
      <c r="F3614">
        <v>38</v>
      </c>
    </row>
    <row r="3615" spans="1:9" x14ac:dyDescent="0.25">
      <c r="A3615">
        <v>3454.2551020408</v>
      </c>
      <c r="B3615">
        <v>3517.4846938773999</v>
      </c>
      <c r="C3615" s="1">
        <f t="shared" si="1064"/>
        <v>1.8304841411175277E-2</v>
      </c>
      <c r="D3615">
        <v>23.076623376623001</v>
      </c>
      <c r="E3615">
        <v>0.15116859611611999</v>
      </c>
      <c r="F3615">
        <v>39</v>
      </c>
    </row>
    <row r="3616" spans="1:9" x14ac:dyDescent="0.25">
      <c r="A3616">
        <v>3434.4438775509998</v>
      </c>
      <c r="B3616">
        <v>3503.8163265305002</v>
      </c>
      <c r="C3616" s="1">
        <f t="shared" si="1064"/>
        <v>2.0199034094849688E-2</v>
      </c>
      <c r="D3616">
        <v>23.202597402597</v>
      </c>
      <c r="E3616">
        <v>0.15311065475801</v>
      </c>
      <c r="F3616">
        <v>38</v>
      </c>
    </row>
    <row r="3617" spans="1:9" x14ac:dyDescent="0.25">
      <c r="A3617">
        <v>3418.1989795917998</v>
      </c>
      <c r="B3617">
        <v>3484.8724489793999</v>
      </c>
      <c r="C3617" s="1">
        <f t="shared" si="1064"/>
        <v>1.9505438327514391E-2</v>
      </c>
      <c r="D3617">
        <v>23.033766233765999</v>
      </c>
      <c r="E3617">
        <v>0.15263391555336001</v>
      </c>
      <c r="F3617">
        <v>39</v>
      </c>
    </row>
    <row r="3618" spans="1:9" x14ac:dyDescent="0.25">
      <c r="A3618">
        <v>3449.0153061224</v>
      </c>
      <c r="B3618">
        <v>3522.9311224488001</v>
      </c>
      <c r="C3618" s="1">
        <f t="shared" si="1064"/>
        <v>2.1430991099167018E-2</v>
      </c>
      <c r="D3618">
        <v>23.111688311687999</v>
      </c>
      <c r="E3618">
        <v>0.15172713771477001</v>
      </c>
      <c r="F3618">
        <v>38</v>
      </c>
    </row>
    <row r="3619" spans="1:9" x14ac:dyDescent="0.25">
      <c r="A3619">
        <v>3429.9132653061001</v>
      </c>
      <c r="B3619">
        <v>3493.4311224488001</v>
      </c>
      <c r="C3619" s="1">
        <f t="shared" si="1064"/>
        <v>1.8518793983856474E-2</v>
      </c>
      <c r="D3619">
        <v>23.151948051948001</v>
      </c>
      <c r="E3619">
        <v>0.1529773539498</v>
      </c>
      <c r="F3619">
        <v>39</v>
      </c>
    </row>
    <row r="3620" spans="1:9" x14ac:dyDescent="0.25">
      <c r="A3620">
        <v>3430.7653061224</v>
      </c>
      <c r="B3620">
        <v>3504.3239795917002</v>
      </c>
      <c r="C3620" s="1">
        <f t="shared" si="1064"/>
        <v>2.1440893475875633E-2</v>
      </c>
      <c r="D3620">
        <v>23.266233766233999</v>
      </c>
      <c r="E3620">
        <v>0.15378417435674999</v>
      </c>
      <c r="F3620">
        <v>38</v>
      </c>
    </row>
    <row r="3621" spans="1:9" x14ac:dyDescent="0.25">
      <c r="A3621">
        <v>3414.8010204082002</v>
      </c>
      <c r="B3621">
        <v>3494.7653061223</v>
      </c>
      <c r="C3621" s="1">
        <f t="shared" si="1064"/>
        <v>2.3416967851479953E-2</v>
      </c>
      <c r="D3621">
        <v>22.875324675325</v>
      </c>
      <c r="E3621">
        <v>0.15162243966538999</v>
      </c>
      <c r="F3621">
        <v>39</v>
      </c>
    </row>
    <row r="3622" spans="1:9" x14ac:dyDescent="0.25">
      <c r="A3622">
        <v>3441.0102040816</v>
      </c>
      <c r="B3622">
        <v>3503.4362244897002</v>
      </c>
      <c r="C3622" s="1">
        <f t="shared" si="1064"/>
        <v>1.8141771371108506E-2</v>
      </c>
      <c r="D3622">
        <v>23.189610389609999</v>
      </c>
      <c r="E3622">
        <v>0.15274351798541999</v>
      </c>
      <c r="F3622">
        <v>38</v>
      </c>
    </row>
    <row r="3623" spans="1:9" x14ac:dyDescent="0.25">
      <c r="A3623">
        <v>3427.4030612245001</v>
      </c>
      <c r="B3623">
        <v>3509.1377551019</v>
      </c>
      <c r="C3623" s="1">
        <f t="shared" si="1064"/>
        <v>2.3847412287774095E-2</v>
      </c>
      <c r="D3623">
        <v>23.016883116883001</v>
      </c>
      <c r="E3623">
        <v>0.15209136521082001</v>
      </c>
      <c r="F3623">
        <v>39</v>
      </c>
    </row>
    <row r="3624" spans="1:9" x14ac:dyDescent="0.25">
      <c r="A3624">
        <v>3441.9285714286002</v>
      </c>
      <c r="B3624">
        <v>3515.2372448977999</v>
      </c>
      <c r="C3624" s="1">
        <f t="shared" si="1064"/>
        <v>2.129872016454204E-2</v>
      </c>
      <c r="D3624">
        <v>22.927272727272999</v>
      </c>
      <c r="E3624">
        <v>0.15068680656347</v>
      </c>
      <c r="F3624">
        <v>38</v>
      </c>
    </row>
    <row r="3625" spans="1:9" x14ac:dyDescent="0.25">
      <c r="A3625">
        <v>3445.5255102041001</v>
      </c>
      <c r="B3625">
        <v>3508.4617346936998</v>
      </c>
      <c r="C3625" s="1">
        <f t="shared" si="1064"/>
        <v>1.8266074160011581E-2</v>
      </c>
      <c r="D3625">
        <v>22.874025974026001</v>
      </c>
      <c r="E3625">
        <v>0.15006514072078</v>
      </c>
      <c r="F3625">
        <v>39</v>
      </c>
    </row>
    <row r="3626" spans="1:9" x14ac:dyDescent="0.25">
      <c r="A3626">
        <v>3469.6275510204</v>
      </c>
      <c r="B3626">
        <v>3529.4081632652001</v>
      </c>
      <c r="C3626" s="1">
        <f t="shared" si="1064"/>
        <v>1.7229691477178566E-2</v>
      </c>
      <c r="D3626">
        <v>23.142857142857</v>
      </c>
      <c r="E3626">
        <v>0.15090914610212999</v>
      </c>
      <c r="F3626">
        <v>38</v>
      </c>
    </row>
    <row r="3627" spans="1:9" x14ac:dyDescent="0.25">
      <c r="A3627">
        <v>3447.5306122449001</v>
      </c>
      <c r="B3627">
        <v>3516.1275510203</v>
      </c>
      <c r="C3627" s="1">
        <f t="shared" si="1064"/>
        <v>1.9897412522388747E-2</v>
      </c>
      <c r="D3627">
        <v>23.196103896103999</v>
      </c>
      <c r="E3627">
        <v>0.1523792070403</v>
      </c>
      <c r="F3627">
        <v>39</v>
      </c>
    </row>
    <row r="3628" spans="1:9" x14ac:dyDescent="0.25">
      <c r="A3628">
        <v>3431.6683673469001</v>
      </c>
      <c r="B3628">
        <v>3498.6938775509002</v>
      </c>
      <c r="C3628" s="1">
        <f t="shared" si="1064"/>
        <v>1.9531464882143856E-2</v>
      </c>
      <c r="D3628">
        <v>23.092207792208001</v>
      </c>
      <c r="E3628">
        <v>0.15246326678621</v>
      </c>
      <c r="F3628">
        <v>38</v>
      </c>
      <c r="H3628" t="s">
        <v>17</v>
      </c>
      <c r="I3628">
        <f t="shared" ref="I3628" si="1077">STDEVP(A3614:A3633)</f>
        <v>14.083881355128426</v>
      </c>
    </row>
    <row r="3629" spans="1:9" x14ac:dyDescent="0.25">
      <c r="A3629">
        <v>3440.8214285713998</v>
      </c>
      <c r="B3629">
        <v>3492.0612244897002</v>
      </c>
      <c r="C3629" s="1">
        <f t="shared" si="1064"/>
        <v>1.4891733553163311E-2</v>
      </c>
      <c r="D3629">
        <v>23.018181818182001</v>
      </c>
      <c r="E3629">
        <v>0.15140377507936001</v>
      </c>
      <c r="F3629">
        <v>39</v>
      </c>
      <c r="H3629" t="s">
        <v>18</v>
      </c>
      <c r="I3629">
        <f t="shared" ref="I3629" si="1078">STDEVP(B3614:B3633)</f>
        <v>13.170887597442324</v>
      </c>
    </row>
    <row r="3630" spans="1:9" x14ac:dyDescent="0.25">
      <c r="A3630">
        <v>3418.8163265305998</v>
      </c>
      <c r="B3630">
        <v>3484.7193877549998</v>
      </c>
      <c r="C3630" s="1">
        <f t="shared" si="1064"/>
        <v>1.9276572629240318E-2</v>
      </c>
      <c r="D3630">
        <v>22.950649350649002</v>
      </c>
      <c r="E3630">
        <v>0.15203164679768</v>
      </c>
      <c r="F3630">
        <v>38</v>
      </c>
      <c r="H3630" t="s">
        <v>19</v>
      </c>
      <c r="I3630">
        <f t="shared" ref="I3630" si="1079">STDEVP(C3614:C3633)</f>
        <v>1.9851227104312245E-3</v>
      </c>
    </row>
    <row r="3631" spans="1:9" x14ac:dyDescent="0.25">
      <c r="A3631">
        <v>3432.5714285713998</v>
      </c>
      <c r="B3631">
        <v>3496.9489795917002</v>
      </c>
      <c r="C3631" s="1">
        <f t="shared" si="1064"/>
        <v>1.8754904991764132E-2</v>
      </c>
      <c r="D3631">
        <v>23.009090909091</v>
      </c>
      <c r="E3631">
        <v>0.15178345345103</v>
      </c>
      <c r="F3631">
        <v>40</v>
      </c>
      <c r="H3631" t="s">
        <v>20</v>
      </c>
      <c r="I3631">
        <f t="shared" ref="I3631" si="1080">STDEVP(D3614:D3633)</f>
        <v>0.11272502840535736</v>
      </c>
    </row>
    <row r="3632" spans="1:9" x14ac:dyDescent="0.25">
      <c r="A3632">
        <v>3414.3571428570999</v>
      </c>
      <c r="B3632">
        <v>3480.0867346937998</v>
      </c>
      <c r="C3632" s="1">
        <f t="shared" si="1064"/>
        <v>1.9250942150034644E-2</v>
      </c>
      <c r="D3632">
        <v>22.936363636364</v>
      </c>
      <c r="E3632">
        <v>0.15214915394483</v>
      </c>
      <c r="F3632">
        <v>39</v>
      </c>
      <c r="H3632" t="s">
        <v>21</v>
      </c>
      <c r="I3632">
        <f t="shared" ref="I3632" si="1081">STDEVP(E3614:E3633)</f>
        <v>8.5899047341945426E-4</v>
      </c>
    </row>
    <row r="3633" spans="1:9" x14ac:dyDescent="0.25">
      <c r="A3633">
        <v>3442.637755102</v>
      </c>
      <c r="B3633">
        <v>3510.0204081631</v>
      </c>
      <c r="C3633" s="1">
        <f t="shared" si="1064"/>
        <v>1.9572972195880611E-2</v>
      </c>
      <c r="D3633">
        <v>23.077922077922</v>
      </c>
      <c r="E3633">
        <v>0.15172490630617999</v>
      </c>
      <c r="F3633">
        <v>39</v>
      </c>
      <c r="H3633" t="s">
        <v>22</v>
      </c>
      <c r="I3633">
        <f t="shared" ref="I3633" si="1082">STDEVP(F3614:F3633)</f>
        <v>0.5830951894845301</v>
      </c>
    </row>
    <row r="3634" spans="1:9" x14ac:dyDescent="0.25">
      <c r="C3634" s="1" t="str">
        <f t="shared" si="1064"/>
        <v/>
      </c>
    </row>
    <row r="3635" spans="1:9" x14ac:dyDescent="0.25">
      <c r="A3635">
        <v>3430.5638200183998</v>
      </c>
      <c r="B3635">
        <v>3501.2176308540002</v>
      </c>
      <c r="C3635" s="1">
        <f t="shared" si="1064"/>
        <v>2.0595393218838742E-2</v>
      </c>
      <c r="D3635">
        <v>19.969696969697001</v>
      </c>
      <c r="E3635">
        <v>0.12738369256894999</v>
      </c>
      <c r="F3635">
        <v>75</v>
      </c>
    </row>
    <row r="3636" spans="1:9" x14ac:dyDescent="0.25">
      <c r="A3636">
        <v>3413.3792470156</v>
      </c>
      <c r="B3636">
        <v>3497.7649219466998</v>
      </c>
      <c r="C3636" s="1">
        <f t="shared" si="1064"/>
        <v>2.4722033159626289E-2</v>
      </c>
      <c r="D3636">
        <v>20.049242424241999</v>
      </c>
      <c r="E3636">
        <v>0.12861590643425999</v>
      </c>
      <c r="F3636">
        <v>85</v>
      </c>
    </row>
    <row r="3637" spans="1:9" x14ac:dyDescent="0.25">
      <c r="A3637">
        <v>3413.1588613406998</v>
      </c>
      <c r="B3637">
        <v>3500.1561065197002</v>
      </c>
      <c r="C3637" s="1">
        <f t="shared" si="1064"/>
        <v>2.5488777028335408E-2</v>
      </c>
      <c r="D3637">
        <v>20.287878787878999</v>
      </c>
      <c r="E3637">
        <v>0.13033436767029</v>
      </c>
      <c r="F3637">
        <v>69</v>
      </c>
    </row>
    <row r="3638" spans="1:9" x14ac:dyDescent="0.25">
      <c r="A3638">
        <v>3438.0312213040002</v>
      </c>
      <c r="B3638">
        <v>3527.5757575757002</v>
      </c>
      <c r="C3638" s="1">
        <f t="shared" si="1064"/>
        <v>2.6045294678195718E-2</v>
      </c>
      <c r="D3638">
        <v>20.473484848485</v>
      </c>
      <c r="E3638">
        <v>0.13063438096157001</v>
      </c>
      <c r="F3638">
        <v>65</v>
      </c>
    </row>
    <row r="3639" spans="1:9" x14ac:dyDescent="0.25">
      <c r="A3639">
        <v>3435.1772268136001</v>
      </c>
      <c r="B3639">
        <v>3511.2727272727002</v>
      </c>
      <c r="C3639" s="1">
        <f t="shared" si="1064"/>
        <v>2.2151841210732659E-2</v>
      </c>
      <c r="D3639">
        <v>20.632575757575999</v>
      </c>
      <c r="E3639">
        <v>0.13192873253078999</v>
      </c>
      <c r="F3639">
        <v>62</v>
      </c>
    </row>
    <row r="3640" spans="1:9" x14ac:dyDescent="0.25">
      <c r="A3640">
        <v>3434.6519742883002</v>
      </c>
      <c r="B3640">
        <v>3509.2525252525002</v>
      </c>
      <c r="C3640" s="1">
        <f t="shared" si="1064"/>
        <v>2.1719973820537808E-2</v>
      </c>
      <c r="D3640">
        <v>20.299242424241999</v>
      </c>
      <c r="E3640">
        <v>0.12954416635578</v>
      </c>
      <c r="F3640">
        <v>72</v>
      </c>
    </row>
    <row r="3641" spans="1:9" x14ac:dyDescent="0.25">
      <c r="A3641">
        <v>3410.1910009182998</v>
      </c>
      <c r="B3641">
        <v>3485.2672176308001</v>
      </c>
      <c r="C3641" s="1">
        <f t="shared" si="1064"/>
        <v>2.2015252721118372E-2</v>
      </c>
      <c r="D3641">
        <v>20.109848484848001</v>
      </c>
      <c r="E3641">
        <v>0.12916406804496999</v>
      </c>
      <c r="F3641">
        <v>78</v>
      </c>
    </row>
    <row r="3642" spans="1:9" x14ac:dyDescent="0.25">
      <c r="A3642">
        <v>3428.3287419651001</v>
      </c>
      <c r="B3642">
        <v>3518.3728191</v>
      </c>
      <c r="C3642" s="1">
        <f t="shared" si="1064"/>
        <v>2.6264714941918621E-2</v>
      </c>
      <c r="D3642">
        <v>20.382575757575999</v>
      </c>
      <c r="E3642">
        <v>0.13040732804440999</v>
      </c>
      <c r="F3642">
        <v>65</v>
      </c>
    </row>
    <row r="3643" spans="1:9" x14ac:dyDescent="0.25">
      <c r="A3643">
        <v>3437.2047750229999</v>
      </c>
      <c r="B3643">
        <v>3495.8677685950001</v>
      </c>
      <c r="C3643" s="1">
        <f t="shared" si="1064"/>
        <v>1.7067063911432978E-2</v>
      </c>
      <c r="D3643">
        <v>19.837121212121001</v>
      </c>
      <c r="E3643">
        <v>0.12609321573731999</v>
      </c>
      <c r="F3643">
        <v>72</v>
      </c>
    </row>
    <row r="3644" spans="1:9" x14ac:dyDescent="0.25">
      <c r="A3644">
        <v>3434.6776859503998</v>
      </c>
      <c r="B3644">
        <v>3513.0303030302998</v>
      </c>
      <c r="C3644" s="1">
        <f t="shared" si="1064"/>
        <v>2.2812218276085261E-2</v>
      </c>
      <c r="D3644">
        <v>20.431818181817999</v>
      </c>
      <c r="E3644">
        <v>0.13046679526996</v>
      </c>
      <c r="F3644">
        <v>75</v>
      </c>
    </row>
    <row r="3645" spans="1:9" x14ac:dyDescent="0.25">
      <c r="A3645">
        <v>3413.0890725436002</v>
      </c>
      <c r="B3645">
        <v>3490.025711662</v>
      </c>
      <c r="C3645" s="1">
        <f t="shared" si="1064"/>
        <v>2.2541644089312696E-2</v>
      </c>
      <c r="D3645">
        <v>19.928030303029999</v>
      </c>
      <c r="E3645">
        <v>0.12774838881230999</v>
      </c>
      <c r="F3645">
        <v>61</v>
      </c>
    </row>
    <row r="3646" spans="1:9" x14ac:dyDescent="0.25">
      <c r="A3646">
        <v>3392.9752066115998</v>
      </c>
      <c r="B3646">
        <v>3495.1735537190002</v>
      </c>
      <c r="C3646" s="1">
        <f t="shared" si="1064"/>
        <v>3.0120569967105881E-2</v>
      </c>
      <c r="D3646">
        <v>20.215909090909001</v>
      </c>
      <c r="E3646">
        <v>0.13073566660002001</v>
      </c>
      <c r="F3646">
        <v>69</v>
      </c>
    </row>
    <row r="3647" spans="1:9" x14ac:dyDescent="0.25">
      <c r="A3647">
        <v>3409.9338842974998</v>
      </c>
      <c r="B3647">
        <v>3491.4067952249002</v>
      </c>
      <c r="C3647" s="1">
        <f t="shared" si="1064"/>
        <v>2.3892812497795735E-2</v>
      </c>
      <c r="D3647">
        <v>20.034090909090999</v>
      </c>
      <c r="E3647">
        <v>0.12867432735379999</v>
      </c>
      <c r="F3647">
        <v>67</v>
      </c>
    </row>
    <row r="3648" spans="1:9" x14ac:dyDescent="0.25">
      <c r="A3648">
        <v>3443.9651056015</v>
      </c>
      <c r="B3648">
        <v>3515.3535353534999</v>
      </c>
      <c r="C3648" s="1">
        <f t="shared" si="1064"/>
        <v>2.0728557799813085E-2</v>
      </c>
      <c r="D3648">
        <v>20.257575757575999</v>
      </c>
      <c r="E3648">
        <v>0.12886848052843</v>
      </c>
      <c r="F3648">
        <v>75</v>
      </c>
    </row>
    <row r="3649" spans="1:9" x14ac:dyDescent="0.25">
      <c r="A3649">
        <v>3431.9797979798</v>
      </c>
      <c r="B3649">
        <v>3525.7116620753</v>
      </c>
      <c r="C3649" s="1">
        <f t="shared" si="1064"/>
        <v>2.7311309976438158E-2</v>
      </c>
      <c r="D3649">
        <v>20.333333333333002</v>
      </c>
      <c r="E3649">
        <v>0.12988564526499</v>
      </c>
      <c r="F3649">
        <v>80</v>
      </c>
      <c r="H3649" t="s">
        <v>17</v>
      </c>
      <c r="I3649">
        <f t="shared" ref="I3649" si="1083">STDEVP(A3635:A3654)</f>
        <v>13.007194887069041</v>
      </c>
    </row>
    <row r="3650" spans="1:9" x14ac:dyDescent="0.25">
      <c r="A3650">
        <v>3421.8475665748001</v>
      </c>
      <c r="B3650">
        <v>3494.7438016527999</v>
      </c>
      <c r="C3650" s="1">
        <f t="shared" ref="C3650:C3713" si="1084">IFERROR((B3650/A3650)-1,"")</f>
        <v>2.1303180127035137E-2</v>
      </c>
      <c r="D3650">
        <v>20.276515151515</v>
      </c>
      <c r="E3650">
        <v>0.1298895797038</v>
      </c>
      <c r="F3650">
        <v>89</v>
      </c>
      <c r="H3650" t="s">
        <v>18</v>
      </c>
      <c r="I3650">
        <f t="shared" ref="I3650" si="1085">STDEVP(B3635:B3654)</f>
        <v>14.561150156464034</v>
      </c>
    </row>
    <row r="3651" spans="1:9" x14ac:dyDescent="0.25">
      <c r="A3651">
        <v>3442.1928374656</v>
      </c>
      <c r="B3651">
        <v>3504.1248852158001</v>
      </c>
      <c r="C3651" s="1">
        <f t="shared" si="1084"/>
        <v>1.7992033181905898E-2</v>
      </c>
      <c r="D3651">
        <v>19.806818181817999</v>
      </c>
      <c r="E3651">
        <v>0.12567059428519001</v>
      </c>
      <c r="F3651">
        <v>91</v>
      </c>
      <c r="H3651" t="s">
        <v>19</v>
      </c>
      <c r="I3651">
        <f t="shared" ref="I3651" si="1086">STDEVP(C3635:C3654)</f>
        <v>3.5762061794249946E-3</v>
      </c>
    </row>
    <row r="3652" spans="1:9" x14ac:dyDescent="0.25">
      <c r="A3652">
        <v>3428.4830119376002</v>
      </c>
      <c r="B3652">
        <v>3507.8255280072999</v>
      </c>
      <c r="C3652" s="1">
        <f t="shared" si="1084"/>
        <v>2.3142163981398678E-2</v>
      </c>
      <c r="D3652">
        <v>20.053030303029999</v>
      </c>
      <c r="E3652">
        <v>0.12799375146438999</v>
      </c>
      <c r="F3652">
        <v>78</v>
      </c>
      <c r="H3652" t="s">
        <v>20</v>
      </c>
      <c r="I3652">
        <f t="shared" ref="I3652" si="1087">STDEVP(D3635:D3654)</f>
        <v>0.21332316392780598</v>
      </c>
    </row>
    <row r="3653" spans="1:9" x14ac:dyDescent="0.25">
      <c r="A3653">
        <v>3417.0449954085998</v>
      </c>
      <c r="B3653">
        <v>3480.6097337005999</v>
      </c>
      <c r="C3653" s="1">
        <f t="shared" si="1084"/>
        <v>1.8602253812112668E-2</v>
      </c>
      <c r="D3653">
        <v>20.075757575758001</v>
      </c>
      <c r="E3653">
        <v>0.12865264966191001</v>
      </c>
      <c r="F3653">
        <v>66</v>
      </c>
      <c r="H3653" t="s">
        <v>21</v>
      </c>
      <c r="I3653">
        <f t="shared" ref="I3653" si="1088">STDEVP(E3635:E3654)</f>
        <v>1.5389357916233113E-3</v>
      </c>
    </row>
    <row r="3654" spans="1:9" x14ac:dyDescent="0.25">
      <c r="A3654">
        <v>3432.6648301194</v>
      </c>
      <c r="B3654">
        <v>3538.4242424242002</v>
      </c>
      <c r="C3654" s="1">
        <f t="shared" si="1084"/>
        <v>3.0809711270622708E-2</v>
      </c>
      <c r="D3654">
        <v>20.303030303029999</v>
      </c>
      <c r="E3654">
        <v>0.12967585667081</v>
      </c>
      <c r="F3654">
        <v>72</v>
      </c>
      <c r="H3654" t="s">
        <v>22</v>
      </c>
      <c r="I3654">
        <f t="shared" ref="I3654" si="1089">STDEVP(F3635:F3654)</f>
        <v>8.2042671823874684</v>
      </c>
    </row>
    <row r="3655" spans="1:9" x14ac:dyDescent="0.25">
      <c r="C3655" s="1" t="str">
        <f t="shared" si="1084"/>
        <v/>
      </c>
    </row>
    <row r="3656" spans="1:9" x14ac:dyDescent="0.25">
      <c r="A3656">
        <v>343.65680966264</v>
      </c>
      <c r="B3656">
        <v>358.04331528530003</v>
      </c>
      <c r="C3656" s="1">
        <f t="shared" si="1084"/>
        <v>4.186300174520885E-2</v>
      </c>
      <c r="D3656">
        <v>6.4574829931973001</v>
      </c>
      <c r="E3656">
        <v>0.58815866948173001</v>
      </c>
      <c r="F3656">
        <v>10</v>
      </c>
    </row>
    <row r="3657" spans="1:9" x14ac:dyDescent="0.25">
      <c r="A3657">
        <v>340.12911286963998</v>
      </c>
      <c r="B3657">
        <v>361.07955018743002</v>
      </c>
      <c r="C3657" s="1">
        <f t="shared" si="1084"/>
        <v>6.1595542766195388E-2</v>
      </c>
      <c r="D3657">
        <v>6.6003401360543998</v>
      </c>
      <c r="E3657">
        <v>0.61730131386188003</v>
      </c>
      <c r="F3657">
        <v>10</v>
      </c>
    </row>
    <row r="3658" spans="1:9" x14ac:dyDescent="0.25">
      <c r="A3658">
        <v>341.11370262391</v>
      </c>
      <c r="B3658">
        <v>356.66972094961</v>
      </c>
      <c r="C3658" s="1">
        <f t="shared" si="1084"/>
        <v>4.5603616055409635E-2</v>
      </c>
      <c r="D3658">
        <v>6.4880952380951999</v>
      </c>
      <c r="E3658">
        <v>0.59625199833312004</v>
      </c>
      <c r="F3658">
        <v>11</v>
      </c>
    </row>
    <row r="3659" spans="1:9" x14ac:dyDescent="0.25">
      <c r="A3659">
        <v>337.00791336943001</v>
      </c>
      <c r="B3659">
        <v>358.29987505205997</v>
      </c>
      <c r="C3659" s="1">
        <f t="shared" si="1084"/>
        <v>6.3179411633843774E-2</v>
      </c>
      <c r="D3659">
        <v>6.5306122448980002</v>
      </c>
      <c r="E3659">
        <v>0.61572726198668004</v>
      </c>
      <c r="F3659">
        <v>10</v>
      </c>
    </row>
    <row r="3660" spans="1:9" x14ac:dyDescent="0.25">
      <c r="A3660">
        <v>336.18492294877001</v>
      </c>
      <c r="B3660">
        <v>360.95710120783002</v>
      </c>
      <c r="C3660" s="1">
        <f t="shared" si="1084"/>
        <v>7.368616665428207E-2</v>
      </c>
      <c r="D3660">
        <v>6.4302721088435</v>
      </c>
      <c r="E3660">
        <v>0.60403066651003001</v>
      </c>
      <c r="F3660">
        <v>10</v>
      </c>
    </row>
    <row r="3661" spans="1:9" x14ac:dyDescent="0.25">
      <c r="A3661">
        <v>342.59391920032999</v>
      </c>
      <c r="B3661">
        <v>361.74177426072998</v>
      </c>
      <c r="C3661" s="1">
        <f t="shared" si="1084"/>
        <v>5.5890819968708705E-2</v>
      </c>
      <c r="D3661">
        <v>6.5782312925169997</v>
      </c>
      <c r="E3661">
        <v>0.60816379294133005</v>
      </c>
      <c r="F3661">
        <v>10</v>
      </c>
    </row>
    <row r="3662" spans="1:9" x14ac:dyDescent="0.25">
      <c r="A3662">
        <v>343.05705955852</v>
      </c>
      <c r="B3662">
        <v>357.49104539774999</v>
      </c>
      <c r="C3662" s="1">
        <f t="shared" si="1084"/>
        <v>4.2074592074581085E-2</v>
      </c>
      <c r="D3662">
        <v>6.5935374149659998</v>
      </c>
      <c r="E3662">
        <v>0.60639134519327997</v>
      </c>
      <c r="F3662">
        <v>11</v>
      </c>
    </row>
    <row r="3663" spans="1:9" x14ac:dyDescent="0.25">
      <c r="A3663">
        <v>338.87546855477001</v>
      </c>
      <c r="B3663">
        <v>355.13869221158001</v>
      </c>
      <c r="C3663" s="1">
        <f t="shared" si="1084"/>
        <v>4.7991740819036233E-2</v>
      </c>
      <c r="D3663">
        <v>6.5884353741497002</v>
      </c>
      <c r="E3663">
        <v>0.61987653592646996</v>
      </c>
      <c r="F3663">
        <v>10</v>
      </c>
    </row>
    <row r="3664" spans="1:9" x14ac:dyDescent="0.25">
      <c r="A3664">
        <v>340.15576842982</v>
      </c>
      <c r="B3664">
        <v>356.23573511037</v>
      </c>
      <c r="C3664" s="1">
        <f t="shared" si="1084"/>
        <v>4.7272362173295335E-2</v>
      </c>
      <c r="D3664">
        <v>6.5017006802720996</v>
      </c>
      <c r="E3664">
        <v>0.60178489843789995</v>
      </c>
      <c r="F3664">
        <v>10</v>
      </c>
    </row>
    <row r="3665" spans="1:9" x14ac:dyDescent="0.25">
      <c r="A3665">
        <v>339.72261557683998</v>
      </c>
      <c r="B3665">
        <v>361.12119950021003</v>
      </c>
      <c r="C3665" s="1">
        <f t="shared" si="1084"/>
        <v>6.298839977737658E-2</v>
      </c>
      <c r="D3665">
        <v>6.5629251700679996</v>
      </c>
      <c r="E3665">
        <v>0.61531265765052001</v>
      </c>
      <c r="F3665">
        <v>11</v>
      </c>
    </row>
    <row r="3666" spans="1:9" x14ac:dyDescent="0.25">
      <c r="A3666">
        <v>338.65805914202002</v>
      </c>
      <c r="B3666">
        <v>360.60807996668001</v>
      </c>
      <c r="C3666" s="1">
        <f t="shared" si="1084"/>
        <v>6.4814700941326242E-2</v>
      </c>
      <c r="D3666">
        <v>6.3877551020408001</v>
      </c>
      <c r="E3666">
        <v>0.58837681015443999</v>
      </c>
      <c r="F3666">
        <v>10</v>
      </c>
    </row>
    <row r="3667" spans="1:9" x14ac:dyDescent="0.25">
      <c r="A3667">
        <v>343.50603915034998</v>
      </c>
      <c r="B3667">
        <v>362.12244897958999</v>
      </c>
      <c r="C3667" s="1">
        <f t="shared" si="1084"/>
        <v>5.4195291224826914E-2</v>
      </c>
      <c r="D3667">
        <v>6.5935374149659998</v>
      </c>
      <c r="E3667">
        <v>0.60772566668433003</v>
      </c>
      <c r="F3667">
        <v>10</v>
      </c>
    </row>
    <row r="3668" spans="1:9" x14ac:dyDescent="0.25">
      <c r="A3668">
        <v>339.22199083714997</v>
      </c>
      <c r="B3668">
        <v>351.92086630570998</v>
      </c>
      <c r="C3668" s="1">
        <f t="shared" si="1084"/>
        <v>3.7435295504342214E-2</v>
      </c>
      <c r="D3668">
        <v>6.4727891156463002</v>
      </c>
      <c r="E3668">
        <v>0.59981093342572001</v>
      </c>
      <c r="F3668">
        <v>11</v>
      </c>
    </row>
    <row r="3669" spans="1:9" x14ac:dyDescent="0.25">
      <c r="A3669">
        <v>339.42274052478001</v>
      </c>
      <c r="B3669">
        <v>355.52103290295997</v>
      </c>
      <c r="C3669" s="1">
        <f t="shared" si="1084"/>
        <v>4.7428443814019339E-2</v>
      </c>
      <c r="D3669">
        <v>6.5476190476190004</v>
      </c>
      <c r="E3669">
        <v>0.61157007172809996</v>
      </c>
      <c r="F3669">
        <v>10</v>
      </c>
    </row>
    <row r="3670" spans="1:9" x14ac:dyDescent="0.25">
      <c r="A3670">
        <v>339.09037900875001</v>
      </c>
      <c r="B3670">
        <v>358.09745939191998</v>
      </c>
      <c r="C3670" s="1">
        <f t="shared" si="1084"/>
        <v>5.6053139693118537E-2</v>
      </c>
      <c r="D3670">
        <v>6.4285714285714004</v>
      </c>
      <c r="E3670">
        <v>0.59649631288924998</v>
      </c>
      <c r="F3670">
        <v>10</v>
      </c>
      <c r="H3670" t="s">
        <v>17</v>
      </c>
      <c r="I3670">
        <f t="shared" ref="I3670" si="1090">STDEVP(A3656:A3675)</f>
        <v>2.3742131627894758</v>
      </c>
    </row>
    <row r="3671" spans="1:9" x14ac:dyDescent="0.25">
      <c r="A3671">
        <v>338.43315285298002</v>
      </c>
      <c r="B3671">
        <v>358.42982090795999</v>
      </c>
      <c r="C3671" s="1">
        <f t="shared" si="1084"/>
        <v>5.9086020049775589E-2</v>
      </c>
      <c r="D3671">
        <v>6.3554421768707003</v>
      </c>
      <c r="E3671">
        <v>0.58620961612302003</v>
      </c>
      <c r="F3671">
        <v>11</v>
      </c>
      <c r="H3671" t="s">
        <v>18</v>
      </c>
      <c r="I3671">
        <f t="shared" ref="I3671" si="1091">STDEVP(B3656:B3675)</f>
        <v>2.8429299154911889</v>
      </c>
    </row>
    <row r="3672" spans="1:9" x14ac:dyDescent="0.25">
      <c r="A3672">
        <v>340.51811745105999</v>
      </c>
      <c r="B3672">
        <v>358.92378175760001</v>
      </c>
      <c r="C3672" s="1">
        <f t="shared" si="1084"/>
        <v>5.4051938394101162E-2</v>
      </c>
      <c r="D3672">
        <v>6.6139455782313004</v>
      </c>
      <c r="E3672">
        <v>0.61894331673891001</v>
      </c>
      <c r="F3672">
        <v>10</v>
      </c>
      <c r="H3672" t="s">
        <v>19</v>
      </c>
      <c r="I3672">
        <f t="shared" ref="I3672" si="1092">STDEVP(C3656:C3675)</f>
        <v>9.626335993276891E-3</v>
      </c>
    </row>
    <row r="3673" spans="1:9" x14ac:dyDescent="0.25">
      <c r="A3673">
        <v>333.88588088297001</v>
      </c>
      <c r="B3673">
        <v>355.73927530195999</v>
      </c>
      <c r="C3673" s="1">
        <f t="shared" si="1084"/>
        <v>6.5451687747915877E-2</v>
      </c>
      <c r="D3673">
        <v>6.4795918367347003</v>
      </c>
      <c r="E3673">
        <v>0.61681497385994999</v>
      </c>
      <c r="F3673">
        <v>10</v>
      </c>
      <c r="H3673" t="s">
        <v>20</v>
      </c>
      <c r="I3673">
        <f t="shared" ref="I3673" si="1093">STDEVP(D3656:D3675)</f>
        <v>7.3862406210046014E-2</v>
      </c>
    </row>
    <row r="3674" spans="1:9" x14ac:dyDescent="0.25">
      <c r="A3674">
        <v>338.62557267804999</v>
      </c>
      <c r="B3674">
        <v>358.76718034152998</v>
      </c>
      <c r="C3674" s="1">
        <f t="shared" si="1084"/>
        <v>5.9480468365659123E-2</v>
      </c>
      <c r="D3674">
        <v>6.5340136054422002</v>
      </c>
      <c r="E3674">
        <v>0.61218758959111996</v>
      </c>
      <c r="F3674">
        <v>11</v>
      </c>
      <c r="H3674" t="s">
        <v>21</v>
      </c>
      <c r="I3674">
        <f t="shared" ref="I3674" si="1094">STDEVP(E3656:E3675)</f>
        <v>1.0376687458327961E-2</v>
      </c>
    </row>
    <row r="3675" spans="1:9" x14ac:dyDescent="0.25">
      <c r="A3675">
        <v>340.84298209079998</v>
      </c>
      <c r="B3675">
        <v>364.22990420657999</v>
      </c>
      <c r="C3675" s="1">
        <f t="shared" si="1084"/>
        <v>6.8614943961351038E-2</v>
      </c>
      <c r="D3675">
        <v>6.5680272108843996</v>
      </c>
      <c r="E3675">
        <v>0.61096479445310004</v>
      </c>
      <c r="F3675">
        <v>10</v>
      </c>
      <c r="H3675" t="s">
        <v>22</v>
      </c>
      <c r="I3675">
        <f t="shared" ref="I3675" si="1095">STDEVP(F3656:F3675)</f>
        <v>0.45825756949558394</v>
      </c>
    </row>
    <row r="3676" spans="1:9" x14ac:dyDescent="0.25">
      <c r="C3676" s="1" t="str">
        <f t="shared" si="1084"/>
        <v/>
      </c>
    </row>
    <row r="3677" spans="1:9" x14ac:dyDescent="0.25">
      <c r="A3677">
        <v>984.12098298676995</v>
      </c>
      <c r="B3677">
        <v>1024.8809073724001</v>
      </c>
      <c r="C3677" s="1">
        <f t="shared" si="1084"/>
        <v>4.1417595082593683E-2</v>
      </c>
      <c r="D3677">
        <v>12.98814229249</v>
      </c>
      <c r="E3677">
        <v>0.33891268901397997</v>
      </c>
      <c r="F3677">
        <v>13</v>
      </c>
    </row>
    <row r="3678" spans="1:9" x14ac:dyDescent="0.25">
      <c r="A3678">
        <v>980.12098298676995</v>
      </c>
      <c r="B3678">
        <v>1030.3440453686001</v>
      </c>
      <c r="C3678" s="1">
        <f t="shared" si="1084"/>
        <v>5.1241696947230908E-2</v>
      </c>
      <c r="D3678">
        <v>13.351778656125999</v>
      </c>
      <c r="E3678">
        <v>0.35309227589394998</v>
      </c>
      <c r="F3678">
        <v>12</v>
      </c>
    </row>
    <row r="3679" spans="1:9" x14ac:dyDescent="0.25">
      <c r="A3679">
        <v>977.82230623817998</v>
      </c>
      <c r="B3679">
        <v>1035.4669187145</v>
      </c>
      <c r="C3679" s="1">
        <f t="shared" si="1084"/>
        <v>5.8952032602004101E-2</v>
      </c>
      <c r="D3679">
        <v>13.122529644268999</v>
      </c>
      <c r="E3679">
        <v>0.346436882429</v>
      </c>
      <c r="F3679">
        <v>12</v>
      </c>
    </row>
    <row r="3680" spans="1:9" x14ac:dyDescent="0.25">
      <c r="A3680">
        <v>960.10586011342002</v>
      </c>
      <c r="B3680">
        <v>1011.2287334593</v>
      </c>
      <c r="C3680" s="1">
        <f t="shared" si="1084"/>
        <v>5.3247121457878244E-2</v>
      </c>
      <c r="D3680">
        <v>12.569169960473999</v>
      </c>
      <c r="E3680">
        <v>0.33467512893598</v>
      </c>
      <c r="F3680">
        <v>12</v>
      </c>
    </row>
    <row r="3681" spans="1:9" x14ac:dyDescent="0.25">
      <c r="A3681">
        <v>962.88090737239997</v>
      </c>
      <c r="B3681">
        <v>1011.3799621928</v>
      </c>
      <c r="C3681" s="1">
        <f t="shared" si="1084"/>
        <v>5.0368695078552239E-2</v>
      </c>
      <c r="D3681">
        <v>12.814229249012</v>
      </c>
      <c r="E3681">
        <v>0.34222121586329002</v>
      </c>
      <c r="F3681">
        <v>12</v>
      </c>
    </row>
    <row r="3682" spans="1:9" x14ac:dyDescent="0.25">
      <c r="A3682">
        <v>982.83175803403003</v>
      </c>
      <c r="B3682">
        <v>1038.4310018903</v>
      </c>
      <c r="C3682" s="1">
        <f t="shared" si="1084"/>
        <v>5.6570459187730959E-2</v>
      </c>
      <c r="D3682">
        <v>13.225296442688</v>
      </c>
      <c r="E3682">
        <v>0.34751144325519001</v>
      </c>
      <c r="F3682">
        <v>13</v>
      </c>
    </row>
    <row r="3683" spans="1:9" x14ac:dyDescent="0.25">
      <c r="A3683">
        <v>977.75803402646</v>
      </c>
      <c r="B3683">
        <v>1024.9035916824</v>
      </c>
      <c r="C3683" s="1">
        <f t="shared" si="1084"/>
        <v>4.8218021243755071E-2</v>
      </c>
      <c r="D3683">
        <v>12.932806324111001</v>
      </c>
      <c r="E3683">
        <v>0.34035653293086998</v>
      </c>
      <c r="F3683">
        <v>12</v>
      </c>
    </row>
    <row r="3684" spans="1:9" x14ac:dyDescent="0.25">
      <c r="A3684">
        <v>964.27221172022996</v>
      </c>
      <c r="B3684">
        <v>1023.7807183364999</v>
      </c>
      <c r="C3684" s="1">
        <f t="shared" si="1084"/>
        <v>6.1713389531477647E-2</v>
      </c>
      <c r="D3684">
        <v>12.99604743083</v>
      </c>
      <c r="E3684">
        <v>0.35003924994739999</v>
      </c>
      <c r="F3684">
        <v>12</v>
      </c>
    </row>
    <row r="3685" spans="1:9" x14ac:dyDescent="0.25">
      <c r="A3685">
        <v>964.48015122873005</v>
      </c>
      <c r="B3685">
        <v>1018.3440453686</v>
      </c>
      <c r="C3685" s="1">
        <f t="shared" si="1084"/>
        <v>5.5847592167913795E-2</v>
      </c>
      <c r="D3685">
        <v>12.711462450593</v>
      </c>
      <c r="E3685">
        <v>0.33758620267474998</v>
      </c>
      <c r="F3685">
        <v>12</v>
      </c>
    </row>
    <row r="3686" spans="1:9" x14ac:dyDescent="0.25">
      <c r="A3686">
        <v>965.28166351607001</v>
      </c>
      <c r="B3686">
        <v>1019.9584120983</v>
      </c>
      <c r="C3686" s="1">
        <f t="shared" si="1084"/>
        <v>5.6643310081192277E-2</v>
      </c>
      <c r="D3686">
        <v>12.553359683794</v>
      </c>
      <c r="E3686">
        <v>0.33167004163687003</v>
      </c>
      <c r="F3686">
        <v>12</v>
      </c>
    </row>
    <row r="3687" spans="1:9" x14ac:dyDescent="0.25">
      <c r="A3687">
        <v>983.34971644612006</v>
      </c>
      <c r="B3687">
        <v>1028.0604914933999</v>
      </c>
      <c r="C3687" s="1">
        <f t="shared" si="1084"/>
        <v>4.5467827263800942E-2</v>
      </c>
      <c r="D3687">
        <v>13.075098814228999</v>
      </c>
      <c r="E3687">
        <v>0.34271637598367999</v>
      </c>
      <c r="F3687">
        <v>12</v>
      </c>
    </row>
    <row r="3688" spans="1:9" x14ac:dyDescent="0.25">
      <c r="A3688">
        <v>977.34215500945004</v>
      </c>
      <c r="B3688">
        <v>1034.1512287334001</v>
      </c>
      <c r="C3688" s="1">
        <f t="shared" si="1084"/>
        <v>5.812608556048704E-2</v>
      </c>
      <c r="D3688">
        <v>13.138339920949001</v>
      </c>
      <c r="E3688">
        <v>0.34757228229986997</v>
      </c>
      <c r="F3688">
        <v>13</v>
      </c>
    </row>
    <row r="3689" spans="1:9" x14ac:dyDescent="0.25">
      <c r="A3689">
        <v>974.59735349716004</v>
      </c>
      <c r="B3689">
        <v>1035.7655954631</v>
      </c>
      <c r="C3689" s="1">
        <f t="shared" si="1084"/>
        <v>6.2762577536712216E-2</v>
      </c>
      <c r="D3689">
        <v>13.185770750988</v>
      </c>
      <c r="E3689">
        <v>0.35008502890825999</v>
      </c>
      <c r="F3689">
        <v>12</v>
      </c>
    </row>
    <row r="3690" spans="1:9" x14ac:dyDescent="0.25">
      <c r="A3690">
        <v>979.52362948960001</v>
      </c>
      <c r="B3690">
        <v>1026.4536862003999</v>
      </c>
      <c r="C3690" s="1">
        <f t="shared" si="1084"/>
        <v>4.7911102190820731E-2</v>
      </c>
      <c r="D3690">
        <v>12.893280632411001</v>
      </c>
      <c r="E3690">
        <v>0.33789789214485</v>
      </c>
      <c r="F3690">
        <v>12</v>
      </c>
    </row>
    <row r="3691" spans="1:9" x14ac:dyDescent="0.25">
      <c r="A3691">
        <v>967.47826086956002</v>
      </c>
      <c r="B3691">
        <v>1011.8752362949</v>
      </c>
      <c r="C3691" s="1">
        <f t="shared" si="1084"/>
        <v>4.5889377798976394E-2</v>
      </c>
      <c r="D3691">
        <v>13.090909090908999</v>
      </c>
      <c r="E3691">
        <v>0.35016490576617998</v>
      </c>
      <c r="F3691">
        <v>12</v>
      </c>
      <c r="H3691" t="s">
        <v>17</v>
      </c>
      <c r="I3691">
        <f t="shared" ref="I3691" si="1096">STDEVP(A3677:A3696)</f>
        <v>8.9190222967619732</v>
      </c>
    </row>
    <row r="3692" spans="1:9" x14ac:dyDescent="0.25">
      <c r="A3692">
        <v>982.75614366729997</v>
      </c>
      <c r="B3692">
        <v>1034.7448015123</v>
      </c>
      <c r="C3692" s="1">
        <f t="shared" si="1084"/>
        <v>5.2900872897112317E-2</v>
      </c>
      <c r="D3692">
        <v>12.948616600791</v>
      </c>
      <c r="E3692">
        <v>0.3377370656832</v>
      </c>
      <c r="F3692">
        <v>12</v>
      </c>
      <c r="H3692" t="s">
        <v>18</v>
      </c>
      <c r="I3692">
        <f t="shared" ref="I3692" si="1097">STDEVP(B3677:B3696)</f>
        <v>8.245605368751928</v>
      </c>
    </row>
    <row r="3693" spans="1:9" x14ac:dyDescent="0.25">
      <c r="A3693">
        <v>974.66162570888002</v>
      </c>
      <c r="B3693">
        <v>1015.2400756144</v>
      </c>
      <c r="C3693" s="1">
        <f t="shared" si="1084"/>
        <v>4.1633371864832514E-2</v>
      </c>
      <c r="D3693">
        <v>13.193675889328</v>
      </c>
      <c r="E3693">
        <v>0.35130277868446003</v>
      </c>
      <c r="F3693">
        <v>12</v>
      </c>
      <c r="H3693" t="s">
        <v>19</v>
      </c>
      <c r="I3693">
        <f t="shared" ref="I3693" si="1098">STDEVP(C3677:C3696)</f>
        <v>7.5531502522386369E-3</v>
      </c>
    </row>
    <row r="3694" spans="1:9" x14ac:dyDescent="0.25">
      <c r="A3694">
        <v>992.50283553874999</v>
      </c>
      <c r="B3694">
        <v>1025.5009451796</v>
      </c>
      <c r="C3694" s="1">
        <f t="shared" si="1084"/>
        <v>3.3247370646490859E-2</v>
      </c>
      <c r="D3694">
        <v>13.249011857708</v>
      </c>
      <c r="E3694">
        <v>0.34375410471792001</v>
      </c>
      <c r="F3694">
        <v>13</v>
      </c>
      <c r="H3694" t="s">
        <v>20</v>
      </c>
      <c r="I3694">
        <f t="shared" ref="I3694" si="1099">STDEVP(D3677:D3696)</f>
        <v>0.24907584346370837</v>
      </c>
    </row>
    <row r="3695" spans="1:9" x14ac:dyDescent="0.25">
      <c r="A3695">
        <v>965.44423440454</v>
      </c>
      <c r="B3695">
        <v>1021.5765595463</v>
      </c>
      <c r="C3695" s="1">
        <f t="shared" si="1084"/>
        <v>5.8141447368403432E-2</v>
      </c>
      <c r="D3695">
        <v>13.557312252964</v>
      </c>
      <c r="E3695">
        <v>0.36873517684698998</v>
      </c>
      <c r="F3695">
        <v>12</v>
      </c>
      <c r="H3695" t="s">
        <v>21</v>
      </c>
      <c r="I3695">
        <f t="shared" ref="I3695" si="1100">STDEVP(E3677:E3696)</f>
        <v>8.6275758329756088E-3</v>
      </c>
    </row>
    <row r="3696" spans="1:9" x14ac:dyDescent="0.25">
      <c r="A3696">
        <v>963.90926275992001</v>
      </c>
      <c r="B3696">
        <v>1021.6370510397001</v>
      </c>
      <c r="C3696" s="1">
        <f t="shared" si="1084"/>
        <v>5.9889234920816659E-2</v>
      </c>
      <c r="D3696">
        <v>13.304347826087</v>
      </c>
      <c r="E3696">
        <v>0.35980526216697001</v>
      </c>
      <c r="F3696">
        <v>12</v>
      </c>
      <c r="H3696" t="s">
        <v>22</v>
      </c>
      <c r="I3696">
        <f t="shared" ref="I3696" si="1101">STDEVP(F3677:F3696)</f>
        <v>0.39999999999999997</v>
      </c>
    </row>
    <row r="3697" spans="1:9" x14ac:dyDescent="0.25">
      <c r="C3697" s="1" t="str">
        <f t="shared" si="1084"/>
        <v/>
      </c>
    </row>
    <row r="3698" spans="1:9" x14ac:dyDescent="0.25">
      <c r="A3698">
        <v>2033.1875</v>
      </c>
      <c r="B3698">
        <v>2122.5625</v>
      </c>
      <c r="C3698" s="1">
        <f t="shared" si="1084"/>
        <v>4.395807076327185E-2</v>
      </c>
      <c r="D3698">
        <v>19.483333333333</v>
      </c>
      <c r="E3698">
        <v>0.21928984009425001</v>
      </c>
      <c r="F3698">
        <v>30</v>
      </c>
    </row>
    <row r="3699" spans="1:9" x14ac:dyDescent="0.25">
      <c r="A3699">
        <v>2028.125</v>
      </c>
      <c r="B3699">
        <v>2080.28125</v>
      </c>
      <c r="C3699" s="1">
        <f t="shared" si="1084"/>
        <v>2.5716486902927604E-2</v>
      </c>
      <c r="D3699">
        <v>17.899999999999999</v>
      </c>
      <c r="E3699">
        <v>0.19870237737849</v>
      </c>
      <c r="F3699">
        <v>30</v>
      </c>
    </row>
    <row r="3700" spans="1:9" x14ac:dyDescent="0.25">
      <c r="A3700">
        <v>2038.625</v>
      </c>
      <c r="B3700">
        <v>2116.8125</v>
      </c>
      <c r="C3700" s="1">
        <f t="shared" si="1084"/>
        <v>3.8353056594518264E-2</v>
      </c>
      <c r="D3700">
        <v>19.133333333332999</v>
      </c>
      <c r="E3700">
        <v>0.21389797835989999</v>
      </c>
      <c r="F3700">
        <v>29</v>
      </c>
    </row>
    <row r="3701" spans="1:9" x14ac:dyDescent="0.25">
      <c r="A3701">
        <v>2035.125</v>
      </c>
      <c r="B3701">
        <v>2114.5625</v>
      </c>
      <c r="C3701" s="1">
        <f t="shared" si="1084"/>
        <v>3.9033228917142671E-2</v>
      </c>
      <c r="D3701">
        <v>18.7</v>
      </c>
      <c r="E3701">
        <v>0.20826108554076</v>
      </c>
      <c r="F3701">
        <v>35</v>
      </c>
    </row>
    <row r="3702" spans="1:9" x14ac:dyDescent="0.25">
      <c r="A3702">
        <v>2000.3125</v>
      </c>
      <c r="B3702">
        <v>2112.78125</v>
      </c>
      <c r="C3702" s="1">
        <f t="shared" si="1084"/>
        <v>5.6225589751601301E-2</v>
      </c>
      <c r="D3702">
        <v>18.983333333333</v>
      </c>
      <c r="E3702">
        <v>0.21654413798010999</v>
      </c>
      <c r="F3702">
        <v>29</v>
      </c>
    </row>
    <row r="3703" spans="1:9" x14ac:dyDescent="0.25">
      <c r="A3703">
        <v>2041.6875</v>
      </c>
      <c r="B3703">
        <v>2089.21875</v>
      </c>
      <c r="C3703" s="1">
        <f t="shared" si="1084"/>
        <v>2.3280374690054284E-2</v>
      </c>
      <c r="D3703">
        <v>20.316666666667</v>
      </c>
      <c r="E3703">
        <v>0.22943484992255</v>
      </c>
      <c r="F3703">
        <v>31</v>
      </c>
    </row>
    <row r="3704" spans="1:9" x14ac:dyDescent="0.25">
      <c r="A3704">
        <v>2055.875</v>
      </c>
      <c r="B3704">
        <v>2117</v>
      </c>
      <c r="C3704" s="1">
        <f t="shared" si="1084"/>
        <v>2.9731865993798179E-2</v>
      </c>
      <c r="D3704">
        <v>19.066666666667</v>
      </c>
      <c r="E3704">
        <v>0.21076406333253001</v>
      </c>
      <c r="F3704">
        <v>31</v>
      </c>
    </row>
    <row r="3705" spans="1:9" x14ac:dyDescent="0.25">
      <c r="A3705">
        <v>2047.8125</v>
      </c>
      <c r="B3705">
        <v>2123.6875</v>
      </c>
      <c r="C3705" s="1">
        <f t="shared" si="1084"/>
        <v>3.7051732031130769E-2</v>
      </c>
      <c r="D3705">
        <v>19.149999999999999</v>
      </c>
      <c r="E3705">
        <v>0.21276476863023</v>
      </c>
      <c r="F3705">
        <v>31</v>
      </c>
    </row>
    <row r="3706" spans="1:9" x14ac:dyDescent="0.25">
      <c r="A3706">
        <v>2041.4375</v>
      </c>
      <c r="B3706">
        <v>2106.15625</v>
      </c>
      <c r="C3706" s="1">
        <f t="shared" si="1084"/>
        <v>3.1702538039984018E-2</v>
      </c>
      <c r="D3706">
        <v>18.75</v>
      </c>
      <c r="E3706">
        <v>0.20825692719778999</v>
      </c>
      <c r="F3706">
        <v>28</v>
      </c>
    </row>
    <row r="3707" spans="1:9" x14ac:dyDescent="0.25">
      <c r="A3707">
        <v>2038.5625</v>
      </c>
      <c r="B3707">
        <v>2111.0625</v>
      </c>
      <c r="C3707" s="1">
        <f t="shared" si="1084"/>
        <v>3.5564276297636255E-2</v>
      </c>
      <c r="D3707">
        <v>19.283333333333001</v>
      </c>
      <c r="E3707">
        <v>0.21591071800252001</v>
      </c>
      <c r="F3707">
        <v>31</v>
      </c>
    </row>
    <row r="3708" spans="1:9" x14ac:dyDescent="0.25">
      <c r="A3708">
        <v>2036</v>
      </c>
      <c r="B3708">
        <v>2113.84375</v>
      </c>
      <c r="C3708" s="1">
        <f t="shared" si="1084"/>
        <v>3.8233668958742584E-2</v>
      </c>
      <c r="D3708">
        <v>19</v>
      </c>
      <c r="E3708">
        <v>0.21218305949890001</v>
      </c>
      <c r="F3708">
        <v>31</v>
      </c>
    </row>
    <row r="3709" spans="1:9" x14ac:dyDescent="0.25">
      <c r="A3709">
        <v>2051.125</v>
      </c>
      <c r="B3709">
        <v>2107.9375</v>
      </c>
      <c r="C3709" s="1">
        <f t="shared" si="1084"/>
        <v>2.7698214394539677E-2</v>
      </c>
      <c r="D3709">
        <v>18.833333333333002</v>
      </c>
      <c r="E3709">
        <v>0.20834772169717</v>
      </c>
      <c r="F3709">
        <v>28</v>
      </c>
    </row>
    <row r="3710" spans="1:9" x14ac:dyDescent="0.25">
      <c r="A3710">
        <v>2046.75</v>
      </c>
      <c r="B3710">
        <v>2154</v>
      </c>
      <c r="C3710" s="1">
        <f t="shared" si="1084"/>
        <v>5.2400146573836626E-2</v>
      </c>
      <c r="D3710">
        <v>18.7</v>
      </c>
      <c r="E3710">
        <v>0.20702406118058</v>
      </c>
      <c r="F3710">
        <v>32</v>
      </c>
    </row>
    <row r="3711" spans="1:9" x14ac:dyDescent="0.25">
      <c r="A3711">
        <v>2036.6875</v>
      </c>
      <c r="B3711">
        <v>2127.625</v>
      </c>
      <c r="C3711" s="1">
        <f t="shared" si="1084"/>
        <v>4.4649706938349576E-2</v>
      </c>
      <c r="D3711">
        <v>18.716666666666999</v>
      </c>
      <c r="E3711">
        <v>0.20812075317772</v>
      </c>
      <c r="F3711">
        <v>30</v>
      </c>
    </row>
    <row r="3712" spans="1:9" x14ac:dyDescent="0.25">
      <c r="A3712">
        <v>2007.5625</v>
      </c>
      <c r="B3712">
        <v>2112.03125</v>
      </c>
      <c r="C3712" s="1">
        <f t="shared" si="1084"/>
        <v>5.2037607795523133E-2</v>
      </c>
      <c r="D3712">
        <v>18.783333333333001</v>
      </c>
      <c r="E3712">
        <v>0.21302552726647001</v>
      </c>
      <c r="F3712">
        <v>31</v>
      </c>
      <c r="H3712" t="s">
        <v>17</v>
      </c>
      <c r="I3712">
        <f t="shared" ref="I3712" si="1102">STDEVP(A3698:A3717)</f>
        <v>14.220887202017318</v>
      </c>
    </row>
    <row r="3713" spans="1:9" x14ac:dyDescent="0.25">
      <c r="A3713">
        <v>2039.25</v>
      </c>
      <c r="B3713">
        <v>2106.84375</v>
      </c>
      <c r="C3713" s="1">
        <f t="shared" si="1084"/>
        <v>3.3146377344611899E-2</v>
      </c>
      <c r="D3713">
        <v>19.100000000000001</v>
      </c>
      <c r="E3713">
        <v>0.21309726998970999</v>
      </c>
      <c r="F3713">
        <v>29</v>
      </c>
      <c r="H3713" t="s">
        <v>18</v>
      </c>
      <c r="I3713">
        <f t="shared" ref="I3713" si="1103">STDEVP(B3698:B3717)</f>
        <v>16.140170008107876</v>
      </c>
    </row>
    <row r="3714" spans="1:9" x14ac:dyDescent="0.25">
      <c r="A3714">
        <v>2059.8125</v>
      </c>
      <c r="B3714">
        <v>2107.84375</v>
      </c>
      <c r="C3714" s="1">
        <f t="shared" ref="C3714:C3777" si="1104">IFERROR((B3714/A3714)-1,"")</f>
        <v>2.3318263191431265E-2</v>
      </c>
      <c r="D3714">
        <v>19.516666666667</v>
      </c>
      <c r="E3714">
        <v>0.21611738687158999</v>
      </c>
      <c r="F3714">
        <v>31</v>
      </c>
      <c r="H3714" t="s">
        <v>19</v>
      </c>
      <c r="I3714">
        <f t="shared" ref="I3714" si="1105">STDEVP(C3698:C3717)</f>
        <v>9.2654081968291564E-3</v>
      </c>
    </row>
    <row r="3715" spans="1:9" x14ac:dyDescent="0.25">
      <c r="A3715">
        <v>2055.4375</v>
      </c>
      <c r="B3715">
        <v>2136.46875</v>
      </c>
      <c r="C3715" s="1">
        <f t="shared" si="1104"/>
        <v>3.9422872259555541E-2</v>
      </c>
      <c r="D3715">
        <v>19.283333333333001</v>
      </c>
      <c r="E3715">
        <v>0.21351734409784001</v>
      </c>
      <c r="F3715">
        <v>30</v>
      </c>
      <c r="H3715" t="s">
        <v>20</v>
      </c>
      <c r="I3715">
        <f t="shared" ref="I3715" si="1106">STDEVP(D3698:D3717)</f>
        <v>0.45101428900746765</v>
      </c>
    </row>
    <row r="3716" spans="1:9" x14ac:dyDescent="0.25">
      <c r="A3716">
        <v>2041.625</v>
      </c>
      <c r="B3716">
        <v>2122</v>
      </c>
      <c r="C3716" s="1">
        <f t="shared" si="1104"/>
        <v>3.9368150370415744E-2</v>
      </c>
      <c r="D3716">
        <v>19.133333333332999</v>
      </c>
      <c r="E3716">
        <v>0.21327888872615999</v>
      </c>
      <c r="F3716">
        <v>30</v>
      </c>
      <c r="H3716" t="s">
        <v>21</v>
      </c>
      <c r="I3716">
        <f t="shared" ref="I3716" si="1107">STDEVP(E3698:E3717)</f>
        <v>5.8123581264012108E-3</v>
      </c>
    </row>
    <row r="3717" spans="1:9" x14ac:dyDescent="0.25">
      <c r="A3717">
        <v>2029.125</v>
      </c>
      <c r="B3717">
        <v>2087.09375</v>
      </c>
      <c r="C3717" s="1">
        <f t="shared" si="1104"/>
        <v>2.856834842604572E-2</v>
      </c>
      <c r="D3717">
        <v>18.866666666667001</v>
      </c>
      <c r="E3717">
        <v>0.21125779019216001</v>
      </c>
      <c r="F3717">
        <v>30</v>
      </c>
      <c r="H3717" t="s">
        <v>22</v>
      </c>
      <c r="I3717">
        <f t="shared" ref="I3717" si="1108">STDEVP(F3698:F3717)</f>
        <v>1.4924811556599302</v>
      </c>
    </row>
    <row r="3718" spans="1:9" x14ac:dyDescent="0.25">
      <c r="C3718" s="1" t="str">
        <f t="shared" si="1104"/>
        <v/>
      </c>
    </row>
    <row r="3719" spans="1:9" x14ac:dyDescent="0.25">
      <c r="A3719">
        <v>1505.3125</v>
      </c>
      <c r="B3719">
        <v>1558</v>
      </c>
      <c r="C3719" s="1">
        <f t="shared" si="1104"/>
        <v>3.5001037990450401E-2</v>
      </c>
      <c r="D3719">
        <v>18.983870967742</v>
      </c>
      <c r="E3719">
        <v>0.32429071372438001</v>
      </c>
      <c r="F3719">
        <v>39</v>
      </c>
    </row>
    <row r="3720" spans="1:9" x14ac:dyDescent="0.25">
      <c r="A3720">
        <v>1505.734375</v>
      </c>
      <c r="B3720">
        <v>1554.6171875</v>
      </c>
      <c r="C3720" s="1">
        <f t="shared" si="1104"/>
        <v>3.2464432845268565E-2</v>
      </c>
      <c r="D3720">
        <v>18.608870967742</v>
      </c>
      <c r="E3720">
        <v>0.31538372269565002</v>
      </c>
      <c r="F3720">
        <v>40</v>
      </c>
    </row>
    <row r="3721" spans="1:9" x14ac:dyDescent="0.25">
      <c r="A3721">
        <v>1500.828125</v>
      </c>
      <c r="B3721">
        <v>1559.5078125</v>
      </c>
      <c r="C3721" s="1">
        <f t="shared" si="1104"/>
        <v>3.9098206198661112E-2</v>
      </c>
      <c r="D3721">
        <v>18.471774193548001</v>
      </c>
      <c r="E3721">
        <v>0.31381503539993999</v>
      </c>
      <c r="F3721">
        <v>36</v>
      </c>
    </row>
    <row r="3722" spans="1:9" x14ac:dyDescent="0.25">
      <c r="A3722">
        <v>1484.609375</v>
      </c>
      <c r="B3722">
        <v>1554.8828125</v>
      </c>
      <c r="C3722" s="1">
        <f t="shared" si="1104"/>
        <v>4.7334631373993519E-2</v>
      </c>
      <c r="D3722">
        <v>18.060483870968</v>
      </c>
      <c r="E3722">
        <v>0.30885182966597002</v>
      </c>
      <c r="F3722">
        <v>40</v>
      </c>
    </row>
    <row r="3723" spans="1:9" x14ac:dyDescent="0.25">
      <c r="A3723">
        <v>1516.234375</v>
      </c>
      <c r="B3723">
        <v>1564.5703125</v>
      </c>
      <c r="C3723" s="1">
        <f t="shared" si="1104"/>
        <v>3.1878935273446762E-2</v>
      </c>
      <c r="D3723">
        <v>18.512096774193999</v>
      </c>
      <c r="E3723">
        <v>0.31056082484642</v>
      </c>
      <c r="F3723">
        <v>36</v>
      </c>
    </row>
    <row r="3724" spans="1:9" x14ac:dyDescent="0.25">
      <c r="A3724">
        <v>1487.578125</v>
      </c>
      <c r="B3724">
        <v>1539.0859375</v>
      </c>
      <c r="C3724" s="1">
        <f t="shared" si="1104"/>
        <v>3.4625282285594139E-2</v>
      </c>
      <c r="D3724">
        <v>17.649193548387</v>
      </c>
      <c r="E3724">
        <v>0.29942415975329001</v>
      </c>
      <c r="F3724">
        <v>35</v>
      </c>
    </row>
    <row r="3725" spans="1:9" x14ac:dyDescent="0.25">
      <c r="A3725">
        <v>1479.578125</v>
      </c>
      <c r="B3725">
        <v>1559.90625</v>
      </c>
      <c r="C3725" s="1">
        <f t="shared" si="1104"/>
        <v>5.4291235888608513E-2</v>
      </c>
      <c r="D3725">
        <v>18.197580645161</v>
      </c>
      <c r="E3725">
        <v>0.31329694759388999</v>
      </c>
      <c r="F3725">
        <v>37</v>
      </c>
    </row>
    <row r="3726" spans="1:9" x14ac:dyDescent="0.25">
      <c r="A3726">
        <v>1497.421875</v>
      </c>
      <c r="B3726">
        <v>1561.484375</v>
      </c>
      <c r="C3726" s="1">
        <f t="shared" si="1104"/>
        <v>4.2781864663223201E-2</v>
      </c>
      <c r="D3726">
        <v>18.205645161290001</v>
      </c>
      <c r="E3726">
        <v>0.30865568278374</v>
      </c>
      <c r="F3726">
        <v>38</v>
      </c>
    </row>
    <row r="3727" spans="1:9" x14ac:dyDescent="0.25">
      <c r="A3727">
        <v>1505.75</v>
      </c>
      <c r="B3727">
        <v>1570.7734375</v>
      </c>
      <c r="C3727" s="1">
        <f t="shared" si="1104"/>
        <v>4.318342188278268E-2</v>
      </c>
      <c r="D3727">
        <v>18.177419354839</v>
      </c>
      <c r="E3727">
        <v>0.30626105862550002</v>
      </c>
      <c r="F3727">
        <v>38</v>
      </c>
    </row>
    <row r="3728" spans="1:9" x14ac:dyDescent="0.25">
      <c r="A3728">
        <v>1480.171875</v>
      </c>
      <c r="B3728">
        <v>1546.125</v>
      </c>
      <c r="C3728" s="1">
        <f t="shared" si="1104"/>
        <v>4.4557747727776542E-2</v>
      </c>
      <c r="D3728">
        <v>17.899193548387</v>
      </c>
      <c r="E3728">
        <v>0.30646711217733003</v>
      </c>
      <c r="F3728">
        <v>38</v>
      </c>
    </row>
    <row r="3729" spans="1:9" x14ac:dyDescent="0.25">
      <c r="A3729">
        <v>1487.5625</v>
      </c>
      <c r="B3729">
        <v>1552.78125</v>
      </c>
      <c r="C3729" s="1">
        <f t="shared" si="1104"/>
        <v>4.3842695685055277E-2</v>
      </c>
      <c r="D3729">
        <v>18.096774193548001</v>
      </c>
      <c r="E3729">
        <v>0.30916550771868001</v>
      </c>
      <c r="F3729">
        <v>38</v>
      </c>
    </row>
    <row r="3730" spans="1:9" x14ac:dyDescent="0.25">
      <c r="A3730">
        <v>1491.3125</v>
      </c>
      <c r="B3730">
        <v>1563.953125</v>
      </c>
      <c r="C3730" s="1">
        <f t="shared" si="1104"/>
        <v>4.8709190729642415E-2</v>
      </c>
      <c r="D3730">
        <v>18.322580645161</v>
      </c>
      <c r="E3730">
        <v>0.31282795399534002</v>
      </c>
      <c r="F3730">
        <v>37</v>
      </c>
    </row>
    <row r="3731" spans="1:9" x14ac:dyDescent="0.25">
      <c r="A3731">
        <v>1490.5625</v>
      </c>
      <c r="B3731">
        <v>1548.7734375</v>
      </c>
      <c r="C3731" s="1">
        <f t="shared" si="1104"/>
        <v>3.9053000125791382E-2</v>
      </c>
      <c r="D3731">
        <v>18.322580645161</v>
      </c>
      <c r="E3731">
        <v>0.31290859844475999</v>
      </c>
      <c r="F3731">
        <v>37</v>
      </c>
    </row>
    <row r="3732" spans="1:9" x14ac:dyDescent="0.25">
      <c r="A3732">
        <v>1493.265625</v>
      </c>
      <c r="B3732">
        <v>1555.4375</v>
      </c>
      <c r="C3732" s="1">
        <f t="shared" si="1104"/>
        <v>4.1634839749291164E-2</v>
      </c>
      <c r="D3732">
        <v>18.116935483871</v>
      </c>
      <c r="E3732">
        <v>0.30771493447886</v>
      </c>
      <c r="F3732">
        <v>38</v>
      </c>
    </row>
    <row r="3733" spans="1:9" x14ac:dyDescent="0.25">
      <c r="A3733">
        <v>1512.78125</v>
      </c>
      <c r="B3733">
        <v>1567.7578125</v>
      </c>
      <c r="C3733" s="1">
        <f t="shared" si="1104"/>
        <v>3.6341382800718858E-2</v>
      </c>
      <c r="D3733">
        <v>18.540322580645</v>
      </c>
      <c r="E3733">
        <v>0.31169643383892998</v>
      </c>
      <c r="F3733">
        <v>37</v>
      </c>
      <c r="H3733" t="s">
        <v>17</v>
      </c>
      <c r="I3733">
        <f t="shared" ref="I3733" si="1109">STDEVP(A3719:A3738)</f>
        <v>11.491760460072239</v>
      </c>
    </row>
    <row r="3734" spans="1:9" x14ac:dyDescent="0.25">
      <c r="A3734">
        <v>1512.359375</v>
      </c>
      <c r="B3734">
        <v>1570.3359375</v>
      </c>
      <c r="C3734" s="1">
        <f t="shared" si="1104"/>
        <v>3.8335175791137654E-2</v>
      </c>
      <c r="D3734">
        <v>18.495967741935001</v>
      </c>
      <c r="E3734">
        <v>0.31118359474765001</v>
      </c>
      <c r="F3734">
        <v>37</v>
      </c>
      <c r="H3734" t="s">
        <v>18</v>
      </c>
      <c r="I3734">
        <f t="shared" ref="I3734" si="1110">STDEVP(B3719:B3738)</f>
        <v>8.5250038930039445</v>
      </c>
    </row>
    <row r="3735" spans="1:9" x14ac:dyDescent="0.25">
      <c r="A3735">
        <v>1507.09375</v>
      </c>
      <c r="B3735">
        <v>1561.828125</v>
      </c>
      <c r="C3735" s="1">
        <f t="shared" si="1104"/>
        <v>3.6317830261057171E-2</v>
      </c>
      <c r="D3735">
        <v>18.669354838709999</v>
      </c>
      <c r="E3735">
        <v>0.31615317701345003</v>
      </c>
      <c r="F3735">
        <v>37</v>
      </c>
      <c r="H3735" t="s">
        <v>19</v>
      </c>
      <c r="I3735">
        <f t="shared" ref="I3735" si="1111">STDEVP(C3719:C3738)</f>
        <v>6.6814699830710991E-3</v>
      </c>
    </row>
    <row r="3736" spans="1:9" x14ac:dyDescent="0.25">
      <c r="A3736">
        <v>1507.265625</v>
      </c>
      <c r="B3736">
        <v>1566.9453125</v>
      </c>
      <c r="C3736" s="1">
        <f t="shared" si="1104"/>
        <v>3.9594671642564583E-2</v>
      </c>
      <c r="D3736">
        <v>18.375</v>
      </c>
      <c r="E3736">
        <v>0.31005051560787</v>
      </c>
      <c r="F3736">
        <v>37</v>
      </c>
      <c r="H3736" t="s">
        <v>20</v>
      </c>
      <c r="I3736">
        <f t="shared" ref="I3736" si="1112">STDEVP(D3719:D3738)</f>
        <v>0.29516259860018274</v>
      </c>
    </row>
    <row r="3737" spans="1:9" x14ac:dyDescent="0.25">
      <c r="A3737">
        <v>1478.65625</v>
      </c>
      <c r="B3737">
        <v>1560.0859375</v>
      </c>
      <c r="C3737" s="1">
        <f t="shared" si="1104"/>
        <v>5.507005938668974E-2</v>
      </c>
      <c r="D3737">
        <v>18.088709677419001</v>
      </c>
      <c r="E3737">
        <v>0.31094212863482001</v>
      </c>
      <c r="F3737">
        <v>40</v>
      </c>
      <c r="H3737" t="s">
        <v>21</v>
      </c>
      <c r="I3737">
        <f t="shared" ref="I3737" si="1113">STDEVP(E3719:E3738)</f>
        <v>4.9158138006619306E-3</v>
      </c>
    </row>
    <row r="3738" spans="1:9" x14ac:dyDescent="0.25">
      <c r="A3738">
        <v>1497</v>
      </c>
      <c r="B3738">
        <v>1543.5625</v>
      </c>
      <c r="C3738" s="1">
        <f t="shared" si="1104"/>
        <v>3.1103874415497668E-2</v>
      </c>
      <c r="D3738">
        <v>18.032258064516</v>
      </c>
      <c r="E3738">
        <v>0.30472313144747998</v>
      </c>
      <c r="F3738">
        <v>37</v>
      </c>
      <c r="H3738" t="s">
        <v>22</v>
      </c>
      <c r="I3738">
        <f t="shared" ref="I3738" si="1114">STDEVP(F3719:F3738)</f>
        <v>1.3190905958272923</v>
      </c>
    </row>
    <row r="3739" spans="1:9" x14ac:dyDescent="0.25">
      <c r="C3739" s="1" t="str">
        <f t="shared" si="1104"/>
        <v/>
      </c>
    </row>
    <row r="3740" spans="1:9" x14ac:dyDescent="0.25">
      <c r="A3740">
        <v>1231.1570247934001</v>
      </c>
      <c r="B3740">
        <v>1264.3074380165001</v>
      </c>
      <c r="C3740" s="1">
        <f t="shared" si="1104"/>
        <v>2.6926226757032046E-2</v>
      </c>
      <c r="D3740">
        <v>11.092255892256</v>
      </c>
      <c r="E3740">
        <v>0.21525051540116</v>
      </c>
      <c r="F3740">
        <v>17</v>
      </c>
    </row>
    <row r="3741" spans="1:9" x14ac:dyDescent="0.25">
      <c r="A3741">
        <v>1233.3884297520999</v>
      </c>
      <c r="B3741">
        <v>1267.3950413222999</v>
      </c>
      <c r="C3741" s="1">
        <f t="shared" si="1104"/>
        <v>2.7571696596047301E-2</v>
      </c>
      <c r="D3741">
        <v>11.292929292928999</v>
      </c>
      <c r="E3741">
        <v>0.21962482351957999</v>
      </c>
      <c r="F3741">
        <v>17</v>
      </c>
    </row>
    <row r="3742" spans="1:9" x14ac:dyDescent="0.25">
      <c r="A3742">
        <v>1219.7586776860001</v>
      </c>
      <c r="B3742">
        <v>1253.1074380165001</v>
      </c>
      <c r="C3742" s="1">
        <f t="shared" si="1104"/>
        <v>2.7340457535228069E-2</v>
      </c>
      <c r="D3742">
        <v>11.222895622896001</v>
      </c>
      <c r="E3742">
        <v>0.22108881340021999</v>
      </c>
      <c r="F3742">
        <v>16</v>
      </c>
    </row>
    <row r="3743" spans="1:9" x14ac:dyDescent="0.25">
      <c r="A3743">
        <v>1227.6462809917</v>
      </c>
      <c r="B3743">
        <v>1263.5371900826001</v>
      </c>
      <c r="C3743" s="1">
        <f t="shared" si="1104"/>
        <v>2.9235545813658392E-2</v>
      </c>
      <c r="D3743">
        <v>11.346801346801</v>
      </c>
      <c r="E3743">
        <v>0.22228159237018999</v>
      </c>
      <c r="F3743">
        <v>17</v>
      </c>
    </row>
    <row r="3744" spans="1:9" x14ac:dyDescent="0.25">
      <c r="A3744">
        <v>1228.3867768595001</v>
      </c>
      <c r="B3744">
        <v>1258.7371900825999</v>
      </c>
      <c r="C3744" s="1">
        <f t="shared" si="1104"/>
        <v>2.4707538207708435E-2</v>
      </c>
      <c r="D3744">
        <v>11.058585858586</v>
      </c>
      <c r="E3744">
        <v>0.21499693425470001</v>
      </c>
      <c r="F3744">
        <v>17</v>
      </c>
    </row>
    <row r="3745" spans="1:9" x14ac:dyDescent="0.25">
      <c r="A3745">
        <v>1238.4694214875999</v>
      </c>
      <c r="B3745">
        <v>1269.814876033</v>
      </c>
      <c r="C3745" s="1">
        <f t="shared" si="1104"/>
        <v>2.5309833251877301E-2</v>
      </c>
      <c r="D3745">
        <v>11.36835016835</v>
      </c>
      <c r="E3745">
        <v>0.22050559950505</v>
      </c>
      <c r="F3745">
        <v>17</v>
      </c>
    </row>
    <row r="3746" spans="1:9" x14ac:dyDescent="0.25">
      <c r="A3746">
        <v>1220.6181818181999</v>
      </c>
      <c r="B3746">
        <v>1257.5107438016</v>
      </c>
      <c r="C3746" s="1">
        <f t="shared" si="1104"/>
        <v>3.0224489961673262E-2</v>
      </c>
      <c r="D3746">
        <v>11.125925925925999</v>
      </c>
      <c r="E3746">
        <v>0.21836261683652</v>
      </c>
      <c r="F3746">
        <v>16</v>
      </c>
    </row>
    <row r="3747" spans="1:9" x14ac:dyDescent="0.25">
      <c r="A3747">
        <v>1240.8760330579</v>
      </c>
      <c r="B3747">
        <v>1270.6809917354999</v>
      </c>
      <c r="C3747" s="1">
        <f t="shared" si="1104"/>
        <v>2.401928789304697E-2</v>
      </c>
      <c r="D3747">
        <v>11.372390572391</v>
      </c>
      <c r="E3747">
        <v>0.21995806563692999</v>
      </c>
      <c r="F3747">
        <v>18</v>
      </c>
    </row>
    <row r="3748" spans="1:9" x14ac:dyDescent="0.25">
      <c r="A3748">
        <v>1233.9702479339001</v>
      </c>
      <c r="B3748">
        <v>1263.8115702478999</v>
      </c>
      <c r="C3748" s="1">
        <f t="shared" si="1104"/>
        <v>2.4183178130886551E-2</v>
      </c>
      <c r="D3748">
        <v>11.026262626263</v>
      </c>
      <c r="E3748">
        <v>0.21316951952918001</v>
      </c>
      <c r="F3748">
        <v>17</v>
      </c>
    </row>
    <row r="3749" spans="1:9" x14ac:dyDescent="0.25">
      <c r="A3749">
        <v>1229.5735537190001</v>
      </c>
      <c r="B3749">
        <v>1253.8876033058</v>
      </c>
      <c r="C3749" s="1">
        <f t="shared" si="1104"/>
        <v>1.9774375850276638E-2</v>
      </c>
      <c r="D3749">
        <v>11.243097643098</v>
      </c>
      <c r="E3749">
        <v>0.21914204232859</v>
      </c>
      <c r="F3749">
        <v>17</v>
      </c>
    </row>
    <row r="3750" spans="1:9" x14ac:dyDescent="0.25">
      <c r="A3750">
        <v>1229.3520661156999</v>
      </c>
      <c r="B3750">
        <v>1262.4462809917</v>
      </c>
      <c r="C3750" s="1">
        <f t="shared" si="1104"/>
        <v>2.6920046574262058E-2</v>
      </c>
      <c r="D3750">
        <v>11.411447811447999</v>
      </c>
      <c r="E3750">
        <v>0.22318994774174</v>
      </c>
      <c r="F3750">
        <v>17</v>
      </c>
    </row>
    <row r="3751" spans="1:9" x14ac:dyDescent="0.25">
      <c r="A3751">
        <v>1213.3884297520999</v>
      </c>
      <c r="B3751">
        <v>1259.3190082644001</v>
      </c>
      <c r="C3751" s="1">
        <f t="shared" si="1104"/>
        <v>3.7853153521238081E-2</v>
      </c>
      <c r="D3751">
        <v>11.159595959596</v>
      </c>
      <c r="E3751">
        <v>0.22074815041949</v>
      </c>
      <c r="F3751">
        <v>17</v>
      </c>
    </row>
    <row r="3752" spans="1:9" x14ac:dyDescent="0.25">
      <c r="A3752">
        <v>1226.2082644627999</v>
      </c>
      <c r="B3752">
        <v>1258.6247933883999</v>
      </c>
      <c r="C3752" s="1">
        <f t="shared" si="1104"/>
        <v>2.6436397360118713E-2</v>
      </c>
      <c r="D3752">
        <v>11.319865319865</v>
      </c>
      <c r="E3752">
        <v>0.22182252924595999</v>
      </c>
      <c r="F3752">
        <v>17</v>
      </c>
    </row>
    <row r="3753" spans="1:9" x14ac:dyDescent="0.25">
      <c r="A3753">
        <v>1230.0595041321999</v>
      </c>
      <c r="B3753">
        <v>1264.6314049585999</v>
      </c>
      <c r="C3753" s="1">
        <f t="shared" si="1104"/>
        <v>2.8105876756580495E-2</v>
      </c>
      <c r="D3753">
        <v>11.265993265993</v>
      </c>
      <c r="E3753">
        <v>0.21964576449845</v>
      </c>
      <c r="F3753">
        <v>16</v>
      </c>
    </row>
    <row r="3754" spans="1:9" x14ac:dyDescent="0.25">
      <c r="A3754">
        <v>1223.894214876</v>
      </c>
      <c r="B3754">
        <v>1252.3140495867001</v>
      </c>
      <c r="C3754" s="1">
        <f t="shared" si="1104"/>
        <v>2.3220826085512236E-2</v>
      </c>
      <c r="D3754">
        <v>10.957575757576</v>
      </c>
      <c r="E3754">
        <v>0.21369938320723</v>
      </c>
      <c r="F3754">
        <v>17</v>
      </c>
      <c r="H3754" t="s">
        <v>17</v>
      </c>
      <c r="I3754">
        <f t="shared" ref="I3754" si="1115">STDEVP(A3740:A3759)</f>
        <v>6.1685836145633415</v>
      </c>
    </row>
    <row r="3755" spans="1:9" x14ac:dyDescent="0.25">
      <c r="A3755">
        <v>1222.4859504132</v>
      </c>
      <c r="B3755">
        <v>1251.5702479337999</v>
      </c>
      <c r="C3755" s="1">
        <f t="shared" si="1104"/>
        <v>2.3791109837106417E-2</v>
      </c>
      <c r="D3755">
        <v>11.193265993265999</v>
      </c>
      <c r="E3755">
        <v>0.21950916333493001</v>
      </c>
      <c r="F3755">
        <v>16</v>
      </c>
      <c r="H3755" t="s">
        <v>18</v>
      </c>
      <c r="I3755">
        <f t="shared" ref="I3755" si="1116">STDEVP(B3740:B3759)</f>
        <v>5.3032476000020443</v>
      </c>
    </row>
    <row r="3756" spans="1:9" x14ac:dyDescent="0.25">
      <c r="A3756">
        <v>1231.0181818182</v>
      </c>
      <c r="B3756">
        <v>1262.6644628099</v>
      </c>
      <c r="C3756" s="1">
        <f t="shared" si="1104"/>
        <v>2.5707403399159112E-2</v>
      </c>
      <c r="D3756">
        <v>11.17037037037</v>
      </c>
      <c r="E3756">
        <v>0.21719560847486999</v>
      </c>
      <c r="F3756">
        <v>17</v>
      </c>
      <c r="H3756" t="s">
        <v>19</v>
      </c>
      <c r="I3756">
        <f t="shared" ref="I3756" si="1117">STDEVP(C3740:C3759)</f>
        <v>3.4923202363936804E-3</v>
      </c>
    </row>
    <row r="3757" spans="1:9" x14ac:dyDescent="0.25">
      <c r="A3757">
        <v>1230.6181818181999</v>
      </c>
      <c r="B3757">
        <v>1261.9074380165</v>
      </c>
      <c r="C3757" s="1">
        <f t="shared" si="1104"/>
        <v>2.5425641080705663E-2</v>
      </c>
      <c r="D3757">
        <v>11.303703703704</v>
      </c>
      <c r="E3757">
        <v>0.22047908062113</v>
      </c>
      <c r="F3757">
        <v>16</v>
      </c>
      <c r="H3757" t="s">
        <v>20</v>
      </c>
      <c r="I3757">
        <f t="shared" ref="I3757" si="1118">STDEVP(D3740:D3759)</f>
        <v>0.12604067585400311</v>
      </c>
    </row>
    <row r="3758" spans="1:9" x14ac:dyDescent="0.25">
      <c r="A3758">
        <v>1229.0380165289</v>
      </c>
      <c r="B3758">
        <v>1260.3206611569999</v>
      </c>
      <c r="C3758" s="1">
        <f t="shared" si="1104"/>
        <v>2.5452951175952698E-2</v>
      </c>
      <c r="D3758">
        <v>11.315824915825001</v>
      </c>
      <c r="E3758">
        <v>0.22128764251033001</v>
      </c>
      <c r="F3758">
        <v>18</v>
      </c>
      <c r="H3758" t="s">
        <v>21</v>
      </c>
      <c r="I3758">
        <f t="shared" ref="I3758" si="1119">STDEVP(E3740:E3759)</f>
        <v>2.8648449846590618E-3</v>
      </c>
    </row>
    <row r="3759" spans="1:9" x14ac:dyDescent="0.25">
      <c r="A3759">
        <v>1229.8776859504001</v>
      </c>
      <c r="B3759">
        <v>1259.1404958677001</v>
      </c>
      <c r="C3759" s="1">
        <f t="shared" si="1104"/>
        <v>2.3793268429524339E-2</v>
      </c>
      <c r="D3759">
        <v>11.073400673401</v>
      </c>
      <c r="E3759">
        <v>0.21535748362845</v>
      </c>
      <c r="F3759">
        <v>17</v>
      </c>
      <c r="H3759" t="s">
        <v>22</v>
      </c>
      <c r="I3759">
        <f t="shared" ref="I3759" si="1120">STDEVP(F3740:F3759)</f>
        <v>0.57227615711297986</v>
      </c>
    </row>
    <row r="3760" spans="1:9" x14ac:dyDescent="0.25">
      <c r="C3760" s="1" t="str">
        <f t="shared" si="1104"/>
        <v/>
      </c>
    </row>
    <row r="3761" spans="1:9" x14ac:dyDescent="0.25">
      <c r="A3761">
        <v>2003.8</v>
      </c>
      <c r="B3761">
        <v>2071.1555555556001</v>
      </c>
      <c r="C3761" s="1">
        <f t="shared" si="1104"/>
        <v>3.3613911346242142E-2</v>
      </c>
      <c r="D3761">
        <v>17.351724137931001</v>
      </c>
      <c r="E3761">
        <v>0.20142727880240999</v>
      </c>
      <c r="F3761">
        <v>89</v>
      </c>
    </row>
    <row r="3762" spans="1:9" x14ac:dyDescent="0.25">
      <c r="A3762">
        <v>1974.6444444444001</v>
      </c>
      <c r="B3762">
        <v>2048.0444444445002</v>
      </c>
      <c r="C3762" s="1">
        <f t="shared" si="1104"/>
        <v>3.717124883247136E-2</v>
      </c>
      <c r="D3762">
        <v>16.657471264367999</v>
      </c>
      <c r="E3762">
        <v>0.19515628016700001</v>
      </c>
      <c r="F3762">
        <v>72</v>
      </c>
    </row>
    <row r="3763" spans="1:9" x14ac:dyDescent="0.25">
      <c r="A3763">
        <v>2018.0888888889001</v>
      </c>
      <c r="B3763">
        <v>2093.6888888888998</v>
      </c>
      <c r="C3763" s="1">
        <f t="shared" si="1104"/>
        <v>3.7461184398880798E-2</v>
      </c>
      <c r="D3763">
        <v>17.618390804598</v>
      </c>
      <c r="E3763">
        <v>0.20344252289771</v>
      </c>
      <c r="F3763">
        <v>80</v>
      </c>
    </row>
    <row r="3764" spans="1:9" x14ac:dyDescent="0.25">
      <c r="A3764">
        <v>1976.0222222222001</v>
      </c>
      <c r="B3764">
        <v>2042.6</v>
      </c>
      <c r="C3764" s="1">
        <f t="shared" si="1104"/>
        <v>3.3692828465728297E-2</v>
      </c>
      <c r="D3764">
        <v>17.301149425287001</v>
      </c>
      <c r="E3764">
        <v>0.20408259406302001</v>
      </c>
      <c r="F3764">
        <v>81</v>
      </c>
    </row>
    <row r="3765" spans="1:9" x14ac:dyDescent="0.25">
      <c r="A3765">
        <v>1984.6222222222</v>
      </c>
      <c r="B3765">
        <v>2076.3333333333999</v>
      </c>
      <c r="C3765" s="1">
        <f t="shared" si="1104"/>
        <v>4.6210865767949638E-2</v>
      </c>
      <c r="D3765">
        <v>16.749425287356001</v>
      </c>
      <c r="E3765">
        <v>0.19513525098274001</v>
      </c>
      <c r="F3765">
        <v>83</v>
      </c>
    </row>
    <row r="3766" spans="1:9" x14ac:dyDescent="0.25">
      <c r="A3766">
        <v>1974.0444444443999</v>
      </c>
      <c r="B3766">
        <v>2072.7111111110999</v>
      </c>
      <c r="C3766" s="1">
        <f t="shared" si="1104"/>
        <v>4.998198847264046E-2</v>
      </c>
      <c r="D3766">
        <v>16.271264367815998</v>
      </c>
      <c r="E3766">
        <v>0.18991931987412999</v>
      </c>
      <c r="F3766">
        <v>74</v>
      </c>
    </row>
    <row r="3767" spans="1:9" x14ac:dyDescent="0.25">
      <c r="A3767">
        <v>2003.1555555555999</v>
      </c>
      <c r="B3767">
        <v>2049.9333333333998</v>
      </c>
      <c r="C3767" s="1">
        <f t="shared" si="1104"/>
        <v>2.3352044551939732E-2</v>
      </c>
      <c r="D3767">
        <v>16.873563218390998</v>
      </c>
      <c r="E3767">
        <v>0.19474950703815</v>
      </c>
      <c r="F3767">
        <v>98</v>
      </c>
    </row>
    <row r="3768" spans="1:9" x14ac:dyDescent="0.25">
      <c r="A3768">
        <v>1988.6</v>
      </c>
      <c r="B3768">
        <v>2077.2444444445</v>
      </c>
      <c r="C3768" s="1">
        <f t="shared" si="1104"/>
        <v>4.4576307173136875E-2</v>
      </c>
      <c r="D3768">
        <v>16.855172413792999</v>
      </c>
      <c r="E3768">
        <v>0.19627055836144</v>
      </c>
      <c r="F3768">
        <v>73</v>
      </c>
    </row>
    <row r="3769" spans="1:9" x14ac:dyDescent="0.25">
      <c r="A3769">
        <v>2000.2444444444</v>
      </c>
      <c r="B3769">
        <v>2078.0888888888999</v>
      </c>
      <c r="C3769" s="1">
        <f t="shared" si="1104"/>
        <v>3.89174656431166E-2</v>
      </c>
      <c r="D3769">
        <v>16.864367816091999</v>
      </c>
      <c r="E3769">
        <v>0.19518396245870001</v>
      </c>
      <c r="F3769">
        <v>78</v>
      </c>
    </row>
    <row r="3770" spans="1:9" x14ac:dyDescent="0.25">
      <c r="A3770">
        <v>1992</v>
      </c>
      <c r="B3770">
        <v>2069.1111111110999</v>
      </c>
      <c r="C3770" s="1">
        <f t="shared" si="1104"/>
        <v>3.8710397144126496E-2</v>
      </c>
      <c r="D3770">
        <v>16.841379310345001</v>
      </c>
      <c r="E3770">
        <v>0.19577177626302</v>
      </c>
      <c r="F3770">
        <v>84</v>
      </c>
    </row>
    <row r="3771" spans="1:9" x14ac:dyDescent="0.25">
      <c r="A3771">
        <v>1998.7555555556</v>
      </c>
      <c r="B3771">
        <v>2064.8888888889001</v>
      </c>
      <c r="C3771" s="1">
        <f t="shared" si="1104"/>
        <v>3.308725429154169E-2</v>
      </c>
      <c r="D3771">
        <v>17.135632183908001</v>
      </c>
      <c r="E3771">
        <v>0.19921243512900999</v>
      </c>
      <c r="F3771">
        <v>83</v>
      </c>
    </row>
    <row r="3772" spans="1:9" x14ac:dyDescent="0.25">
      <c r="A3772">
        <v>2008.3777777778</v>
      </c>
      <c r="B3772">
        <v>2079.0222222222001</v>
      </c>
      <c r="C3772" s="1">
        <f t="shared" si="1104"/>
        <v>3.5174878564214085E-2</v>
      </c>
      <c r="D3772">
        <v>17.829885057470999</v>
      </c>
      <c r="E3772">
        <v>0.20749406278683</v>
      </c>
      <c r="F3772">
        <v>80</v>
      </c>
    </row>
    <row r="3773" spans="1:9" x14ac:dyDescent="0.25">
      <c r="A3773">
        <v>2000.2</v>
      </c>
      <c r="B3773">
        <v>2089.3777777778</v>
      </c>
      <c r="C3773" s="1">
        <f t="shared" si="1104"/>
        <v>4.4584430445855361E-2</v>
      </c>
      <c r="D3773">
        <v>17.475862068965998</v>
      </c>
      <c r="E3773">
        <v>0.20351941252549</v>
      </c>
      <c r="F3773">
        <v>83</v>
      </c>
    </row>
    <row r="3774" spans="1:9" x14ac:dyDescent="0.25">
      <c r="A3774">
        <v>1989.8666666667</v>
      </c>
      <c r="B3774">
        <v>2076.9777777777999</v>
      </c>
      <c r="C3774" s="1">
        <f t="shared" si="1104"/>
        <v>4.3777360850525193E-2</v>
      </c>
      <c r="D3774">
        <v>17.255172413793002</v>
      </c>
      <c r="E3774">
        <v>0.20162942332097</v>
      </c>
      <c r="F3774">
        <v>86</v>
      </c>
    </row>
    <row r="3775" spans="1:9" x14ac:dyDescent="0.25">
      <c r="A3775">
        <v>1958.0444444443999</v>
      </c>
      <c r="B3775">
        <v>2044.2888888888999</v>
      </c>
      <c r="C3775" s="1">
        <f t="shared" si="1104"/>
        <v>4.4046213909598952E-2</v>
      </c>
      <c r="D3775">
        <v>16.533333333333001</v>
      </c>
      <c r="E3775">
        <v>0.19528411581072999</v>
      </c>
      <c r="F3775">
        <v>89</v>
      </c>
      <c r="H3775" t="s">
        <v>17</v>
      </c>
      <c r="I3775">
        <f t="shared" ref="I3775" si="1121">STDEVP(A3761:A3780)</f>
        <v>14.117949524131131</v>
      </c>
    </row>
    <row r="3776" spans="1:9" x14ac:dyDescent="0.25">
      <c r="A3776">
        <v>1989.2888888888999</v>
      </c>
      <c r="B3776">
        <v>2072.5777777777998</v>
      </c>
      <c r="C3776" s="1">
        <f t="shared" si="1104"/>
        <v>4.1868674456539301E-2</v>
      </c>
      <c r="D3776">
        <v>17.452873563217999</v>
      </c>
      <c r="E3776">
        <v>0.20449485946377999</v>
      </c>
      <c r="F3776">
        <v>82</v>
      </c>
      <c r="H3776" t="s">
        <v>18</v>
      </c>
      <c r="I3776">
        <f t="shared" ref="I3776" si="1122">STDEVP(B3761:B3780)</f>
        <v>14.386978852200993</v>
      </c>
    </row>
    <row r="3777" spans="1:9" x14ac:dyDescent="0.25">
      <c r="A3777">
        <v>1971.3333333333001</v>
      </c>
      <c r="B3777">
        <v>2048.6444444445001</v>
      </c>
      <c r="C3777" s="1">
        <f t="shared" si="1104"/>
        <v>3.9217675572134514E-2</v>
      </c>
      <c r="D3777">
        <v>17.103448275862</v>
      </c>
      <c r="E3777">
        <v>0.20187941348402999</v>
      </c>
      <c r="F3777">
        <v>76</v>
      </c>
      <c r="H3777" t="s">
        <v>19</v>
      </c>
      <c r="I3777">
        <f t="shared" ref="I3777" si="1123">STDEVP(C3761:C3780)</f>
        <v>6.1174382299634591E-3</v>
      </c>
    </row>
    <row r="3778" spans="1:9" x14ac:dyDescent="0.25">
      <c r="A3778">
        <v>1987.8</v>
      </c>
      <c r="B3778">
        <v>2055.3111111111002</v>
      </c>
      <c r="C3778" s="1">
        <f t="shared" ref="C3778:C3841" si="1124">IFERROR((B3778/A3778)-1,"")</f>
        <v>3.3962728197555192E-2</v>
      </c>
      <c r="D3778">
        <v>16.910344827586002</v>
      </c>
      <c r="E3778">
        <v>0.19717104150543999</v>
      </c>
      <c r="F3778">
        <v>84</v>
      </c>
      <c r="H3778" t="s">
        <v>20</v>
      </c>
      <c r="I3778">
        <f t="shared" ref="I3778" si="1125">STDEVP(D3761:D3780)</f>
        <v>0.37758429993047182</v>
      </c>
    </row>
    <row r="3779" spans="1:9" x14ac:dyDescent="0.25">
      <c r="A3779">
        <v>1991.1555555555999</v>
      </c>
      <c r="B3779">
        <v>2069.6222222222</v>
      </c>
      <c r="C3779" s="1">
        <f t="shared" si="1124"/>
        <v>3.9407602508838346E-2</v>
      </c>
      <c r="D3779">
        <v>16.901149425286999</v>
      </c>
      <c r="E3779">
        <v>0.19669744818043999</v>
      </c>
      <c r="F3779">
        <v>70</v>
      </c>
      <c r="H3779" t="s">
        <v>21</v>
      </c>
      <c r="I3779">
        <f t="shared" ref="I3779" si="1126">STDEVP(E3761:E3780)</f>
        <v>4.3531149261674309E-3</v>
      </c>
    </row>
    <row r="3780" spans="1:9" x14ac:dyDescent="0.25">
      <c r="A3780">
        <v>2000.9333333333</v>
      </c>
      <c r="B3780">
        <v>2061.0444444445002</v>
      </c>
      <c r="C3780" s="1">
        <f t="shared" si="1124"/>
        <v>3.0041536172053629E-2</v>
      </c>
      <c r="D3780">
        <v>17.310344827586</v>
      </c>
      <c r="E3780">
        <v>0.20109699109692</v>
      </c>
      <c r="F3780">
        <v>91</v>
      </c>
      <c r="H3780" t="s">
        <v>22</v>
      </c>
      <c r="I3780">
        <f t="shared" ref="I3780" si="1127">STDEVP(F3761:F3780)</f>
        <v>6.7498148122744821</v>
      </c>
    </row>
    <row r="3781" spans="1:9" x14ac:dyDescent="0.25">
      <c r="C3781" s="1" t="str">
        <f t="shared" si="1124"/>
        <v/>
      </c>
    </row>
    <row r="3782" spans="1:9" x14ac:dyDescent="0.25">
      <c r="A3782">
        <v>2033.0250000000001</v>
      </c>
      <c r="B3782">
        <v>2074.9187499999998</v>
      </c>
      <c r="C3782" s="1">
        <f t="shared" si="1124"/>
        <v>2.0606608379139413E-2</v>
      </c>
      <c r="D3782">
        <v>17.018987341772</v>
      </c>
      <c r="E3782">
        <v>0.19832385385922999</v>
      </c>
      <c r="F3782">
        <v>22</v>
      </c>
    </row>
    <row r="3783" spans="1:9" x14ac:dyDescent="0.25">
      <c r="A3783">
        <v>2028.25</v>
      </c>
      <c r="B3783">
        <v>2077.34375</v>
      </c>
      <c r="C3783" s="1">
        <f t="shared" si="1124"/>
        <v>2.4204979662270532E-2</v>
      </c>
      <c r="D3783">
        <v>16.982278481013001</v>
      </c>
      <c r="E3783">
        <v>0.19831541058643001</v>
      </c>
      <c r="F3783">
        <v>22</v>
      </c>
    </row>
    <row r="3784" spans="1:9" x14ac:dyDescent="0.25">
      <c r="A3784">
        <v>2039.35</v>
      </c>
      <c r="B3784">
        <v>2082.4562500000002</v>
      </c>
      <c r="C3784" s="1">
        <f t="shared" si="1124"/>
        <v>2.1137249613847775E-2</v>
      </c>
      <c r="D3784">
        <v>16.984810126582001</v>
      </c>
      <c r="E3784">
        <v>0.19716267569163001</v>
      </c>
      <c r="F3784">
        <v>23</v>
      </c>
    </row>
    <row r="3785" spans="1:9" x14ac:dyDescent="0.25">
      <c r="A3785">
        <v>2042.2625</v>
      </c>
      <c r="B3785">
        <v>2084.2750000000001</v>
      </c>
      <c r="C3785" s="1">
        <f t="shared" si="1124"/>
        <v>2.0571547487161945E-2</v>
      </c>
      <c r="D3785">
        <v>16.951265822785</v>
      </c>
      <c r="E3785">
        <v>0.19638770265468</v>
      </c>
      <c r="F3785">
        <v>22</v>
      </c>
    </row>
    <row r="3786" spans="1:9" x14ac:dyDescent="0.25">
      <c r="A3786">
        <v>2028.0125</v>
      </c>
      <c r="B3786">
        <v>2066.5062499999999</v>
      </c>
      <c r="C3786" s="1">
        <f t="shared" si="1124"/>
        <v>1.8981022059775254E-2</v>
      </c>
      <c r="D3786">
        <v>16.899367088607999</v>
      </c>
      <c r="E3786">
        <v>0.19722460099107</v>
      </c>
      <c r="F3786">
        <v>22</v>
      </c>
    </row>
    <row r="3787" spans="1:9" x14ac:dyDescent="0.25">
      <c r="A3787">
        <v>2014.9749999999999</v>
      </c>
      <c r="B3787">
        <v>2056.5625</v>
      </c>
      <c r="C3787" s="1">
        <f t="shared" si="1124"/>
        <v>2.0639213886028518E-2</v>
      </c>
      <c r="D3787">
        <v>16.997468354430001</v>
      </c>
      <c r="E3787">
        <v>0.20010986503711001</v>
      </c>
      <c r="F3787">
        <v>22</v>
      </c>
    </row>
    <row r="3788" spans="1:9" x14ac:dyDescent="0.25">
      <c r="A3788">
        <v>2041.4625000000001</v>
      </c>
      <c r="B3788">
        <v>2074.4250000000002</v>
      </c>
      <c r="C3788" s="1">
        <f t="shared" si="1124"/>
        <v>1.6146512610444752E-2</v>
      </c>
      <c r="D3788">
        <v>16.965189873418002</v>
      </c>
      <c r="E3788">
        <v>0.19654017433722001</v>
      </c>
      <c r="F3788">
        <v>23</v>
      </c>
    </row>
    <row r="3789" spans="1:9" x14ac:dyDescent="0.25">
      <c r="A3789">
        <v>2039.55</v>
      </c>
      <c r="B3789">
        <v>2071.375</v>
      </c>
      <c r="C3789" s="1">
        <f t="shared" si="1124"/>
        <v>1.5603932239954821E-2</v>
      </c>
      <c r="D3789">
        <v>16.956962025315999</v>
      </c>
      <c r="E3789">
        <v>0.19675187446678</v>
      </c>
      <c r="F3789">
        <v>22</v>
      </c>
    </row>
    <row r="3790" spans="1:9" x14ac:dyDescent="0.25">
      <c r="A3790">
        <v>2036.1375</v>
      </c>
      <c r="B3790">
        <v>2081.71875</v>
      </c>
      <c r="C3790" s="1">
        <f t="shared" si="1124"/>
        <v>2.2386135513932537E-2</v>
      </c>
      <c r="D3790">
        <v>17.032278481013002</v>
      </c>
      <c r="E3790">
        <v>0.19823578997590999</v>
      </c>
      <c r="F3790">
        <v>22</v>
      </c>
    </row>
    <row r="3791" spans="1:9" x14ac:dyDescent="0.25">
      <c r="A3791">
        <v>2053.6750000000002</v>
      </c>
      <c r="B3791">
        <v>2087.15625</v>
      </c>
      <c r="C3791" s="1">
        <f t="shared" si="1124"/>
        <v>1.6303090800637854E-2</v>
      </c>
      <c r="D3791">
        <v>16.893670886075999</v>
      </c>
      <c r="E3791">
        <v>0.19432793396034001</v>
      </c>
      <c r="F3791">
        <v>23</v>
      </c>
    </row>
    <row r="3792" spans="1:9" x14ac:dyDescent="0.25">
      <c r="A3792">
        <v>2019.25</v>
      </c>
      <c r="B3792">
        <v>2066.7249999999999</v>
      </c>
      <c r="C3792" s="1">
        <f t="shared" si="1124"/>
        <v>2.351120465519374E-2</v>
      </c>
      <c r="D3792">
        <v>16.916455696202998</v>
      </c>
      <c r="E3792">
        <v>0.19840230270399001</v>
      </c>
      <c r="F3792">
        <v>22</v>
      </c>
    </row>
    <row r="3793" spans="1:9" x14ac:dyDescent="0.25">
      <c r="A3793">
        <v>2030.6624999999999</v>
      </c>
      <c r="B3793">
        <v>2070.6875</v>
      </c>
      <c r="C3793" s="1">
        <f t="shared" si="1124"/>
        <v>1.9710316214536006E-2</v>
      </c>
      <c r="D3793">
        <v>16.927215189872999</v>
      </c>
      <c r="E3793">
        <v>0.19727466087798001</v>
      </c>
      <c r="F3793">
        <v>22</v>
      </c>
    </row>
    <row r="3794" spans="1:9" x14ac:dyDescent="0.25">
      <c r="A3794">
        <v>2033.8625</v>
      </c>
      <c r="B3794">
        <v>2076.8312500000002</v>
      </c>
      <c r="C3794" s="1">
        <f t="shared" si="1124"/>
        <v>2.1126674000823575E-2</v>
      </c>
      <c r="D3794">
        <v>16.961392405062998</v>
      </c>
      <c r="E3794">
        <v>0.1974646513568</v>
      </c>
      <c r="F3794">
        <v>23</v>
      </c>
    </row>
    <row r="3795" spans="1:9" x14ac:dyDescent="0.25">
      <c r="A3795">
        <v>2031.425</v>
      </c>
      <c r="B3795">
        <v>2075.3249999999998</v>
      </c>
      <c r="C3795" s="1">
        <f t="shared" si="1124"/>
        <v>2.161044586927896E-2</v>
      </c>
      <c r="D3795">
        <v>16.941772151898999</v>
      </c>
      <c r="E3795">
        <v>0.19744317393899</v>
      </c>
      <c r="F3795">
        <v>22</v>
      </c>
    </row>
    <row r="3796" spans="1:9" x14ac:dyDescent="0.25">
      <c r="A3796">
        <v>2026.2125000000001</v>
      </c>
      <c r="B3796">
        <v>2068.46875</v>
      </c>
      <c r="C3796" s="1">
        <f t="shared" si="1124"/>
        <v>2.0854796819188559E-2</v>
      </c>
      <c r="D3796">
        <v>17.060126582277999</v>
      </c>
      <c r="E3796">
        <v>0.19961723679932</v>
      </c>
      <c r="F3796">
        <v>22</v>
      </c>
      <c r="H3796" t="s">
        <v>17</v>
      </c>
      <c r="I3796">
        <f t="shared" ref="I3796" si="1128">STDEVP(A3782:A3801)</f>
        <v>8.464963267788022</v>
      </c>
    </row>
    <row r="3797" spans="1:9" x14ac:dyDescent="0.25">
      <c r="A3797">
        <v>2025.0625</v>
      </c>
      <c r="B3797">
        <v>2068.5687499999999</v>
      </c>
      <c r="C3797" s="1">
        <f t="shared" si="1124"/>
        <v>2.1483904817752419E-2</v>
      </c>
      <c r="D3797">
        <v>16.971518987342002</v>
      </c>
      <c r="E3797">
        <v>0.19853224056593</v>
      </c>
      <c r="F3797">
        <v>23</v>
      </c>
      <c r="H3797" t="s">
        <v>18</v>
      </c>
      <c r="I3797">
        <f t="shared" ref="I3797" si="1129">STDEVP(B3782:B3801)</f>
        <v>6.81917055159344</v>
      </c>
    </row>
    <row r="3798" spans="1:9" x14ac:dyDescent="0.25">
      <c r="A3798">
        <v>2030.7125000000001</v>
      </c>
      <c r="B3798">
        <v>2073.4562500000002</v>
      </c>
      <c r="C3798" s="1">
        <f t="shared" si="1124"/>
        <v>2.1048646718824005E-2</v>
      </c>
      <c r="D3798">
        <v>17.093037974684002</v>
      </c>
      <c r="E3798">
        <v>0.19958750806881001</v>
      </c>
      <c r="F3798">
        <v>22</v>
      </c>
      <c r="H3798" t="s">
        <v>19</v>
      </c>
      <c r="I3798">
        <f t="shared" ref="I3798" si="1130">STDEVP(C3782:C3801)</f>
        <v>2.4658910549730665E-3</v>
      </c>
    </row>
    <row r="3799" spans="1:9" x14ac:dyDescent="0.25">
      <c r="A3799">
        <v>2024.0125</v>
      </c>
      <c r="B3799">
        <v>2076.1624999999999</v>
      </c>
      <c r="C3799" s="1">
        <f t="shared" si="1124"/>
        <v>2.5765651150869706E-2</v>
      </c>
      <c r="D3799">
        <v>16.971518987342002</v>
      </c>
      <c r="E3799">
        <v>0.19879909666942</v>
      </c>
      <c r="F3799">
        <v>22</v>
      </c>
      <c r="H3799" t="s">
        <v>20</v>
      </c>
      <c r="I3799">
        <f t="shared" ref="I3799" si="1131">STDEVP(D3782:D3801)</f>
        <v>5.4033362194925098E-2</v>
      </c>
    </row>
    <row r="3800" spans="1:9" x14ac:dyDescent="0.25">
      <c r="A3800">
        <v>2034.2</v>
      </c>
      <c r="B3800">
        <v>2075.0187500000002</v>
      </c>
      <c r="C3800" s="1">
        <f t="shared" si="1124"/>
        <v>2.0066242257398503E-2</v>
      </c>
      <c r="D3800">
        <v>17.022784810127</v>
      </c>
      <c r="E3800">
        <v>0.19821027502110999</v>
      </c>
      <c r="F3800">
        <v>23</v>
      </c>
      <c r="H3800" t="s">
        <v>21</v>
      </c>
      <c r="I3800">
        <f t="shared" ref="I3800" si="1132">STDEVP(E3782:E3801)</f>
        <v>1.3134593896885029E-3</v>
      </c>
    </row>
    <row r="3801" spans="1:9" x14ac:dyDescent="0.25">
      <c r="A3801">
        <v>2031.7</v>
      </c>
      <c r="B3801">
        <v>2075.3125</v>
      </c>
      <c r="C3801" s="1">
        <f t="shared" si="1124"/>
        <v>2.1466013683122398E-2</v>
      </c>
      <c r="D3801">
        <v>17.072151898733999</v>
      </c>
      <c r="E3801">
        <v>0.19924118837075</v>
      </c>
      <c r="F3801">
        <v>22</v>
      </c>
      <c r="H3801" t="s">
        <v>22</v>
      </c>
      <c r="I3801">
        <f t="shared" ref="I3801" si="1133">STDEVP(F3782:F3801)</f>
        <v>0.45825756949558394</v>
      </c>
    </row>
    <row r="3802" spans="1:9" x14ac:dyDescent="0.25">
      <c r="C3802" s="1" t="str">
        <f t="shared" si="1124"/>
        <v/>
      </c>
    </row>
    <row r="3803" spans="1:9" x14ac:dyDescent="0.25">
      <c r="A3803">
        <v>1410.7312060572999</v>
      </c>
      <c r="B3803">
        <v>1447.0524607896</v>
      </c>
      <c r="C3803" s="1">
        <f t="shared" si="1124"/>
        <v>2.57464034086341E-2</v>
      </c>
      <c r="D3803">
        <v>14.079343365252999</v>
      </c>
      <c r="E3803">
        <v>0.24646654982141</v>
      </c>
      <c r="F3803">
        <v>22</v>
      </c>
    </row>
    <row r="3804" spans="1:9" x14ac:dyDescent="0.25">
      <c r="A3804">
        <v>1399.5045970794999</v>
      </c>
      <c r="B3804">
        <v>1433.6901027582001</v>
      </c>
      <c r="C3804" s="1">
        <f t="shared" si="1124"/>
        <v>2.4426862012485451E-2</v>
      </c>
      <c r="D3804">
        <v>14.012585499316</v>
      </c>
      <c r="E3804">
        <v>0.24737863539105001</v>
      </c>
      <c r="F3804">
        <v>22</v>
      </c>
    </row>
    <row r="3805" spans="1:9" x14ac:dyDescent="0.25">
      <c r="A3805">
        <v>1408.5640886966</v>
      </c>
      <c r="B3805">
        <v>1436.3012439156</v>
      </c>
      <c r="C3805" s="1">
        <f t="shared" si="1124"/>
        <v>1.9691794957420905E-2</v>
      </c>
      <c r="D3805">
        <v>14.074418604650999</v>
      </c>
      <c r="E3805">
        <v>0.24667047114060001</v>
      </c>
      <c r="F3805">
        <v>22</v>
      </c>
    </row>
    <row r="3806" spans="1:9" x14ac:dyDescent="0.25">
      <c r="A3806">
        <v>1416.0113574904999</v>
      </c>
      <c r="B3806">
        <v>1449.7782585181001</v>
      </c>
      <c r="C3806" s="1">
        <f t="shared" si="1124"/>
        <v>2.3846490248102814E-2</v>
      </c>
      <c r="D3806">
        <v>13.945280437756001</v>
      </c>
      <c r="E3806">
        <v>0.24248683757537001</v>
      </c>
      <c r="F3806">
        <v>23</v>
      </c>
    </row>
    <row r="3807" spans="1:9" x14ac:dyDescent="0.25">
      <c r="A3807">
        <v>1407.1736073553</v>
      </c>
      <c r="B3807">
        <v>1443.3401838832001</v>
      </c>
      <c r="C3807" s="1">
        <f t="shared" si="1124"/>
        <v>2.5701573948557099E-2</v>
      </c>
      <c r="D3807">
        <v>13.977017783858001</v>
      </c>
      <c r="E3807">
        <v>0.24485978946876</v>
      </c>
      <c r="F3807">
        <v>22</v>
      </c>
    </row>
    <row r="3808" spans="1:9" x14ac:dyDescent="0.25">
      <c r="A3808">
        <v>1402.1287182261001</v>
      </c>
      <c r="B3808">
        <v>1432.4180638183</v>
      </c>
      <c r="C3808" s="1">
        <f t="shared" si="1124"/>
        <v>2.1602400120953602E-2</v>
      </c>
      <c r="D3808">
        <v>13.999452804378</v>
      </c>
      <c r="E3808">
        <v>0.24642095184071</v>
      </c>
      <c r="F3808">
        <v>22</v>
      </c>
    </row>
    <row r="3809" spans="1:9" x14ac:dyDescent="0.25">
      <c r="A3809">
        <v>1406.9069767441999</v>
      </c>
      <c r="B3809">
        <v>1440.4310438074001</v>
      </c>
      <c r="C3809" s="1">
        <f t="shared" si="1124"/>
        <v>2.3828204435221378E-2</v>
      </c>
      <c r="D3809">
        <v>14</v>
      </c>
      <c r="E3809">
        <v>0.24537343005632001</v>
      </c>
      <c r="F3809">
        <v>22</v>
      </c>
    </row>
    <row r="3810" spans="1:9" x14ac:dyDescent="0.25">
      <c r="A3810">
        <v>1406.1957815035</v>
      </c>
      <c r="B3810">
        <v>1437.7609518658001</v>
      </c>
      <c r="C3810" s="1">
        <f t="shared" si="1124"/>
        <v>2.2447208829307286E-2</v>
      </c>
      <c r="D3810">
        <v>14.040492476060001</v>
      </c>
      <c r="E3810">
        <v>0.24648420565942999</v>
      </c>
      <c r="F3810">
        <v>23</v>
      </c>
    </row>
    <row r="3811" spans="1:9" x14ac:dyDescent="0.25">
      <c r="A3811">
        <v>1405.7133585721999</v>
      </c>
      <c r="B3811">
        <v>1446.7247160627001</v>
      </c>
      <c r="C3811" s="1">
        <f t="shared" si="1124"/>
        <v>2.9174765424549998E-2</v>
      </c>
      <c r="D3811">
        <v>13.926675786594</v>
      </c>
      <c r="E3811">
        <v>0.24423404065665</v>
      </c>
      <c r="F3811">
        <v>22</v>
      </c>
    </row>
    <row r="3812" spans="1:9" x14ac:dyDescent="0.25">
      <c r="A3812">
        <v>1406.8523526229999</v>
      </c>
      <c r="B3812">
        <v>1441.7463493780001</v>
      </c>
      <c r="C3812" s="1">
        <f t="shared" si="1124"/>
        <v>2.4802884744758114E-2</v>
      </c>
      <c r="D3812">
        <v>14.005471956224</v>
      </c>
      <c r="E3812">
        <v>0.24546794881027001</v>
      </c>
      <c r="F3812">
        <v>22</v>
      </c>
    </row>
    <row r="3813" spans="1:9" x14ac:dyDescent="0.25">
      <c r="A3813">
        <v>1406.5716603569001</v>
      </c>
      <c r="B3813">
        <v>1439.7571660357</v>
      </c>
      <c r="C3813" s="1">
        <f t="shared" si="1124"/>
        <v>2.359318519923792E-2</v>
      </c>
      <c r="D3813">
        <v>14.077154582763001</v>
      </c>
      <c r="E3813">
        <v>0.24724650723465</v>
      </c>
      <c r="F3813">
        <v>23</v>
      </c>
    </row>
    <row r="3814" spans="1:9" x14ac:dyDescent="0.25">
      <c r="A3814">
        <v>1403.0524607896</v>
      </c>
      <c r="B3814">
        <v>1430.9210383991001</v>
      </c>
      <c r="C3814" s="1">
        <f t="shared" si="1124"/>
        <v>1.9862819380122465E-2</v>
      </c>
      <c r="D3814">
        <v>13.956771545828</v>
      </c>
      <c r="E3814">
        <v>0.24526752875466001</v>
      </c>
      <c r="F3814">
        <v>22</v>
      </c>
    </row>
    <row r="3815" spans="1:9" x14ac:dyDescent="0.25">
      <c r="A3815">
        <v>1395.5949161709</v>
      </c>
      <c r="B3815">
        <v>1432.5586803676999</v>
      </c>
      <c r="C3815" s="1">
        <f t="shared" si="1124"/>
        <v>2.6486026689046316E-2</v>
      </c>
      <c r="D3815">
        <v>13.91244870041</v>
      </c>
      <c r="E3815">
        <v>0.24607928469536999</v>
      </c>
      <c r="F3815">
        <v>22</v>
      </c>
    </row>
    <row r="3816" spans="1:9" x14ac:dyDescent="0.25">
      <c r="A3816">
        <v>1408.1892915088999</v>
      </c>
      <c r="B3816">
        <v>1437.5429962141</v>
      </c>
      <c r="C3816" s="1">
        <f t="shared" si="1124"/>
        <v>2.0844999235682948E-2</v>
      </c>
      <c r="D3816">
        <v>13.99781121751</v>
      </c>
      <c r="E3816">
        <v>0.24500503771751</v>
      </c>
      <c r="F3816">
        <v>22</v>
      </c>
    </row>
    <row r="3817" spans="1:9" x14ac:dyDescent="0.25">
      <c r="A3817">
        <v>1395.9129259059</v>
      </c>
      <c r="B3817">
        <v>1435.4256354786</v>
      </c>
      <c r="C3817" s="1">
        <f t="shared" si="1124"/>
        <v>2.8305998776433361E-2</v>
      </c>
      <c r="D3817">
        <v>13.980300957592</v>
      </c>
      <c r="E3817">
        <v>0.24734915060264001</v>
      </c>
      <c r="F3817">
        <v>23</v>
      </c>
      <c r="H3817" t="s">
        <v>17</v>
      </c>
      <c r="I3817">
        <f t="shared" ref="I3817" si="1134">STDEVP(A3803:A3822)</f>
        <v>4.8834379714249927</v>
      </c>
    </row>
    <row r="3818" spans="1:9" x14ac:dyDescent="0.25">
      <c r="A3818">
        <v>1402.6928069226999</v>
      </c>
      <c r="B3818">
        <v>1430.1195240669999</v>
      </c>
      <c r="C3818" s="1">
        <f t="shared" si="1124"/>
        <v>1.9552903535928312E-2</v>
      </c>
      <c r="D3818">
        <v>13.979753761970001</v>
      </c>
      <c r="E3818">
        <v>0.24588067123866</v>
      </c>
      <c r="F3818">
        <v>22</v>
      </c>
      <c r="H3818" t="s">
        <v>18</v>
      </c>
      <c r="I3818">
        <f t="shared" ref="I3818" si="1135">STDEVP(B3803:B3822)</f>
        <v>5.7248738629266986</v>
      </c>
    </row>
    <row r="3819" spans="1:9" x14ac:dyDescent="0.25">
      <c r="A3819">
        <v>1400.6219578150001</v>
      </c>
      <c r="B3819">
        <v>1432.0843699297</v>
      </c>
      <c r="C3819" s="1">
        <f t="shared" si="1124"/>
        <v>2.2463172120892549E-2</v>
      </c>
      <c r="D3819">
        <v>13.972640218878</v>
      </c>
      <c r="E3819">
        <v>0.24598976946088</v>
      </c>
      <c r="F3819">
        <v>22</v>
      </c>
      <c r="H3819" t="s">
        <v>19</v>
      </c>
      <c r="I3819">
        <f t="shared" ref="I3819" si="1136">STDEVP(C3803:C3822)</f>
        <v>2.7405088658340958E-3</v>
      </c>
    </row>
    <row r="3820" spans="1:9" x14ac:dyDescent="0.25">
      <c r="A3820">
        <v>1403.6235803136999</v>
      </c>
      <c r="B3820">
        <v>1431.8566792861</v>
      </c>
      <c r="C3820" s="1">
        <f t="shared" si="1124"/>
        <v>2.0114437637254623E-2</v>
      </c>
      <c r="D3820">
        <v>13.971545827632999</v>
      </c>
      <c r="E3820">
        <v>0.24549614171211001</v>
      </c>
      <c r="F3820">
        <v>22</v>
      </c>
      <c r="H3820" t="s">
        <v>20</v>
      </c>
      <c r="I3820">
        <f t="shared" ref="I3820" si="1137">STDEVP(D3803:D3822)</f>
        <v>4.9197268696044412E-2</v>
      </c>
    </row>
    <row r="3821" spans="1:9" x14ac:dyDescent="0.25">
      <c r="A3821">
        <v>1398.5446187128</v>
      </c>
      <c r="B3821">
        <v>1434.248783126</v>
      </c>
      <c r="C3821" s="1">
        <f t="shared" si="1124"/>
        <v>2.5529513992954778E-2</v>
      </c>
      <c r="D3821">
        <v>13.946374829001</v>
      </c>
      <c r="E3821">
        <v>0.24605632385453999</v>
      </c>
      <c r="F3821">
        <v>23</v>
      </c>
      <c r="H3821" t="s">
        <v>21</v>
      </c>
      <c r="I3821">
        <f t="shared" ref="I3821" si="1138">STDEVP(E3803:E3822)</f>
        <v>1.2407327522020604E-3</v>
      </c>
    </row>
    <row r="3822" spans="1:9" x14ac:dyDescent="0.25">
      <c r="A3822">
        <v>1401.5191995672999</v>
      </c>
      <c r="B3822">
        <v>1432.6917252569001</v>
      </c>
      <c r="C3822" s="1">
        <f t="shared" si="1124"/>
        <v>2.224195408755314E-2</v>
      </c>
      <c r="D3822">
        <v>14.073324213406</v>
      </c>
      <c r="E3822">
        <v>0.24830306906418001</v>
      </c>
      <c r="F3822">
        <v>22</v>
      </c>
      <c r="H3822" t="s">
        <v>22</v>
      </c>
      <c r="I3822">
        <f t="shared" ref="I3822" si="1139">STDEVP(F3803:F3822)</f>
        <v>0.4330127018922193</v>
      </c>
    </row>
    <row r="3823" spans="1:9" x14ac:dyDescent="0.25">
      <c r="C3823" s="1" t="str">
        <f t="shared" si="1124"/>
        <v/>
      </c>
    </row>
    <row r="3824" spans="1:9" x14ac:dyDescent="0.25">
      <c r="A3824">
        <v>1447.7098765431999</v>
      </c>
      <c r="B3824">
        <v>1483.1188271604999</v>
      </c>
      <c r="C3824" s="1">
        <f t="shared" si="1124"/>
        <v>2.4458595738704458E-2</v>
      </c>
      <c r="D3824">
        <v>14.338810641627999</v>
      </c>
      <c r="E3824">
        <v>0.24327072224554</v>
      </c>
      <c r="F3824">
        <v>47</v>
      </c>
    </row>
    <row r="3825" spans="1:9" x14ac:dyDescent="0.25">
      <c r="A3825">
        <v>1455.9629629630001</v>
      </c>
      <c r="B3825">
        <v>1487.5169753087</v>
      </c>
      <c r="C3825" s="1">
        <f t="shared" si="1124"/>
        <v>2.1672263064635322E-2</v>
      </c>
      <c r="D3825">
        <v>14.488262910797999</v>
      </c>
      <c r="E3825">
        <v>0.24485095414203001</v>
      </c>
      <c r="F3825">
        <v>49</v>
      </c>
    </row>
    <row r="3826" spans="1:9" x14ac:dyDescent="0.25">
      <c r="A3826">
        <v>1447.2129629630001</v>
      </c>
      <c r="B3826">
        <v>1481.4089506173</v>
      </c>
      <c r="C3826" s="1">
        <f t="shared" si="1124"/>
        <v>2.3628856657203823E-2</v>
      </c>
      <c r="D3826">
        <v>14.136150234742001</v>
      </c>
      <c r="E3826">
        <v>0.23904757433536</v>
      </c>
      <c r="F3826">
        <v>49</v>
      </c>
    </row>
    <row r="3827" spans="1:9" x14ac:dyDescent="0.25">
      <c r="A3827">
        <v>1449.25</v>
      </c>
      <c r="B3827">
        <v>1491.0478395062</v>
      </c>
      <c r="C3827" s="1">
        <f t="shared" si="1124"/>
        <v>2.8841013977022545E-2</v>
      </c>
      <c r="D3827">
        <v>14.267605633803001</v>
      </c>
      <c r="E3827">
        <v>0.24153304108755999</v>
      </c>
      <c r="F3827">
        <v>49</v>
      </c>
    </row>
    <row r="3828" spans="1:9" x14ac:dyDescent="0.25">
      <c r="A3828">
        <v>1445.4537037037001</v>
      </c>
      <c r="B3828">
        <v>1476.7870370370999</v>
      </c>
      <c r="C3828" s="1">
        <f t="shared" si="1124"/>
        <v>2.1677161470557094E-2</v>
      </c>
      <c r="D3828">
        <v>14.272300469484</v>
      </c>
      <c r="E3828">
        <v>0.242228492239</v>
      </c>
      <c r="F3828">
        <v>47</v>
      </c>
    </row>
    <row r="3829" spans="1:9" x14ac:dyDescent="0.25">
      <c r="A3829">
        <v>1445.3333333333001</v>
      </c>
      <c r="B3829">
        <v>1490.9552469135999</v>
      </c>
      <c r="C3829" s="1">
        <f t="shared" si="1124"/>
        <v>3.1564977108141878E-2</v>
      </c>
      <c r="D3829">
        <v>14.232394366196999</v>
      </c>
      <c r="E3829">
        <v>0.24169492235920001</v>
      </c>
      <c r="F3829">
        <v>48</v>
      </c>
    </row>
    <row r="3830" spans="1:9" x14ac:dyDescent="0.25">
      <c r="A3830">
        <v>1430.4413580247001</v>
      </c>
      <c r="B3830">
        <v>1472.3827160494</v>
      </c>
      <c r="C3830" s="1">
        <f t="shared" si="1124"/>
        <v>2.9320571437207787E-2</v>
      </c>
      <c r="D3830">
        <v>13.928012519561999</v>
      </c>
      <c r="E3830">
        <v>0.23813202708976</v>
      </c>
      <c r="F3830">
        <v>49</v>
      </c>
    </row>
    <row r="3831" spans="1:9" x14ac:dyDescent="0.25">
      <c r="A3831">
        <v>1448.7777777778001</v>
      </c>
      <c r="B3831">
        <v>1486.5216049383</v>
      </c>
      <c r="C3831" s="1">
        <f t="shared" si="1124"/>
        <v>2.6052185324372479E-2</v>
      </c>
      <c r="D3831">
        <v>14.380281690141</v>
      </c>
      <c r="E3831">
        <v>0.24391048188087</v>
      </c>
      <c r="F3831">
        <v>46</v>
      </c>
    </row>
    <row r="3832" spans="1:9" x14ac:dyDescent="0.25">
      <c r="A3832">
        <v>1446.2746913579999</v>
      </c>
      <c r="B3832">
        <v>1480.0478395062</v>
      </c>
      <c r="C3832" s="1">
        <f t="shared" si="1124"/>
        <v>2.3351821303384757E-2</v>
      </c>
      <c r="D3832">
        <v>14.195618153365</v>
      </c>
      <c r="E3832">
        <v>0.24043977989161999</v>
      </c>
      <c r="F3832">
        <v>46</v>
      </c>
    </row>
    <row r="3833" spans="1:9" x14ac:dyDescent="0.25">
      <c r="A3833">
        <v>1440.5617283951001</v>
      </c>
      <c r="B3833">
        <v>1481.2299382716001</v>
      </c>
      <c r="C3833" s="1">
        <f t="shared" si="1124"/>
        <v>2.8230799885130553E-2</v>
      </c>
      <c r="D3833">
        <v>14.115805946791999</v>
      </c>
      <c r="E3833">
        <v>0.23992704562360001</v>
      </c>
      <c r="F3833">
        <v>45</v>
      </c>
    </row>
    <row r="3834" spans="1:9" x14ac:dyDescent="0.25">
      <c r="A3834">
        <v>1432.3858024691001</v>
      </c>
      <c r="B3834">
        <v>1477.2330246914</v>
      </c>
      <c r="C3834" s="1">
        <f t="shared" si="1124"/>
        <v>3.1309457371745619E-2</v>
      </c>
      <c r="D3834">
        <v>14.181533646322</v>
      </c>
      <c r="E3834">
        <v>0.24307583545638001</v>
      </c>
      <c r="F3834">
        <v>49</v>
      </c>
    </row>
    <row r="3835" spans="1:9" x14ac:dyDescent="0.25">
      <c r="A3835">
        <v>1437.4444444444</v>
      </c>
      <c r="B3835">
        <v>1487.2793209877</v>
      </c>
      <c r="C3835" s="1">
        <f t="shared" si="1124"/>
        <v>3.4669080071864755E-2</v>
      </c>
      <c r="D3835">
        <v>14.028169014085</v>
      </c>
      <c r="E3835">
        <v>0.23885594404692001</v>
      </c>
      <c r="F3835">
        <v>45</v>
      </c>
    </row>
    <row r="3836" spans="1:9" x14ac:dyDescent="0.25">
      <c r="A3836">
        <v>1436.6481481481001</v>
      </c>
      <c r="B3836">
        <v>1483.6543209877</v>
      </c>
      <c r="C3836" s="1">
        <f t="shared" si="1124"/>
        <v>3.2719335559087792E-2</v>
      </c>
      <c r="D3836">
        <v>14.244131455399</v>
      </c>
      <c r="E3836">
        <v>0.24350331234780001</v>
      </c>
      <c r="F3836">
        <v>52</v>
      </c>
    </row>
    <row r="3837" spans="1:9" x14ac:dyDescent="0.25">
      <c r="A3837">
        <v>1447.1141975308999</v>
      </c>
      <c r="B3837">
        <v>1493.5462962962999</v>
      </c>
      <c r="C3837" s="1">
        <f t="shared" si="1124"/>
        <v>3.2085994902560921E-2</v>
      </c>
      <c r="D3837">
        <v>14.297339593114</v>
      </c>
      <c r="E3837">
        <v>0.24249966078356</v>
      </c>
      <c r="F3837">
        <v>48</v>
      </c>
    </row>
    <row r="3838" spans="1:9" x14ac:dyDescent="0.25">
      <c r="A3838">
        <v>1449.6728395062</v>
      </c>
      <c r="B3838">
        <v>1479.0833333334001</v>
      </c>
      <c r="C3838" s="1">
        <f t="shared" si="1124"/>
        <v>2.0287676657595455E-2</v>
      </c>
      <c r="D3838">
        <v>14.432707355243</v>
      </c>
      <c r="E3838">
        <v>0.24488678568587</v>
      </c>
      <c r="F3838">
        <v>51</v>
      </c>
      <c r="H3838" t="s">
        <v>17</v>
      </c>
      <c r="I3838">
        <f t="shared" ref="I3838" si="1140">STDEVP(A3824:A3843)</f>
        <v>7.3099180277816087</v>
      </c>
    </row>
    <row r="3839" spans="1:9" x14ac:dyDescent="0.25">
      <c r="A3839">
        <v>1429.2808641975</v>
      </c>
      <c r="B3839">
        <v>1458.2361111110999</v>
      </c>
      <c r="C3839" s="1">
        <f t="shared" si="1124"/>
        <v>2.0258612312603397E-2</v>
      </c>
      <c r="D3839">
        <v>14.33255086072</v>
      </c>
      <c r="E3839">
        <v>0.24694357947666001</v>
      </c>
      <c r="F3839">
        <v>52</v>
      </c>
      <c r="H3839" t="s">
        <v>18</v>
      </c>
      <c r="I3839">
        <f t="shared" ref="I3839" si="1141">STDEVP(B3824:B3843)</f>
        <v>7.9671245495673793</v>
      </c>
    </row>
    <row r="3840" spans="1:9" x14ac:dyDescent="0.25">
      <c r="A3840">
        <v>1436.5462962962999</v>
      </c>
      <c r="B3840">
        <v>1468.7052469135999</v>
      </c>
      <c r="C3840" s="1">
        <f t="shared" si="1124"/>
        <v>2.2386296007453454E-2</v>
      </c>
      <c r="D3840">
        <v>14.382629107981</v>
      </c>
      <c r="E3840">
        <v>0.24620886408522</v>
      </c>
      <c r="F3840">
        <v>48</v>
      </c>
      <c r="H3840" t="s">
        <v>19</v>
      </c>
      <c r="I3840">
        <f t="shared" ref="I3840" si="1142">STDEVP(C3824:C3843)</f>
        <v>4.6353185061975511E-3</v>
      </c>
    </row>
    <row r="3841" spans="1:9" x14ac:dyDescent="0.25">
      <c r="A3841">
        <v>1442.6018518518999</v>
      </c>
      <c r="B3841">
        <v>1478.4027777778001</v>
      </c>
      <c r="C3841" s="1">
        <f t="shared" si="1124"/>
        <v>2.481691388371754E-2</v>
      </c>
      <c r="D3841">
        <v>14.382629107981</v>
      </c>
      <c r="E3841">
        <v>0.24532432033588999</v>
      </c>
      <c r="F3841">
        <v>46</v>
      </c>
      <c r="H3841" t="s">
        <v>20</v>
      </c>
      <c r="I3841">
        <f t="shared" ref="I3841" si="1143">STDEVP(D3824:D3843)</f>
        <v>0.15246452268743105</v>
      </c>
    </row>
    <row r="3842" spans="1:9" x14ac:dyDescent="0.25">
      <c r="A3842">
        <v>1452.9783950617</v>
      </c>
      <c r="B3842">
        <v>1481.7175925926001</v>
      </c>
      <c r="C3842" s="1">
        <f t="shared" ref="C3842:C3905" si="1144">IFERROR((B3842/A3842)-1,"")</f>
        <v>1.9779507822399234E-2</v>
      </c>
      <c r="D3842">
        <v>14.010172143975</v>
      </c>
      <c r="E3842">
        <v>0.23537260896716</v>
      </c>
      <c r="F3842">
        <v>48</v>
      </c>
      <c r="H3842" t="s">
        <v>21</v>
      </c>
      <c r="I3842">
        <f t="shared" ref="I3842" si="1145">STDEVP(E3824:E3843)</f>
        <v>3.1454549935795348E-3</v>
      </c>
    </row>
    <row r="3843" spans="1:9" x14ac:dyDescent="0.25">
      <c r="A3843">
        <v>1437.7530864198</v>
      </c>
      <c r="B3843">
        <v>1481.7114197531</v>
      </c>
      <c r="C3843" s="1">
        <f t="shared" si="1144"/>
        <v>3.0574327225241671E-2</v>
      </c>
      <c r="D3843">
        <v>14.487480438185001</v>
      </c>
      <c r="E3843">
        <v>0.2483013540357</v>
      </c>
      <c r="F3843">
        <v>45</v>
      </c>
      <c r="H3843" t="s">
        <v>22</v>
      </c>
      <c r="I3843">
        <f t="shared" ref="I3843" si="1146">STDEVP(F3824:F3843)</f>
        <v>2.085065946199304</v>
      </c>
    </row>
    <row r="3844" spans="1:9" x14ac:dyDescent="0.25">
      <c r="C3844" s="1" t="str">
        <f t="shared" si="1144"/>
        <v/>
      </c>
    </row>
    <row r="3845" spans="1:9" x14ac:dyDescent="0.25">
      <c r="A3845">
        <v>1175.8066627008</v>
      </c>
      <c r="B3845">
        <v>1208.6745984533</v>
      </c>
      <c r="C3845" s="1">
        <f t="shared" si="1144"/>
        <v>2.7953520587307379E-2</v>
      </c>
      <c r="D3845">
        <v>16.588979223126</v>
      </c>
      <c r="E3845">
        <v>0.38763727742740001</v>
      </c>
      <c r="F3845">
        <v>30</v>
      </c>
    </row>
    <row r="3846" spans="1:9" x14ac:dyDescent="0.25">
      <c r="A3846">
        <v>1173.9708506841</v>
      </c>
      <c r="B3846">
        <v>1204.3152885187001</v>
      </c>
      <c r="C3846" s="1">
        <f t="shared" si="1144"/>
        <v>2.5847692740341488E-2</v>
      </c>
      <c r="D3846">
        <v>16.626919602529</v>
      </c>
      <c r="E3846">
        <v>0.38978630970790001</v>
      </c>
      <c r="F3846">
        <v>31</v>
      </c>
    </row>
    <row r="3847" spans="1:9" x14ac:dyDescent="0.25">
      <c r="A3847">
        <v>1182.2831647829</v>
      </c>
      <c r="B3847">
        <v>1212.7376561571</v>
      </c>
      <c r="C3847" s="1">
        <f t="shared" si="1144"/>
        <v>2.5759050184726462E-2</v>
      </c>
      <c r="D3847">
        <v>16.809394760614001</v>
      </c>
      <c r="E3847">
        <v>0.39174737807164001</v>
      </c>
      <c r="F3847">
        <v>30</v>
      </c>
    </row>
    <row r="3848" spans="1:9" x14ac:dyDescent="0.25">
      <c r="A3848">
        <v>1180.0232004759</v>
      </c>
      <c r="B3848">
        <v>1208.3474122545999</v>
      </c>
      <c r="C3848" s="1">
        <f t="shared" si="1144"/>
        <v>2.4003097368998194E-2</v>
      </c>
      <c r="D3848">
        <v>16.718458295693999</v>
      </c>
      <c r="E3848">
        <v>0.38936287799206998</v>
      </c>
      <c r="F3848">
        <v>31</v>
      </c>
    </row>
    <row r="3849" spans="1:9" x14ac:dyDescent="0.25">
      <c r="A3849">
        <v>1164.9845330160999</v>
      </c>
      <c r="B3849">
        <v>1195.5389649018</v>
      </c>
      <c r="C3849" s="1">
        <f t="shared" si="1144"/>
        <v>2.6227328363404023E-2</v>
      </c>
      <c r="D3849">
        <v>16.599217103282001</v>
      </c>
      <c r="E3849">
        <v>0.39292130484401</v>
      </c>
      <c r="F3849">
        <v>31</v>
      </c>
    </row>
    <row r="3850" spans="1:9" x14ac:dyDescent="0.25">
      <c r="A3850">
        <v>1173.7198096371001</v>
      </c>
      <c r="B3850">
        <v>1202.2522308150001</v>
      </c>
      <c r="C3850" s="1">
        <f t="shared" si="1144"/>
        <v>2.4309397305581681E-2</v>
      </c>
      <c r="D3850">
        <v>16.517916290274002</v>
      </c>
      <c r="E3850">
        <v>0.38596531226240999</v>
      </c>
      <c r="F3850">
        <v>30</v>
      </c>
    </row>
    <row r="3851" spans="1:9" x14ac:dyDescent="0.25">
      <c r="A3851">
        <v>1180.4723378941001</v>
      </c>
      <c r="B3851">
        <v>1211.509220702</v>
      </c>
      <c r="C3851" s="1">
        <f t="shared" si="1144"/>
        <v>2.6291918761322419E-2</v>
      </c>
      <c r="D3851">
        <v>16.821439325503999</v>
      </c>
      <c r="E3851">
        <v>0.39280645815803</v>
      </c>
      <c r="F3851">
        <v>30</v>
      </c>
    </row>
    <row r="3852" spans="1:9" x14ac:dyDescent="0.25">
      <c r="A3852">
        <v>1174.8447352766</v>
      </c>
      <c r="B3852">
        <v>1206.012492564</v>
      </c>
      <c r="C3852" s="1">
        <f t="shared" si="1144"/>
        <v>2.6529256463886819E-2</v>
      </c>
      <c r="D3852">
        <v>16.511894007829</v>
      </c>
      <c r="E3852">
        <v>0.38519287491801002</v>
      </c>
      <c r="F3852">
        <v>31</v>
      </c>
    </row>
    <row r="3853" spans="1:9" x14ac:dyDescent="0.25">
      <c r="A3853">
        <v>1167.8399762045999</v>
      </c>
      <c r="B3853">
        <v>1196.8417608566001</v>
      </c>
      <c r="C3853" s="1">
        <f t="shared" si="1144"/>
        <v>2.4833697461063231E-2</v>
      </c>
      <c r="D3853">
        <v>16.151159289371002</v>
      </c>
      <c r="E3853">
        <v>0.37706963047390002</v>
      </c>
      <c r="F3853">
        <v>30</v>
      </c>
    </row>
    <row r="3854" spans="1:9" x14ac:dyDescent="0.25">
      <c r="A3854">
        <v>1168.7043426532</v>
      </c>
      <c r="B3854">
        <v>1200.745984533</v>
      </c>
      <c r="C3854" s="1">
        <f t="shared" si="1144"/>
        <v>2.7416379584128903E-2</v>
      </c>
      <c r="D3854">
        <v>16.598614875037999</v>
      </c>
      <c r="E3854">
        <v>0.39076588780942001</v>
      </c>
      <c r="F3854">
        <v>31</v>
      </c>
    </row>
    <row r="3855" spans="1:9" x14ac:dyDescent="0.25">
      <c r="A3855">
        <v>1185.7091017252001</v>
      </c>
      <c r="B3855">
        <v>1217.6525877454001</v>
      </c>
      <c r="C3855" s="1">
        <f t="shared" si="1144"/>
        <v>2.694040719913704E-2</v>
      </c>
      <c r="D3855">
        <v>16.761818729298</v>
      </c>
      <c r="E3855">
        <v>0.38856551016328</v>
      </c>
      <c r="F3855">
        <v>30</v>
      </c>
    </row>
    <row r="3856" spans="1:9" x14ac:dyDescent="0.25">
      <c r="A3856">
        <v>1170.6377156455001</v>
      </c>
      <c r="B3856">
        <v>1199.8964901843999</v>
      </c>
      <c r="C3856" s="1">
        <f t="shared" si="1144"/>
        <v>2.4993876540844395E-2</v>
      </c>
      <c r="D3856">
        <v>16.412526347486001</v>
      </c>
      <c r="E3856">
        <v>0.38405926945432001</v>
      </c>
      <c r="F3856">
        <v>31</v>
      </c>
    </row>
    <row r="3857" spans="1:9" x14ac:dyDescent="0.25">
      <c r="A3857">
        <v>1171.1897679952001</v>
      </c>
      <c r="B3857">
        <v>1205.2385484831</v>
      </c>
      <c r="C3857" s="1">
        <f t="shared" si="1144"/>
        <v>2.9071958634153239E-2</v>
      </c>
      <c r="D3857">
        <v>16.751580849142002</v>
      </c>
      <c r="E3857">
        <v>0.39516548690623998</v>
      </c>
      <c r="F3857">
        <v>31</v>
      </c>
    </row>
    <row r="3858" spans="1:9" x14ac:dyDescent="0.25">
      <c r="A3858">
        <v>1172.4140392623001</v>
      </c>
      <c r="B3858">
        <v>1209.4901844139999</v>
      </c>
      <c r="C3858" s="1">
        <f t="shared" si="1144"/>
        <v>3.162376422499058E-2</v>
      </c>
      <c r="D3858">
        <v>16.593797049081999</v>
      </c>
      <c r="E3858">
        <v>0.38930746850726</v>
      </c>
      <c r="F3858">
        <v>30</v>
      </c>
    </row>
    <row r="3859" spans="1:9" x14ac:dyDescent="0.25">
      <c r="A3859">
        <v>1177.2504461630001</v>
      </c>
      <c r="B3859">
        <v>1205.2986317668001</v>
      </c>
      <c r="C3859" s="1">
        <f t="shared" si="1144"/>
        <v>2.3825164556290579E-2</v>
      </c>
      <c r="D3859">
        <v>16.455886781090001</v>
      </c>
      <c r="E3859">
        <v>0.38248757739125</v>
      </c>
      <c r="F3859">
        <v>31</v>
      </c>
      <c r="H3859" t="s">
        <v>17</v>
      </c>
      <c r="I3859">
        <f t="shared" ref="I3859" si="1147">STDEVP(A3845:A3864)</f>
        <v>5.6404859522910895</v>
      </c>
    </row>
    <row r="3860" spans="1:9" x14ac:dyDescent="0.25">
      <c r="A3860">
        <v>1182.1142177275001</v>
      </c>
      <c r="B3860">
        <v>1204.4711481260999</v>
      </c>
      <c r="C3860" s="1">
        <f t="shared" si="1144"/>
        <v>1.8912665175095267E-2</v>
      </c>
      <c r="D3860">
        <v>16.879855465220999</v>
      </c>
      <c r="E3860">
        <v>0.39381812892349</v>
      </c>
      <c r="F3860">
        <v>31</v>
      </c>
      <c r="H3860" t="s">
        <v>18</v>
      </c>
      <c r="I3860">
        <f t="shared" ref="I3860" si="1148">STDEVP(B3845:B3864)</f>
        <v>5.7407731880056998</v>
      </c>
    </row>
    <row r="3861" spans="1:9" x14ac:dyDescent="0.25">
      <c r="A3861">
        <v>1181.3497917906</v>
      </c>
      <c r="B3861">
        <v>1216.3444378346001</v>
      </c>
      <c r="C3861" s="1">
        <f t="shared" si="1144"/>
        <v>2.9622594668559543E-2</v>
      </c>
      <c r="D3861">
        <v>16.723878349894999</v>
      </c>
      <c r="E3861">
        <v>0.38954903055575002</v>
      </c>
      <c r="F3861">
        <v>30</v>
      </c>
      <c r="H3861" t="s">
        <v>19</v>
      </c>
      <c r="I3861">
        <f t="shared" ref="I3861" si="1149">STDEVP(C3845:C3864)</f>
        <v>3.5009070972668414E-3</v>
      </c>
    </row>
    <row r="3862" spans="1:9" x14ac:dyDescent="0.25">
      <c r="A3862">
        <v>1168.3432480665999</v>
      </c>
      <c r="B3862">
        <v>1211.5080309340001</v>
      </c>
      <c r="C3862" s="1">
        <f t="shared" si="1144"/>
        <v>3.6945292352080772E-2</v>
      </c>
      <c r="D3862">
        <v>16.342065642879</v>
      </c>
      <c r="E3862">
        <v>0.38264375385186999</v>
      </c>
      <c r="F3862">
        <v>31</v>
      </c>
      <c r="H3862" t="s">
        <v>20</v>
      </c>
      <c r="I3862">
        <f t="shared" ref="I3862" si="1150">STDEVP(D3845:D3864)</f>
        <v>0.17879966924092652</v>
      </c>
    </row>
    <row r="3863" spans="1:9" x14ac:dyDescent="0.25">
      <c r="A3863">
        <v>1180.8221296847</v>
      </c>
      <c r="B3863">
        <v>1209.9500297442</v>
      </c>
      <c r="C3863" s="1">
        <f t="shared" si="1144"/>
        <v>2.4667474742599671E-2</v>
      </c>
      <c r="D3863">
        <v>16.532971996387001</v>
      </c>
      <c r="E3863">
        <v>0.38351525321752999</v>
      </c>
      <c r="F3863">
        <v>31</v>
      </c>
      <c r="H3863" t="s">
        <v>21</v>
      </c>
      <c r="I3863">
        <f t="shared" ref="I3863" si="1151">STDEVP(E3845:E3864)</f>
        <v>4.5954336905597746E-3</v>
      </c>
    </row>
    <row r="3864" spans="1:9" x14ac:dyDescent="0.25">
      <c r="A3864">
        <v>1178.1683521713001</v>
      </c>
      <c r="B3864">
        <v>1206.7537180249999</v>
      </c>
      <c r="C3864" s="1">
        <f t="shared" si="1144"/>
        <v>2.4262547708923332E-2</v>
      </c>
      <c r="D3864">
        <v>16.819632640771001</v>
      </c>
      <c r="E3864">
        <v>0.39385370033578998</v>
      </c>
      <c r="F3864">
        <v>31</v>
      </c>
      <c r="H3864" t="s">
        <v>22</v>
      </c>
      <c r="I3864">
        <f t="shared" ref="I3864" si="1152">STDEVP(F3845:F3864)</f>
        <v>0.48989794855663565</v>
      </c>
    </row>
    <row r="3865" spans="1:9" x14ac:dyDescent="0.25">
      <c r="C3865" s="1" t="str">
        <f t="shared" si="1144"/>
        <v/>
      </c>
    </row>
    <row r="3866" spans="1:9" x14ac:dyDescent="0.25">
      <c r="A3866">
        <v>700</v>
      </c>
      <c r="B3866">
        <v>726.40984236832003</v>
      </c>
      <c r="C3866" s="1">
        <f t="shared" si="1144"/>
        <v>3.7728346240457178E-2</v>
      </c>
      <c r="D3866">
        <v>9.6</v>
      </c>
      <c r="E3866">
        <v>0.36877642037223002</v>
      </c>
      <c r="F3866">
        <v>14</v>
      </c>
    </row>
    <row r="3867" spans="1:9" x14ac:dyDescent="0.25">
      <c r="A3867">
        <v>691.99307958477004</v>
      </c>
      <c r="B3867">
        <v>713.45405613225</v>
      </c>
      <c r="C3867" s="1">
        <f t="shared" si="1144"/>
        <v>3.101328204085152E-2</v>
      </c>
      <c r="D3867">
        <v>9.5576470588235001</v>
      </c>
      <c r="E3867">
        <v>0.37244278667362002</v>
      </c>
      <c r="F3867">
        <v>14</v>
      </c>
    </row>
    <row r="3868" spans="1:9" x14ac:dyDescent="0.25">
      <c r="A3868">
        <v>695.64628988849995</v>
      </c>
      <c r="B3868">
        <v>723.33179546327995</v>
      </c>
      <c r="C3868" s="1">
        <f t="shared" si="1144"/>
        <v>3.9798250888706033E-2</v>
      </c>
      <c r="D3868">
        <v>9.7019607843136999</v>
      </c>
      <c r="E3868">
        <v>0.37754364356185999</v>
      </c>
      <c r="F3868">
        <v>14</v>
      </c>
    </row>
    <row r="3869" spans="1:9" x14ac:dyDescent="0.25">
      <c r="A3869">
        <v>694.03306420606998</v>
      </c>
      <c r="B3869">
        <v>714.64744329103996</v>
      </c>
      <c r="C3869" s="1">
        <f t="shared" si="1144"/>
        <v>2.970230115556749E-2</v>
      </c>
      <c r="D3869">
        <v>9.8556862745098002</v>
      </c>
      <c r="E3869">
        <v>0.38715594667188002</v>
      </c>
      <c r="F3869">
        <v>14</v>
      </c>
    </row>
    <row r="3870" spans="1:9" x14ac:dyDescent="0.25">
      <c r="A3870">
        <v>690.16916570549995</v>
      </c>
      <c r="B3870">
        <v>718.71280276816003</v>
      </c>
      <c r="C3870" s="1">
        <f t="shared" si="1144"/>
        <v>4.1357450435332677E-2</v>
      </c>
      <c r="D3870">
        <v>9.7286274509803992</v>
      </c>
      <c r="E3870">
        <v>0.38271423579738001</v>
      </c>
      <c r="F3870">
        <v>14</v>
      </c>
    </row>
    <row r="3871" spans="1:9" x14ac:dyDescent="0.25">
      <c r="A3871">
        <v>701.67320261437999</v>
      </c>
      <c r="B3871">
        <v>722.17608612072002</v>
      </c>
      <c r="C3871" s="1">
        <f t="shared" si="1144"/>
        <v>2.9219989348243436E-2</v>
      </c>
      <c r="D3871">
        <v>9.6533333333333005</v>
      </c>
      <c r="E3871">
        <v>0.37039375524028001</v>
      </c>
      <c r="F3871">
        <v>14</v>
      </c>
    </row>
    <row r="3872" spans="1:9" x14ac:dyDescent="0.25">
      <c r="A3872">
        <v>696.96039984620995</v>
      </c>
      <c r="B3872">
        <v>718.49442522106006</v>
      </c>
      <c r="C3872" s="1">
        <f t="shared" si="1144"/>
        <v>3.0897057249740012E-2</v>
      </c>
      <c r="D3872">
        <v>9.6109803921569004</v>
      </c>
      <c r="E3872">
        <v>0.37200259928909002</v>
      </c>
      <c r="F3872">
        <v>14</v>
      </c>
    </row>
    <row r="3873" spans="1:9" x14ac:dyDescent="0.25">
      <c r="A3873">
        <v>699.63475586312995</v>
      </c>
      <c r="B3873">
        <v>717.87081891579999</v>
      </c>
      <c r="C3873" s="1">
        <f t="shared" si="1144"/>
        <v>2.6065118835001844E-2</v>
      </c>
      <c r="D3873">
        <v>9.6313725490196003</v>
      </c>
      <c r="E3873">
        <v>0.37128810328709</v>
      </c>
      <c r="F3873">
        <v>14</v>
      </c>
    </row>
    <row r="3874" spans="1:9" x14ac:dyDescent="0.25">
      <c r="A3874">
        <v>691.85928489042999</v>
      </c>
      <c r="B3874">
        <v>717.07189542483002</v>
      </c>
      <c r="C3874" s="1">
        <f t="shared" si="1144"/>
        <v>3.6441818567763962E-2</v>
      </c>
      <c r="D3874">
        <v>9.6188235294118005</v>
      </c>
      <c r="E3874">
        <v>0.37605370013734002</v>
      </c>
      <c r="F3874">
        <v>14</v>
      </c>
    </row>
    <row r="3875" spans="1:9" x14ac:dyDescent="0.25">
      <c r="A3875">
        <v>694.90042291426005</v>
      </c>
      <c r="B3875">
        <v>722.46674356016001</v>
      </c>
      <c r="C3875" s="1">
        <f t="shared" si="1144"/>
        <v>3.9669454409443139E-2</v>
      </c>
      <c r="D3875">
        <v>9.7239215686274996</v>
      </c>
      <c r="E3875">
        <v>0.37952130253446997</v>
      </c>
      <c r="F3875">
        <v>15</v>
      </c>
    </row>
    <row r="3876" spans="1:9" x14ac:dyDescent="0.25">
      <c r="A3876">
        <v>698.26835832372001</v>
      </c>
      <c r="B3876">
        <v>721.95847750865005</v>
      </c>
      <c r="C3876" s="1">
        <f t="shared" si="1144"/>
        <v>3.3926955020274985E-2</v>
      </c>
      <c r="D3876">
        <v>9.8556862745098002</v>
      </c>
      <c r="E3876">
        <v>0.38417306844186</v>
      </c>
      <c r="F3876">
        <v>14</v>
      </c>
    </row>
    <row r="3877" spans="1:9" x14ac:dyDescent="0.25">
      <c r="A3877">
        <v>687.43637062667995</v>
      </c>
      <c r="B3877">
        <v>713.68396770471998</v>
      </c>
      <c r="C3877" s="1">
        <f t="shared" si="1144"/>
        <v>3.8181856822780968E-2</v>
      </c>
      <c r="D3877">
        <v>9.6172549019608002</v>
      </c>
      <c r="E3877">
        <v>0.37934618574466999</v>
      </c>
      <c r="F3877">
        <v>14</v>
      </c>
    </row>
    <row r="3878" spans="1:9" x14ac:dyDescent="0.25">
      <c r="A3878">
        <v>695.18646674356</v>
      </c>
      <c r="B3878">
        <v>717.69473279506997</v>
      </c>
      <c r="C3878" s="1">
        <f t="shared" si="1144"/>
        <v>3.2377307568924207E-2</v>
      </c>
      <c r="D3878">
        <v>9.5545098039216008</v>
      </c>
      <c r="E3878">
        <v>0.37035951055319</v>
      </c>
      <c r="F3878">
        <v>14</v>
      </c>
    </row>
    <row r="3879" spans="1:9" x14ac:dyDescent="0.25">
      <c r="A3879">
        <v>700.70049980777003</v>
      </c>
      <c r="B3879">
        <v>724.48673587080998</v>
      </c>
      <c r="C3879" s="1">
        <f t="shared" si="1144"/>
        <v>3.3946366628203384E-2</v>
      </c>
      <c r="D3879">
        <v>9.6737254901960998</v>
      </c>
      <c r="E3879">
        <v>0.37273363348070998</v>
      </c>
      <c r="F3879">
        <v>14</v>
      </c>
    </row>
    <row r="3880" spans="1:9" x14ac:dyDescent="0.25">
      <c r="A3880">
        <v>693.48635140330998</v>
      </c>
      <c r="B3880">
        <v>721.53018069972995</v>
      </c>
      <c r="C3880" s="1">
        <f t="shared" si="1144"/>
        <v>4.0438905884263798E-2</v>
      </c>
      <c r="D3880">
        <v>9.6298039215686</v>
      </c>
      <c r="E3880">
        <v>0.37497436058368999</v>
      </c>
      <c r="F3880">
        <v>14</v>
      </c>
      <c r="H3880" t="s">
        <v>17</v>
      </c>
      <c r="I3880">
        <f t="shared" ref="I3880" si="1153">STDEVP(A3866:A3885)</f>
        <v>4.2568985332302249</v>
      </c>
    </row>
    <row r="3881" spans="1:9" x14ac:dyDescent="0.25">
      <c r="A3881">
        <v>699.85390234525005</v>
      </c>
      <c r="B3881">
        <v>724.41676278353998</v>
      </c>
      <c r="C3881" s="1">
        <f t="shared" si="1144"/>
        <v>3.5097125780078287E-2</v>
      </c>
      <c r="D3881">
        <v>9.5325490196077993</v>
      </c>
      <c r="E3881">
        <v>0.36601664789673999</v>
      </c>
      <c r="F3881">
        <v>14</v>
      </c>
      <c r="H3881" t="s">
        <v>18</v>
      </c>
      <c r="I3881">
        <f t="shared" ref="I3881" si="1154">STDEVP(B3866:B3885)</f>
        <v>4.0587047342418261</v>
      </c>
    </row>
    <row r="3882" spans="1:9" x14ac:dyDescent="0.25">
      <c r="A3882">
        <v>693.88850442138005</v>
      </c>
      <c r="B3882">
        <v>715.13033448673002</v>
      </c>
      <c r="C3882" s="1">
        <f t="shared" si="1144"/>
        <v>3.0612742436283868E-2</v>
      </c>
      <c r="D3882">
        <v>9.6643137254901994</v>
      </c>
      <c r="E3882">
        <v>0.37680171690439002</v>
      </c>
      <c r="F3882">
        <v>14</v>
      </c>
      <c r="H3882" t="s">
        <v>19</v>
      </c>
      <c r="I3882">
        <f t="shared" ref="I3882" si="1155">STDEVP(C3866:C3885)</f>
        <v>4.3076325322354003E-3</v>
      </c>
    </row>
    <row r="3883" spans="1:9" x14ac:dyDescent="0.25">
      <c r="A3883">
        <v>691.17416378316</v>
      </c>
      <c r="B3883">
        <v>714.10457516339</v>
      </c>
      <c r="C3883" s="1">
        <f t="shared" si="1144"/>
        <v>3.3176025062510606E-2</v>
      </c>
      <c r="D3883">
        <v>9.6658823529411997</v>
      </c>
      <c r="E3883">
        <v>0.37862802353550001</v>
      </c>
      <c r="F3883">
        <v>14</v>
      </c>
      <c r="H3883" t="s">
        <v>20</v>
      </c>
      <c r="I3883">
        <f t="shared" ref="I3883" si="1156">STDEVP(D3866:D3885)</f>
        <v>8.790348067424969E-2</v>
      </c>
    </row>
    <row r="3884" spans="1:9" x14ac:dyDescent="0.25">
      <c r="A3884">
        <v>685.95847750865005</v>
      </c>
      <c r="B3884">
        <v>713.50634371394995</v>
      </c>
      <c r="C3884" s="1">
        <f t="shared" si="1144"/>
        <v>4.015967016743005E-2</v>
      </c>
      <c r="D3884">
        <v>9.6658823529411997</v>
      </c>
      <c r="E3884">
        <v>0.38294363804015003</v>
      </c>
      <c r="F3884">
        <v>14</v>
      </c>
      <c r="H3884" t="s">
        <v>21</v>
      </c>
      <c r="I3884">
        <f t="shared" ref="I3884" si="1157">STDEVP(E3866:E3885)</f>
        <v>5.7283351170638441E-3</v>
      </c>
    </row>
    <row r="3885" spans="1:9" x14ac:dyDescent="0.25">
      <c r="A3885">
        <v>694.30680507497004</v>
      </c>
      <c r="B3885">
        <v>716.72049211840999</v>
      </c>
      <c r="C3885" s="1">
        <f t="shared" si="1144"/>
        <v>3.2282107678636152E-2</v>
      </c>
      <c r="D3885">
        <v>9.7976470588235003</v>
      </c>
      <c r="E3885">
        <v>0.38397652582884001</v>
      </c>
      <c r="F3885">
        <v>15</v>
      </c>
      <c r="H3885" t="s">
        <v>22</v>
      </c>
      <c r="I3885">
        <f t="shared" ref="I3885" si="1158">STDEVP(F3866:F3885)</f>
        <v>0.3</v>
      </c>
    </row>
    <row r="3886" spans="1:9" x14ac:dyDescent="0.25">
      <c r="C3886" s="1" t="str">
        <f t="shared" si="1144"/>
        <v/>
      </c>
    </row>
    <row r="3887" spans="1:9" x14ac:dyDescent="0.25">
      <c r="A3887">
        <v>453.38739140119998</v>
      </c>
      <c r="B3887">
        <v>475.06482512809998</v>
      </c>
      <c r="C3887" s="1">
        <f t="shared" si="1144"/>
        <v>4.7812167118070015E-2</v>
      </c>
      <c r="D3887">
        <v>8.2795115332428999</v>
      </c>
      <c r="E3887">
        <v>0.56703230501132995</v>
      </c>
      <c r="F3887">
        <v>12</v>
      </c>
    </row>
    <row r="3888" spans="1:9" x14ac:dyDescent="0.25">
      <c r="A3888">
        <v>454.36043662285999</v>
      </c>
      <c r="B3888">
        <v>472.36310982402</v>
      </c>
      <c r="C3888" s="1">
        <f t="shared" si="1144"/>
        <v>3.9622008762402627E-2</v>
      </c>
      <c r="D3888">
        <v>8.0985979194934004</v>
      </c>
      <c r="E3888">
        <v>0.54511892249562999</v>
      </c>
      <c r="F3888">
        <v>13</v>
      </c>
    </row>
    <row r="3889" spans="1:9" x14ac:dyDescent="0.25">
      <c r="A3889">
        <v>454.60859879705998</v>
      </c>
      <c r="B3889">
        <v>477.18511918022</v>
      </c>
      <c r="C3889" s="1">
        <f t="shared" si="1144"/>
        <v>4.9661446006300292E-2</v>
      </c>
      <c r="D3889">
        <v>8.1854364540931996</v>
      </c>
      <c r="E3889">
        <v>0.55583250207129997</v>
      </c>
      <c r="F3889">
        <v>13</v>
      </c>
    </row>
    <row r="3890" spans="1:9" x14ac:dyDescent="0.25">
      <c r="A3890">
        <v>455.87391401203001</v>
      </c>
      <c r="B3890">
        <v>471.11294274894999</v>
      </c>
      <c r="C3890" s="1">
        <f t="shared" si="1144"/>
        <v>3.3428165702233725E-2</v>
      </c>
      <c r="D3890">
        <v>8.1284486657621002</v>
      </c>
      <c r="E3890">
        <v>0.54552485091467995</v>
      </c>
      <c r="F3890">
        <v>12</v>
      </c>
    </row>
    <row r="3891" spans="1:9" x14ac:dyDescent="0.25">
      <c r="A3891">
        <v>450.45578079750999</v>
      </c>
      <c r="B3891">
        <v>472.70884384049998</v>
      </c>
      <c r="C3891" s="1">
        <f t="shared" si="1144"/>
        <v>4.9401215372554486E-2</v>
      </c>
      <c r="D3891">
        <v>7.9791949344187998</v>
      </c>
      <c r="E3891">
        <v>0.54016323486697004</v>
      </c>
      <c r="F3891">
        <v>14</v>
      </c>
    </row>
    <row r="3892" spans="1:9" x14ac:dyDescent="0.25">
      <c r="A3892">
        <v>451.57585208287003</v>
      </c>
      <c r="B3892">
        <v>471.68812653152997</v>
      </c>
      <c r="C3892" s="1">
        <f t="shared" si="1144"/>
        <v>4.4537975969913157E-2</v>
      </c>
      <c r="D3892">
        <v>7.8815015829941002</v>
      </c>
      <c r="E3892">
        <v>0.52780931105023998</v>
      </c>
      <c r="F3892">
        <v>13</v>
      </c>
    </row>
    <row r="3893" spans="1:9" x14ac:dyDescent="0.25">
      <c r="A3893">
        <v>454.69057696592</v>
      </c>
      <c r="B3893">
        <v>471.89173535308998</v>
      </c>
      <c r="C3893" s="1">
        <f t="shared" si="1144"/>
        <v>3.78304703430421E-2</v>
      </c>
      <c r="D3893">
        <v>8.3835368611487997</v>
      </c>
      <c r="E3893">
        <v>0.57433458620059996</v>
      </c>
      <c r="F3893">
        <v>13</v>
      </c>
    </row>
    <row r="3894" spans="1:9" x14ac:dyDescent="0.25">
      <c r="A3894">
        <v>453.96524838494003</v>
      </c>
      <c r="B3894">
        <v>471.62352417020003</v>
      </c>
      <c r="C3894" s="1">
        <f t="shared" si="1144"/>
        <v>3.8897858036672117E-2</v>
      </c>
      <c r="D3894">
        <v>8.2315694255993002</v>
      </c>
      <c r="E3894">
        <v>0.55958681488029005</v>
      </c>
      <c r="F3894">
        <v>12</v>
      </c>
    </row>
    <row r="3895" spans="1:9" x14ac:dyDescent="0.25">
      <c r="A3895">
        <v>450.78547560703998</v>
      </c>
      <c r="B3895">
        <v>471.17219870795998</v>
      </c>
      <c r="C3895" s="1">
        <f t="shared" si="1144"/>
        <v>4.5224889008383951E-2</v>
      </c>
      <c r="D3895">
        <v>8.1474445952057994</v>
      </c>
      <c r="E3895">
        <v>0.55699656866836</v>
      </c>
      <c r="F3895">
        <v>13</v>
      </c>
    </row>
    <row r="3896" spans="1:9" x14ac:dyDescent="0.25">
      <c r="A3896">
        <v>445.87926041434997</v>
      </c>
      <c r="B3896">
        <v>469.80842058364999</v>
      </c>
      <c r="C3896" s="1">
        <f t="shared" si="1144"/>
        <v>5.3667354133186018E-2</v>
      </c>
      <c r="D3896">
        <v>8.0135685210311998</v>
      </c>
      <c r="E3896">
        <v>0.55185771026008001</v>
      </c>
      <c r="F3896">
        <v>13</v>
      </c>
    </row>
    <row r="3897" spans="1:9" x14ac:dyDescent="0.25">
      <c r="A3897">
        <v>452.43261305413</v>
      </c>
      <c r="B3897">
        <v>478.00891067052999</v>
      </c>
      <c r="C3897" s="1">
        <f t="shared" si="1144"/>
        <v>5.6530623298236771E-2</v>
      </c>
      <c r="D3897">
        <v>8.2749886928991003</v>
      </c>
      <c r="E3897">
        <v>0.56819183204460999</v>
      </c>
      <c r="F3897">
        <v>12</v>
      </c>
    </row>
    <row r="3898" spans="1:9" x14ac:dyDescent="0.25">
      <c r="A3898">
        <v>450.65092448207002</v>
      </c>
      <c r="B3898">
        <v>474.97794609045002</v>
      </c>
      <c r="C3898" s="1">
        <f t="shared" si="1144"/>
        <v>5.3981963171026104E-2</v>
      </c>
      <c r="D3898">
        <v>7.9981908638624999</v>
      </c>
      <c r="E3898">
        <v>0.54174021631858005</v>
      </c>
      <c r="F3898">
        <v>13</v>
      </c>
    </row>
    <row r="3899" spans="1:9" x14ac:dyDescent="0.25">
      <c r="A3899">
        <v>449.76698596569003</v>
      </c>
      <c r="B3899">
        <v>468.62998440632998</v>
      </c>
      <c r="C3899" s="1">
        <f t="shared" si="1144"/>
        <v>4.1939490956943937E-2</v>
      </c>
      <c r="D3899">
        <v>8.0624151967436006</v>
      </c>
      <c r="E3899">
        <v>0.55015744708293002</v>
      </c>
      <c r="F3899">
        <v>13</v>
      </c>
    </row>
    <row r="3900" spans="1:9" x14ac:dyDescent="0.25">
      <c r="A3900">
        <v>449.14769436400002</v>
      </c>
      <c r="B3900">
        <v>468.99621296503</v>
      </c>
      <c r="C3900" s="1">
        <f t="shared" si="1144"/>
        <v>4.4191518402728835E-2</v>
      </c>
      <c r="D3900">
        <v>7.9249208502939998</v>
      </c>
      <c r="E3900">
        <v>0.53844145691207002</v>
      </c>
      <c r="F3900">
        <v>13</v>
      </c>
    </row>
    <row r="3901" spans="1:9" x14ac:dyDescent="0.25">
      <c r="A3901">
        <v>455.59010915571002</v>
      </c>
      <c r="B3901">
        <v>467.25729561150001</v>
      </c>
      <c r="C3901" s="1">
        <f t="shared" si="1144"/>
        <v>2.5608954675094608E-2</v>
      </c>
      <c r="D3901">
        <v>8.2822252374491008</v>
      </c>
      <c r="E3901">
        <v>0.56168072882355002</v>
      </c>
      <c r="F3901">
        <v>14</v>
      </c>
      <c r="H3901" t="s">
        <v>17</v>
      </c>
      <c r="I3901">
        <f t="shared" ref="I3901" si="1159">STDEVP(A3887:A3906)</f>
        <v>2.9621809043450664</v>
      </c>
    </row>
    <row r="3902" spans="1:9" x14ac:dyDescent="0.25">
      <c r="A3902">
        <v>450.34885275117</v>
      </c>
      <c r="B3902">
        <v>470.32078413901002</v>
      </c>
      <c r="C3902" s="1">
        <f t="shared" si="1144"/>
        <v>4.4347690164706632E-2</v>
      </c>
      <c r="D3902">
        <v>8.0949796472184996</v>
      </c>
      <c r="E3902">
        <v>0.55179432320362998</v>
      </c>
      <c r="F3902">
        <v>14</v>
      </c>
      <c r="H3902" t="s">
        <v>18</v>
      </c>
      <c r="I3902">
        <f t="shared" ref="I3902" si="1160">STDEVP(B3887:B3906)</f>
        <v>2.711086581088554</v>
      </c>
    </row>
    <row r="3903" spans="1:9" x14ac:dyDescent="0.25">
      <c r="A3903">
        <v>455.98618846068001</v>
      </c>
      <c r="B3903">
        <v>472.80686121630998</v>
      </c>
      <c r="C3903" s="1">
        <f t="shared" si="1144"/>
        <v>3.6888557551300494E-2</v>
      </c>
      <c r="D3903">
        <v>8.0796019900498006</v>
      </c>
      <c r="E3903">
        <v>0.54120270981040997</v>
      </c>
      <c r="F3903">
        <v>13</v>
      </c>
      <c r="H3903" t="s">
        <v>19</v>
      </c>
      <c r="I3903">
        <f t="shared" ref="I3903" si="1161">STDEVP(C3887:C3906)</f>
        <v>7.3739816455591538E-3</v>
      </c>
    </row>
    <row r="3904" spans="1:9" x14ac:dyDescent="0.25">
      <c r="A3904">
        <v>457.47694364001001</v>
      </c>
      <c r="B3904">
        <v>474.60458899533</v>
      </c>
      <c r="C3904" s="1">
        <f t="shared" si="1144"/>
        <v>3.7439362996177117E-2</v>
      </c>
      <c r="D3904">
        <v>8.4007236544549997</v>
      </c>
      <c r="E3904">
        <v>0.57120004683905001</v>
      </c>
      <c r="F3904">
        <v>12</v>
      </c>
      <c r="H3904" t="s">
        <v>20</v>
      </c>
      <c r="I3904">
        <f t="shared" ref="I3904" si="1162">STDEVP(D3887:D3906)</f>
        <v>0.14646643572629378</v>
      </c>
    </row>
    <row r="3905" spans="1:9" x14ac:dyDescent="0.25">
      <c r="A3905">
        <v>447.66718645577998</v>
      </c>
      <c r="B3905">
        <v>469.63599910893998</v>
      </c>
      <c r="C3905" s="1">
        <f t="shared" si="1144"/>
        <v>4.9073984687350025E-2</v>
      </c>
      <c r="D3905">
        <v>8.1058344640434008</v>
      </c>
      <c r="E3905">
        <v>0.55821473524734</v>
      </c>
      <c r="F3905">
        <v>13</v>
      </c>
      <c r="H3905" t="s">
        <v>21</v>
      </c>
      <c r="I3905">
        <f t="shared" ref="I3905" si="1163">STDEVP(E3887:E3906)</f>
        <v>1.264244128733613E-2</v>
      </c>
    </row>
    <row r="3906" spans="1:9" x14ac:dyDescent="0.25">
      <c r="A3906">
        <v>453.07596346625002</v>
      </c>
      <c r="B3906">
        <v>471.86544887502998</v>
      </c>
      <c r="C3906" s="1">
        <f t="shared" ref="C3906:C3969" si="1164">IFERROR((B3906/A3906)-1,"")</f>
        <v>4.1470938482437436E-2</v>
      </c>
      <c r="D3906">
        <v>8.3500678426052009</v>
      </c>
      <c r="E3906">
        <v>0.57367937171673999</v>
      </c>
      <c r="F3906">
        <v>13</v>
      </c>
      <c r="H3906" t="s">
        <v>22</v>
      </c>
      <c r="I3906">
        <f t="shared" ref="I3906" si="1165">STDEVP(F3887:F3906)</f>
        <v>0.62449979983983972</v>
      </c>
    </row>
    <row r="3907" spans="1:9" x14ac:dyDescent="0.25">
      <c r="C3907" s="1" t="str">
        <f t="shared" si="1164"/>
        <v/>
      </c>
    </row>
    <row r="3908" spans="1:9" x14ac:dyDescent="0.25">
      <c r="A3908">
        <v>649.45185185185005</v>
      </c>
      <c r="B3908">
        <v>669.89135802468002</v>
      </c>
      <c r="C3908" s="1">
        <f t="shared" si="1164"/>
        <v>3.1471934546877689E-2</v>
      </c>
      <c r="D3908">
        <v>8.1902621722845996</v>
      </c>
      <c r="E3908">
        <v>0.33333343139957</v>
      </c>
      <c r="F3908">
        <v>10</v>
      </c>
    </row>
    <row r="3909" spans="1:9" x14ac:dyDescent="0.25">
      <c r="A3909">
        <v>654.48888888888996</v>
      </c>
      <c r="B3909">
        <v>673.14074074073005</v>
      </c>
      <c r="C3909" s="1">
        <f t="shared" si="1164"/>
        <v>2.8498347593806983E-2</v>
      </c>
      <c r="D3909">
        <v>8.1797752808988999</v>
      </c>
      <c r="E3909">
        <v>0.32912460284516998</v>
      </c>
      <c r="F3909">
        <v>10</v>
      </c>
    </row>
    <row r="3910" spans="1:9" x14ac:dyDescent="0.25">
      <c r="A3910">
        <v>648.36049382715998</v>
      </c>
      <c r="B3910">
        <v>665.85925925925005</v>
      </c>
      <c r="C3910" s="1">
        <f t="shared" si="1164"/>
        <v>2.6989253044703343E-2</v>
      </c>
      <c r="D3910">
        <v>8.2406991260923999</v>
      </c>
      <c r="E3910">
        <v>0.33658072136808997</v>
      </c>
      <c r="F3910">
        <v>11</v>
      </c>
    </row>
    <row r="3911" spans="1:9" x14ac:dyDescent="0.25">
      <c r="A3911">
        <v>648.37037037036998</v>
      </c>
      <c r="B3911">
        <v>667.08395061727003</v>
      </c>
      <c r="C3911" s="1">
        <f t="shared" si="1164"/>
        <v>2.886248524313384E-2</v>
      </c>
      <c r="D3911">
        <v>8.0614232209738006</v>
      </c>
      <c r="E3911">
        <v>0.32687620108734999</v>
      </c>
      <c r="F3911">
        <v>10</v>
      </c>
    </row>
    <row r="3912" spans="1:9" x14ac:dyDescent="0.25">
      <c r="A3912">
        <v>647.77777777777999</v>
      </c>
      <c r="B3912">
        <v>668.51111111110004</v>
      </c>
      <c r="C3912" s="1">
        <f t="shared" si="1164"/>
        <v>3.2006861063444303E-2</v>
      </c>
      <c r="D3912">
        <v>8.0674157303370997</v>
      </c>
      <c r="E3912">
        <v>0.32768026700540998</v>
      </c>
      <c r="F3912">
        <v>11</v>
      </c>
    </row>
    <row r="3913" spans="1:9" x14ac:dyDescent="0.25">
      <c r="A3913">
        <v>653.76049382715996</v>
      </c>
      <c r="B3913">
        <v>670.51851851849995</v>
      </c>
      <c r="C3913" s="1">
        <f t="shared" si="1164"/>
        <v>2.563327831762563E-2</v>
      </c>
      <c r="D3913">
        <v>8.2721598002496997</v>
      </c>
      <c r="E3913">
        <v>0.33455219970217998</v>
      </c>
      <c r="F3913">
        <v>10</v>
      </c>
    </row>
    <row r="3914" spans="1:9" x14ac:dyDescent="0.25">
      <c r="A3914">
        <v>655.12098765431995</v>
      </c>
      <c r="B3914">
        <v>670.02469135801005</v>
      </c>
      <c r="C3914" s="1">
        <f t="shared" si="1164"/>
        <v>2.2749543953786588E-2</v>
      </c>
      <c r="D3914">
        <v>8.2297128589263</v>
      </c>
      <c r="E3914">
        <v>0.33149125782681998</v>
      </c>
      <c r="F3914">
        <v>11</v>
      </c>
    </row>
    <row r="3915" spans="1:9" x14ac:dyDescent="0.25">
      <c r="A3915">
        <v>654.42716049383</v>
      </c>
      <c r="B3915">
        <v>668.32592592591004</v>
      </c>
      <c r="C3915" s="1">
        <f t="shared" si="1164"/>
        <v>2.1238063257631445E-2</v>
      </c>
      <c r="D3915">
        <v>8.2541822721598006</v>
      </c>
      <c r="E3915">
        <v>0.33301988389128001</v>
      </c>
      <c r="F3915">
        <v>10</v>
      </c>
    </row>
    <row r="3916" spans="1:9" x14ac:dyDescent="0.25">
      <c r="A3916">
        <v>656.05679012346002</v>
      </c>
      <c r="B3916">
        <v>675.54567901232997</v>
      </c>
      <c r="C3916" s="1">
        <f t="shared" si="1164"/>
        <v>2.9706100420365145E-2</v>
      </c>
      <c r="D3916">
        <v>8.2916354556803995</v>
      </c>
      <c r="E3916">
        <v>0.33423023669967999</v>
      </c>
      <c r="F3916">
        <v>11</v>
      </c>
    </row>
    <row r="3917" spans="1:9" x14ac:dyDescent="0.25">
      <c r="A3917">
        <v>658.10864197530998</v>
      </c>
      <c r="B3917">
        <v>672.74567901233002</v>
      </c>
      <c r="C3917" s="1">
        <f t="shared" si="1164"/>
        <v>2.2241064929776622E-2</v>
      </c>
      <c r="D3917">
        <v>8.3650436953808001</v>
      </c>
      <c r="E3917">
        <v>0.33657283412612998</v>
      </c>
      <c r="F3917">
        <v>10</v>
      </c>
    </row>
    <row r="3918" spans="1:9" x14ac:dyDescent="0.25">
      <c r="A3918">
        <v>652.27654320987995</v>
      </c>
      <c r="B3918">
        <v>668.82716049381997</v>
      </c>
      <c r="C3918" s="1">
        <f t="shared" si="1164"/>
        <v>2.5373620217114867E-2</v>
      </c>
      <c r="D3918">
        <v>8.1263420724094999</v>
      </c>
      <c r="E3918">
        <v>0.32753511089762</v>
      </c>
      <c r="F3918">
        <v>11</v>
      </c>
    </row>
    <row r="3919" spans="1:9" x14ac:dyDescent="0.25">
      <c r="A3919">
        <v>658.09629629630001</v>
      </c>
      <c r="B3919">
        <v>675.31358024689996</v>
      </c>
      <c r="C3919" s="1">
        <f t="shared" si="1164"/>
        <v>2.6162256264770312E-2</v>
      </c>
      <c r="D3919">
        <v>8.2666666666666995</v>
      </c>
      <c r="E3919">
        <v>0.33169092996233002</v>
      </c>
      <c r="F3919">
        <v>10</v>
      </c>
    </row>
    <row r="3920" spans="1:9" x14ac:dyDescent="0.25">
      <c r="A3920">
        <v>651.60740740741005</v>
      </c>
      <c r="B3920">
        <v>668.46172839505005</v>
      </c>
      <c r="C3920" s="1">
        <f t="shared" si="1164"/>
        <v>2.5865760266138293E-2</v>
      </c>
      <c r="D3920">
        <v>8.0868913857677995</v>
      </c>
      <c r="E3920">
        <v>0.32612432702457</v>
      </c>
      <c r="F3920">
        <v>10</v>
      </c>
    </row>
    <row r="3921" spans="1:9" x14ac:dyDescent="0.25">
      <c r="A3921">
        <v>653.53333333333001</v>
      </c>
      <c r="B3921">
        <v>670.54814814813994</v>
      </c>
      <c r="C3921" s="1">
        <f t="shared" si="1164"/>
        <v>2.6035113967372236E-2</v>
      </c>
      <c r="D3921">
        <v>8.1213483146066991</v>
      </c>
      <c r="E3921">
        <v>0.32651329928592998</v>
      </c>
      <c r="F3921">
        <v>11</v>
      </c>
    </row>
    <row r="3922" spans="1:9" x14ac:dyDescent="0.25">
      <c r="A3922">
        <v>652.43209876543006</v>
      </c>
      <c r="B3922">
        <v>670.34567901233004</v>
      </c>
      <c r="C3922" s="1">
        <f t="shared" si="1164"/>
        <v>2.7456620054097769E-2</v>
      </c>
      <c r="D3922">
        <v>8.2521847690386991</v>
      </c>
      <c r="E3922">
        <v>0.33418748575933999</v>
      </c>
      <c r="F3922">
        <v>10</v>
      </c>
      <c r="H3922" t="s">
        <v>17</v>
      </c>
      <c r="I3922">
        <f t="shared" ref="I3922" si="1166">STDEVP(A3908:A3927)</f>
        <v>3.2442057901226593</v>
      </c>
    </row>
    <row r="3923" spans="1:9" x14ac:dyDescent="0.25">
      <c r="A3923">
        <v>653.73827160494</v>
      </c>
      <c r="B3923">
        <v>668.94320987652998</v>
      </c>
      <c r="C3923" s="1">
        <f t="shared" si="1164"/>
        <v>2.3258449033833672E-2</v>
      </c>
      <c r="D3923">
        <v>8.2002496878900999</v>
      </c>
      <c r="E3923">
        <v>0.33097534851823002</v>
      </c>
      <c r="F3923">
        <v>11</v>
      </c>
      <c r="H3923" t="s">
        <v>18</v>
      </c>
      <c r="I3923">
        <f t="shared" ref="I3923" si="1167">STDEVP(B3908:B3927)</f>
        <v>2.6953419686555149</v>
      </c>
    </row>
    <row r="3924" spans="1:9" x14ac:dyDescent="0.25">
      <c r="A3924">
        <v>649.83209876543003</v>
      </c>
      <c r="B3924">
        <v>668.69382716048005</v>
      </c>
      <c r="C3924" s="1">
        <f t="shared" si="1164"/>
        <v>2.9025541260402576E-2</v>
      </c>
      <c r="D3924">
        <v>8.1578027465667997</v>
      </c>
      <c r="E3924">
        <v>0.33108471736180001</v>
      </c>
      <c r="F3924">
        <v>10</v>
      </c>
      <c r="H3924" t="s">
        <v>19</v>
      </c>
      <c r="I3924">
        <f t="shared" ref="I3924" si="1168">STDEVP(C3908:C3927)</f>
        <v>3.0295694721081193E-3</v>
      </c>
    </row>
    <row r="3925" spans="1:9" x14ac:dyDescent="0.25">
      <c r="A3925">
        <v>650.22222222222001</v>
      </c>
      <c r="B3925">
        <v>670.98024691357</v>
      </c>
      <c r="C3925" s="1">
        <f t="shared" si="1164"/>
        <v>3.1924508240285476E-2</v>
      </c>
      <c r="D3925">
        <v>8.3011235955056009</v>
      </c>
      <c r="E3925">
        <v>0.33853742546101001</v>
      </c>
      <c r="F3925">
        <v>11</v>
      </c>
      <c r="H3925" t="s">
        <v>20</v>
      </c>
      <c r="I3925">
        <f t="shared" ref="I3925" si="1169">STDEVP(D3908:D3927)</f>
        <v>8.4117697166772462E-2</v>
      </c>
    </row>
    <row r="3926" spans="1:9" x14ac:dyDescent="0.25">
      <c r="A3926">
        <v>646.93333333332998</v>
      </c>
      <c r="B3926">
        <v>665.20740740738995</v>
      </c>
      <c r="C3926" s="1">
        <f t="shared" si="1164"/>
        <v>2.8247229092219772E-2</v>
      </c>
      <c r="D3926">
        <v>8.1123595505618002</v>
      </c>
      <c r="E3926">
        <v>0.33074075353410998</v>
      </c>
      <c r="F3926">
        <v>10</v>
      </c>
      <c r="H3926" t="s">
        <v>21</v>
      </c>
      <c r="I3926">
        <f t="shared" ref="I3926" si="1170">STDEVP(E3908:E3927)</f>
        <v>3.533716701596567E-3</v>
      </c>
    </row>
    <row r="3927" spans="1:9" x14ac:dyDescent="0.25">
      <c r="A3927">
        <v>655.03456790124005</v>
      </c>
      <c r="B3927">
        <v>672.67901234566</v>
      </c>
      <c r="C3927" s="1">
        <f t="shared" si="1164"/>
        <v>2.6936661527579453E-2</v>
      </c>
      <c r="D3927">
        <v>8.2826466916353993</v>
      </c>
      <c r="E3927">
        <v>0.33436495618452999</v>
      </c>
      <c r="F3927">
        <v>10</v>
      </c>
      <c r="H3927" t="s">
        <v>22</v>
      </c>
      <c r="I3927">
        <f t="shared" ref="I3927" si="1171">STDEVP(F3908:F3927)</f>
        <v>0.48989794855663554</v>
      </c>
    </row>
    <row r="3928" spans="1:9" x14ac:dyDescent="0.25">
      <c r="C3928" s="1" t="str">
        <f t="shared" si="1164"/>
        <v/>
      </c>
    </row>
    <row r="3929" spans="1:9" x14ac:dyDescent="0.25">
      <c r="A3929">
        <v>1171.7269551196</v>
      </c>
      <c r="B3929">
        <v>1205.7871539908999</v>
      </c>
      <c r="C3929" s="1">
        <f t="shared" si="1164"/>
        <v>2.9068375292111703E-2</v>
      </c>
      <c r="D3929">
        <v>15.099453551912999</v>
      </c>
      <c r="E3929">
        <v>0.34024120914662997</v>
      </c>
      <c r="F3929">
        <v>23</v>
      </c>
    </row>
    <row r="3930" spans="1:9" x14ac:dyDescent="0.25">
      <c r="A3930">
        <v>1156.7992475141</v>
      </c>
      <c r="B3930">
        <v>1196.7078742274</v>
      </c>
      <c r="C3930" s="1">
        <f t="shared" si="1164"/>
        <v>3.4499181080089425E-2</v>
      </c>
      <c r="D3930">
        <v>14.728961748633999</v>
      </c>
      <c r="E3930">
        <v>0.33486495976129999</v>
      </c>
      <c r="F3930">
        <v>23</v>
      </c>
    </row>
    <row r="3931" spans="1:9" x14ac:dyDescent="0.25">
      <c r="A3931">
        <v>1172.1650094060999</v>
      </c>
      <c r="B3931">
        <v>1208.6638000537</v>
      </c>
      <c r="C3931" s="1">
        <f t="shared" si="1164"/>
        <v>3.1137928836566298E-2</v>
      </c>
      <c r="D3931">
        <v>15.330054644809</v>
      </c>
      <c r="E3931">
        <v>0.34715322863414999</v>
      </c>
      <c r="F3931">
        <v>23</v>
      </c>
    </row>
    <row r="3932" spans="1:9" x14ac:dyDescent="0.25">
      <c r="A3932">
        <v>1164.6740123622999</v>
      </c>
      <c r="B3932">
        <v>1203.5630206933999</v>
      </c>
      <c r="C3932" s="1">
        <f t="shared" si="1164"/>
        <v>3.3390466274955122E-2</v>
      </c>
      <c r="D3932">
        <v>15.144262295081999</v>
      </c>
      <c r="E3932">
        <v>0.34454299135920002</v>
      </c>
      <c r="F3932">
        <v>23</v>
      </c>
    </row>
    <row r="3933" spans="1:9" x14ac:dyDescent="0.25">
      <c r="A3933">
        <v>1167.827465735</v>
      </c>
      <c r="B3933">
        <v>1200.1865090030001</v>
      </c>
      <c r="C3933" s="1">
        <f t="shared" si="1164"/>
        <v>2.7708753405310649E-2</v>
      </c>
      <c r="D3933">
        <v>14.892896174863001</v>
      </c>
      <c r="E3933">
        <v>0.33529457229810999</v>
      </c>
      <c r="F3933">
        <v>23</v>
      </c>
    </row>
    <row r="3934" spans="1:9" x14ac:dyDescent="0.25">
      <c r="A3934">
        <v>1172.8873958613001</v>
      </c>
      <c r="B3934">
        <v>1205.8328406342</v>
      </c>
      <c r="C3934" s="1">
        <f t="shared" si="1164"/>
        <v>2.8089179651134888E-2</v>
      </c>
      <c r="D3934">
        <v>14.793442622951</v>
      </c>
      <c r="E3934">
        <v>0.33113463370115997</v>
      </c>
      <c r="F3934">
        <v>23</v>
      </c>
    </row>
    <row r="3935" spans="1:9" x14ac:dyDescent="0.25">
      <c r="A3935">
        <v>1166.6664875034</v>
      </c>
      <c r="B3935">
        <v>1202.8503090567001</v>
      </c>
      <c r="C3935" s="1">
        <f t="shared" si="1164"/>
        <v>3.1014708951425662E-2</v>
      </c>
      <c r="D3935">
        <v>15.100546448087</v>
      </c>
      <c r="E3935">
        <v>0.34230393236114998</v>
      </c>
      <c r="F3935">
        <v>23</v>
      </c>
    </row>
    <row r="3936" spans="1:9" x14ac:dyDescent="0.25">
      <c r="A3936">
        <v>1168.5536146197001</v>
      </c>
      <c r="B3936">
        <v>1199.8371405536</v>
      </c>
      <c r="C3936" s="1">
        <f t="shared" si="1164"/>
        <v>2.6771151569353613E-2</v>
      </c>
      <c r="D3936">
        <v>14.844808743169001</v>
      </c>
      <c r="E3936">
        <v>0.33358972816169002</v>
      </c>
      <c r="F3936">
        <v>23</v>
      </c>
    </row>
    <row r="3937" spans="1:9" x14ac:dyDescent="0.25">
      <c r="A3937">
        <v>1163.1099166890999</v>
      </c>
      <c r="B3937">
        <v>1193.6054823971999</v>
      </c>
      <c r="C3937" s="1">
        <f t="shared" si="1164"/>
        <v>2.6218988653203601E-2</v>
      </c>
      <c r="D3937">
        <v>14.981420765027</v>
      </c>
      <c r="E3937">
        <v>0.33995677248443001</v>
      </c>
      <c r="F3937">
        <v>23</v>
      </c>
    </row>
    <row r="3938" spans="1:9" x14ac:dyDescent="0.25">
      <c r="A3938">
        <v>1171.5114216607999</v>
      </c>
      <c r="B3938">
        <v>1207.3039505509</v>
      </c>
      <c r="C3938" s="1">
        <f t="shared" si="1164"/>
        <v>3.05524369872201E-2</v>
      </c>
      <c r="D3938">
        <v>14.856830601093</v>
      </c>
      <c r="E3938">
        <v>0.33298998971038002</v>
      </c>
      <c r="F3938">
        <v>23</v>
      </c>
    </row>
    <row r="3939" spans="1:9" x14ac:dyDescent="0.25">
      <c r="A3939">
        <v>1177.2856758936</v>
      </c>
      <c r="B3939">
        <v>1216.7062617576</v>
      </c>
      <c r="C3939" s="1">
        <f t="shared" si="1164"/>
        <v>3.3484299241200333E-2</v>
      </c>
      <c r="D3939">
        <v>15.145355191257</v>
      </c>
      <c r="E3939">
        <v>0.339459687294</v>
      </c>
      <c r="F3939">
        <v>23</v>
      </c>
    </row>
    <row r="3940" spans="1:9" x14ac:dyDescent="0.25">
      <c r="A3940">
        <v>1163.4114485353</v>
      </c>
      <c r="B3940">
        <v>1203.3270626175999</v>
      </c>
      <c r="C3940" s="1">
        <f t="shared" si="1164"/>
        <v>3.4309112337301162E-2</v>
      </c>
      <c r="D3940">
        <v>14.961748633879999</v>
      </c>
      <c r="E3940">
        <v>0.33941654000492999</v>
      </c>
      <c r="F3940">
        <v>23</v>
      </c>
    </row>
    <row r="3941" spans="1:9" x14ac:dyDescent="0.25">
      <c r="A3941">
        <v>1156.0532115023</v>
      </c>
      <c r="B3941">
        <v>1189.2045149153</v>
      </c>
      <c r="C3941" s="1">
        <f t="shared" si="1164"/>
        <v>2.8676278118651366E-2</v>
      </c>
      <c r="D3941">
        <v>14.804371584699</v>
      </c>
      <c r="E3941">
        <v>0.33721954234988999</v>
      </c>
      <c r="F3941">
        <v>23</v>
      </c>
    </row>
    <row r="3942" spans="1:9" x14ac:dyDescent="0.25">
      <c r="A3942">
        <v>1167.5651706531</v>
      </c>
      <c r="B3942">
        <v>1205.1190540176999</v>
      </c>
      <c r="C3942" s="1">
        <f t="shared" si="1164"/>
        <v>3.2164271689941959E-2</v>
      </c>
      <c r="D3942">
        <v>14.826229508197001</v>
      </c>
      <c r="E3942">
        <v>0.33392917089385998</v>
      </c>
      <c r="F3942">
        <v>23</v>
      </c>
    </row>
    <row r="3943" spans="1:9" x14ac:dyDescent="0.25">
      <c r="A3943">
        <v>1162.2655200214999</v>
      </c>
      <c r="B3943">
        <v>1206.3004568664001</v>
      </c>
      <c r="C3943" s="1">
        <f t="shared" si="1164"/>
        <v>3.7887157526694581E-2</v>
      </c>
      <c r="D3943">
        <v>14.790163934425999</v>
      </c>
      <c r="E3943">
        <v>0.33442164072313002</v>
      </c>
      <c r="F3943">
        <v>22</v>
      </c>
      <c r="H3943" t="s">
        <v>17</v>
      </c>
      <c r="I3943">
        <f t="shared" ref="I3943" si="1172">STDEVP(A3929:A3948)</f>
        <v>5.3917805242836279</v>
      </c>
    </row>
    <row r="3944" spans="1:9" x14ac:dyDescent="0.25">
      <c r="A3944">
        <v>1159.1964525665001</v>
      </c>
      <c r="B3944">
        <v>1202.6643375437</v>
      </c>
      <c r="C3944" s="1">
        <f t="shared" si="1164"/>
        <v>3.7498290200043805E-2</v>
      </c>
      <c r="D3944">
        <v>14.884153005464</v>
      </c>
      <c r="E3944">
        <v>0.33847380791838999</v>
      </c>
      <c r="F3944">
        <v>23</v>
      </c>
      <c r="H3944" t="s">
        <v>18</v>
      </c>
      <c r="I3944">
        <f t="shared" ref="I3944" si="1173">STDEVP(B3929:B3948)</f>
        <v>5.6521703248923609</v>
      </c>
    </row>
    <row r="3945" spans="1:9" x14ac:dyDescent="0.25">
      <c r="A3945">
        <v>1170.4230045687</v>
      </c>
      <c r="B3945">
        <v>1205.3276001075001</v>
      </c>
      <c r="C3945" s="1">
        <f t="shared" si="1164"/>
        <v>2.982220564919813E-2</v>
      </c>
      <c r="D3945">
        <v>15.009836065574</v>
      </c>
      <c r="E3945">
        <v>0.33813942687555998</v>
      </c>
      <c r="F3945">
        <v>23</v>
      </c>
      <c r="H3945" t="s">
        <v>19</v>
      </c>
      <c r="I3945">
        <f t="shared" ref="I3945" si="1174">STDEVP(C3929:C3948)</f>
        <v>3.4591349459992321E-3</v>
      </c>
    </row>
    <row r="3946" spans="1:9" x14ac:dyDescent="0.25">
      <c r="A3946">
        <v>1170.3929051330001</v>
      </c>
      <c r="B3946">
        <v>1199.3824240795</v>
      </c>
      <c r="C3946" s="1">
        <f t="shared" si="1164"/>
        <v>2.4769048769315294E-2</v>
      </c>
      <c r="D3946">
        <v>15.234972677596</v>
      </c>
      <c r="E3946">
        <v>0.34506450159301</v>
      </c>
      <c r="F3946">
        <v>23</v>
      </c>
      <c r="H3946" t="s">
        <v>20</v>
      </c>
      <c r="I3946">
        <f t="shared" ref="I3946" si="1175">STDEVP(D3929:D3948)</f>
        <v>0.1705636320599368</v>
      </c>
    </row>
    <row r="3947" spans="1:9" x14ac:dyDescent="0.25">
      <c r="A3947">
        <v>1165.4969094329001</v>
      </c>
      <c r="B3947">
        <v>1199.317387799</v>
      </c>
      <c r="C3947" s="1">
        <f t="shared" si="1164"/>
        <v>2.901807640361409E-2</v>
      </c>
      <c r="D3947">
        <v>14.734426229507999</v>
      </c>
      <c r="E3947">
        <v>0.33161848460156002</v>
      </c>
      <c r="F3947">
        <v>23</v>
      </c>
      <c r="H3947" t="s">
        <v>21</v>
      </c>
      <c r="I3947">
        <f t="shared" ref="I3947" si="1176">STDEVP(E3929:E3948)</f>
        <v>4.5437918541609435E-3</v>
      </c>
    </row>
    <row r="3948" spans="1:9" x14ac:dyDescent="0.25">
      <c r="A3948">
        <v>1164.882558452</v>
      </c>
      <c r="B3948">
        <v>1201.2416017200001</v>
      </c>
      <c r="C3948" s="1">
        <f t="shared" si="1164"/>
        <v>3.1212625688479045E-2</v>
      </c>
      <c r="D3948">
        <v>15.108196721311</v>
      </c>
      <c r="E3948">
        <v>0.34305318731885998</v>
      </c>
      <c r="F3948">
        <v>23</v>
      </c>
      <c r="H3948" t="s">
        <v>22</v>
      </c>
      <c r="I3948">
        <f t="shared" ref="I3948" si="1177">STDEVP(F3929:F3948)</f>
        <v>0.21794494717703367</v>
      </c>
    </row>
    <row r="3949" spans="1:9" x14ac:dyDescent="0.25">
      <c r="C3949" s="1" t="str">
        <f t="shared" si="1164"/>
        <v/>
      </c>
    </row>
    <row r="3950" spans="1:9" x14ac:dyDescent="0.25">
      <c r="A3950">
        <v>285.94420963651999</v>
      </c>
      <c r="B3950">
        <v>296.85038038883999</v>
      </c>
      <c r="C3950" s="1">
        <f t="shared" si="1164"/>
        <v>3.8140904360971284E-2</v>
      </c>
      <c r="D3950">
        <v>6.1538461538462004</v>
      </c>
      <c r="E3950">
        <v>0.74795228737536001</v>
      </c>
      <c r="F3950">
        <v>10</v>
      </c>
    </row>
    <row r="3951" spans="1:9" x14ac:dyDescent="0.25">
      <c r="A3951">
        <v>285.40659340658999</v>
      </c>
      <c r="B3951">
        <v>297.47735780702999</v>
      </c>
      <c r="C3951" s="1">
        <f t="shared" si="1164"/>
        <v>4.2293221948253912E-2</v>
      </c>
      <c r="D3951">
        <v>6.0444444444443999</v>
      </c>
      <c r="E3951">
        <v>0.72577609782614005</v>
      </c>
      <c r="F3951">
        <v>10</v>
      </c>
    </row>
    <row r="3952" spans="1:9" x14ac:dyDescent="0.25">
      <c r="A3952">
        <v>288.14804975244999</v>
      </c>
      <c r="B3952">
        <v>298.43980195629001</v>
      </c>
      <c r="C3952" s="1">
        <f t="shared" si="1164"/>
        <v>3.5716890024700021E-2</v>
      </c>
      <c r="D3952">
        <v>6.0263736263735996</v>
      </c>
      <c r="E3952">
        <v>0.71136939615955996</v>
      </c>
      <c r="F3952">
        <v>10</v>
      </c>
    </row>
    <row r="3953" spans="1:9" x14ac:dyDescent="0.25">
      <c r="A3953">
        <v>285.69472285955999</v>
      </c>
      <c r="B3953">
        <v>295.90943122811001</v>
      </c>
      <c r="C3953" s="1">
        <f t="shared" si="1164"/>
        <v>3.5753927361029003E-2</v>
      </c>
      <c r="D3953">
        <v>5.9667887667887998</v>
      </c>
      <c r="E3953">
        <v>0.71048120294352002</v>
      </c>
      <c r="F3953">
        <v>11</v>
      </c>
    </row>
    <row r="3954" spans="1:9" x14ac:dyDescent="0.25">
      <c r="A3954">
        <v>286.92066175583</v>
      </c>
      <c r="B3954">
        <v>297.70486656201001</v>
      </c>
      <c r="C3954" s="1">
        <f t="shared" si="1164"/>
        <v>3.7586016776154585E-2</v>
      </c>
      <c r="D3954">
        <v>6.0332112332112002</v>
      </c>
      <c r="E3954">
        <v>0.71830578381966004</v>
      </c>
      <c r="F3954">
        <v>10</v>
      </c>
    </row>
    <row r="3955" spans="1:9" x14ac:dyDescent="0.25">
      <c r="A3955">
        <v>283.25371331964999</v>
      </c>
      <c r="B3955">
        <v>296.89820070040003</v>
      </c>
      <c r="C3955" s="1">
        <f t="shared" si="1164"/>
        <v>4.8170550778807719E-2</v>
      </c>
      <c r="D3955">
        <v>5.9956043956044001</v>
      </c>
      <c r="E3955">
        <v>0.72682090812019995</v>
      </c>
      <c r="F3955">
        <v>10</v>
      </c>
    </row>
    <row r="3956" spans="1:9" x14ac:dyDescent="0.25">
      <c r="A3956">
        <v>287.57323994686999</v>
      </c>
      <c r="B3956">
        <v>296.06593406592998</v>
      </c>
      <c r="C3956" s="1">
        <f t="shared" si="1164"/>
        <v>2.9532282352241923E-2</v>
      </c>
      <c r="D3956">
        <v>6.0639804639805002</v>
      </c>
      <c r="E3956">
        <v>0.72219521859168001</v>
      </c>
      <c r="F3956">
        <v>10</v>
      </c>
    </row>
    <row r="3957" spans="1:9" x14ac:dyDescent="0.25">
      <c r="A3957">
        <v>289.37495471560999</v>
      </c>
      <c r="B3957">
        <v>299.76113995894002</v>
      </c>
      <c r="C3957" s="1">
        <f t="shared" si="1164"/>
        <v>3.5891790474878116E-2</v>
      </c>
      <c r="D3957">
        <v>6.1772893772893998</v>
      </c>
      <c r="E3957">
        <v>0.73746403285995998</v>
      </c>
      <c r="F3957">
        <v>11</v>
      </c>
    </row>
    <row r="3958" spans="1:9" x14ac:dyDescent="0.25">
      <c r="A3958">
        <v>283.4635913537</v>
      </c>
      <c r="B3958">
        <v>293.92319768144</v>
      </c>
      <c r="C3958" s="1">
        <f t="shared" si="1164"/>
        <v>3.689929376040646E-2</v>
      </c>
      <c r="D3958">
        <v>6.0073260073260002</v>
      </c>
      <c r="E3958">
        <v>0.72834933503451005</v>
      </c>
      <c r="F3958">
        <v>10</v>
      </c>
    </row>
    <row r="3959" spans="1:9" x14ac:dyDescent="0.25">
      <c r="A3959">
        <v>288.47627098177003</v>
      </c>
      <c r="B3959">
        <v>298.67334862938998</v>
      </c>
      <c r="C3959" s="1">
        <f t="shared" si="1164"/>
        <v>3.5348063856053935E-2</v>
      </c>
      <c r="D3959">
        <v>6.0996336996337002</v>
      </c>
      <c r="E3959">
        <v>0.72479661551154995</v>
      </c>
      <c r="F3959">
        <v>10</v>
      </c>
    </row>
    <row r="3960" spans="1:9" x14ac:dyDescent="0.25">
      <c r="A3960">
        <v>290.73203719358003</v>
      </c>
      <c r="B3960">
        <v>301.59859920299999</v>
      </c>
      <c r="C3960" s="1">
        <f t="shared" si="1164"/>
        <v>3.7376555106600096E-2</v>
      </c>
      <c r="D3960">
        <v>6.1914529914529997</v>
      </c>
      <c r="E3960">
        <v>0.73333164633795</v>
      </c>
      <c r="F3960">
        <v>11</v>
      </c>
    </row>
    <row r="3961" spans="1:9" x14ac:dyDescent="0.25">
      <c r="A3961">
        <v>291.63989856298002</v>
      </c>
      <c r="B3961">
        <v>300.75184156503002</v>
      </c>
      <c r="C3961" s="1">
        <f t="shared" si="1164"/>
        <v>3.1243814879061471E-2</v>
      </c>
      <c r="D3961">
        <v>6.1606837606838001</v>
      </c>
      <c r="E3961">
        <v>0.72520673755676002</v>
      </c>
      <c r="F3961">
        <v>10</v>
      </c>
    </row>
    <row r="3962" spans="1:9" x14ac:dyDescent="0.25">
      <c r="A3962">
        <v>290.97814273637999</v>
      </c>
      <c r="B3962">
        <v>298.57625890592999</v>
      </c>
      <c r="C3962" s="1">
        <f t="shared" si="1164"/>
        <v>2.6112326163390653E-2</v>
      </c>
      <c r="D3962">
        <v>6.1494505494505001</v>
      </c>
      <c r="E3962">
        <v>0.72380259719786999</v>
      </c>
      <c r="F3962">
        <v>10</v>
      </c>
    </row>
    <row r="3963" spans="1:9" x14ac:dyDescent="0.25">
      <c r="A3963">
        <v>290.52795556092002</v>
      </c>
      <c r="B3963">
        <v>299.47470112305001</v>
      </c>
      <c r="C3963" s="1">
        <f t="shared" si="1164"/>
        <v>3.0794783740712983E-2</v>
      </c>
      <c r="D3963">
        <v>6.1089133089132996</v>
      </c>
      <c r="E3963">
        <v>0.71989507101529004</v>
      </c>
      <c r="F3963">
        <v>11</v>
      </c>
    </row>
    <row r="3964" spans="1:9" x14ac:dyDescent="0.25">
      <c r="A3964">
        <v>286.22412752083</v>
      </c>
      <c r="B3964">
        <v>296.78758604032998</v>
      </c>
      <c r="C3964" s="1">
        <f t="shared" si="1164"/>
        <v>3.6906247600427156E-2</v>
      </c>
      <c r="D3964">
        <v>6.0913308913308999</v>
      </c>
      <c r="E3964">
        <v>0.73372550982854001</v>
      </c>
      <c r="F3964">
        <v>10</v>
      </c>
      <c r="H3964" t="s">
        <v>17</v>
      </c>
      <c r="I3964">
        <f t="shared" ref="I3964" si="1178">STDEVP(A3950:A3969)</f>
        <v>2.4097354181539283</v>
      </c>
    </row>
    <row r="3965" spans="1:9" x14ac:dyDescent="0.25">
      <c r="A3965">
        <v>291.38026808356</v>
      </c>
      <c r="B3965">
        <v>299.67419393793</v>
      </c>
      <c r="C3965" s="1">
        <f t="shared" si="1164"/>
        <v>2.8464267360724493E-2</v>
      </c>
      <c r="D3965">
        <v>6.1753357753357996</v>
      </c>
      <c r="E3965">
        <v>0.72797949899936998</v>
      </c>
      <c r="F3965">
        <v>10</v>
      </c>
      <c r="H3965" t="s">
        <v>18</v>
      </c>
      <c r="I3965">
        <f t="shared" ref="I3965" si="1179">STDEVP(B3950:B3969)</f>
        <v>1.8109900118874225</v>
      </c>
    </row>
    <row r="3966" spans="1:9" x14ac:dyDescent="0.25">
      <c r="A3966">
        <v>286.59123294288003</v>
      </c>
      <c r="B3966">
        <v>297.69158314213001</v>
      </c>
      <c r="C3966" s="1">
        <f t="shared" si="1164"/>
        <v>3.8732343921568546E-2</v>
      </c>
      <c r="D3966">
        <v>6.1098901098900997</v>
      </c>
      <c r="E3966">
        <v>0.73547577940042996</v>
      </c>
      <c r="F3966">
        <v>10</v>
      </c>
      <c r="H3966" t="s">
        <v>19</v>
      </c>
      <c r="I3966">
        <f t="shared" ref="I3966" si="1180">STDEVP(C3950:C3969)</f>
        <v>4.9958694493502202E-3</v>
      </c>
    </row>
    <row r="3967" spans="1:9" x14ac:dyDescent="0.25">
      <c r="A3967">
        <v>287.86523366743</v>
      </c>
      <c r="B3967">
        <v>296.29682405506998</v>
      </c>
      <c r="C3967" s="1">
        <f t="shared" si="1164"/>
        <v>2.9290061464598338E-2</v>
      </c>
      <c r="D3967">
        <v>6.1020757020756999</v>
      </c>
      <c r="E3967">
        <v>0.72806485242487995</v>
      </c>
      <c r="F3967">
        <v>11</v>
      </c>
      <c r="H3967" t="s">
        <v>20</v>
      </c>
      <c r="I3967">
        <f t="shared" ref="I3967" si="1181">STDEVP(D3950:D3969)</f>
        <v>6.715833047904711E-2</v>
      </c>
    </row>
    <row r="3968" spans="1:9" x14ac:dyDescent="0.25">
      <c r="A3968">
        <v>288.99142615625999</v>
      </c>
      <c r="B3968">
        <v>299.96860282575</v>
      </c>
      <c r="C3968" s="1">
        <f t="shared" si="1164"/>
        <v>3.798443716996136E-2</v>
      </c>
      <c r="D3968">
        <v>6.1890109890109999</v>
      </c>
      <c r="E3968">
        <v>0.7416711697699</v>
      </c>
      <c r="F3968">
        <v>10</v>
      </c>
      <c r="H3968" t="s">
        <v>21</v>
      </c>
      <c r="I3968">
        <f t="shared" ref="I3968" si="1182">STDEVP(E3950:E3969)</f>
        <v>9.2620925232875222E-3</v>
      </c>
    </row>
    <row r="3969" spans="1:9" x14ac:dyDescent="0.25">
      <c r="A3969">
        <v>287.44692669966997</v>
      </c>
      <c r="B3969">
        <v>298.27653665015998</v>
      </c>
      <c r="C3969" s="1">
        <f t="shared" si="1164"/>
        <v>3.7675163463497308E-2</v>
      </c>
      <c r="D3969">
        <v>6.1387057387057</v>
      </c>
      <c r="E3969">
        <v>0.73825271315990004</v>
      </c>
      <c r="F3969">
        <v>10</v>
      </c>
      <c r="H3969" t="s">
        <v>22</v>
      </c>
      <c r="I3969">
        <f t="shared" ref="I3969" si="1183">STDEVP(F3950:F3969)</f>
        <v>0.4330127018922193</v>
      </c>
    </row>
    <row r="3970" spans="1:9" x14ac:dyDescent="0.25">
      <c r="C3970" s="1" t="str">
        <f t="shared" ref="C3970:C4033" si="1184">IFERROR((B3970/A3970)-1,"")</f>
        <v/>
      </c>
    </row>
    <row r="3971" spans="1:9" x14ac:dyDescent="0.25">
      <c r="A3971">
        <v>2682.2460592080001</v>
      </c>
      <c r="B3971">
        <v>2731.6985774702998</v>
      </c>
      <c r="C3971" s="1">
        <f t="shared" si="1184"/>
        <v>1.8436980489739963E-2</v>
      </c>
      <c r="D3971">
        <v>18.812549019607999</v>
      </c>
      <c r="E3971">
        <v>0.15957705039605</v>
      </c>
      <c r="F3971">
        <v>432</v>
      </c>
    </row>
    <row r="3972" spans="1:9" x14ac:dyDescent="0.25">
      <c r="A3972">
        <v>2692.7766243751998</v>
      </c>
      <c r="B3972">
        <v>2748.8758169934999</v>
      </c>
      <c r="C3972" s="1">
        <f t="shared" si="1184"/>
        <v>2.0833214352236507E-2</v>
      </c>
      <c r="D3972">
        <v>18.699607843136999</v>
      </c>
      <c r="E3972">
        <v>0.15778994497634</v>
      </c>
      <c r="F3972">
        <v>345</v>
      </c>
    </row>
    <row r="3973" spans="1:9" x14ac:dyDescent="0.25">
      <c r="A3973">
        <v>2682.5028835062999</v>
      </c>
      <c r="B3973">
        <v>2733.5778546713</v>
      </c>
      <c r="C3973" s="1">
        <f t="shared" si="1184"/>
        <v>1.9040043341254531E-2</v>
      </c>
      <c r="D3973">
        <v>19.157647058824001</v>
      </c>
      <c r="E3973">
        <v>0.16294550078636</v>
      </c>
      <c r="F3973">
        <v>412</v>
      </c>
    </row>
    <row r="3974" spans="1:9" x14ac:dyDescent="0.25">
      <c r="A3974">
        <v>2693.5509419454002</v>
      </c>
      <c r="B3974">
        <v>2749.2064590543</v>
      </c>
      <c r="C3974" s="1">
        <f t="shared" si="1184"/>
        <v>2.0662507711364464E-2</v>
      </c>
      <c r="D3974">
        <v>18.985098039215998</v>
      </c>
      <c r="E3974">
        <v>0.16054477323534</v>
      </c>
      <c r="F3974">
        <v>340</v>
      </c>
    </row>
    <row r="3975" spans="1:9" x14ac:dyDescent="0.25">
      <c r="A3975">
        <v>2690.0730488273998</v>
      </c>
      <c r="B3975">
        <v>2757.5570934256998</v>
      </c>
      <c r="C3975" s="1">
        <f t="shared" si="1184"/>
        <v>2.5086324190235709E-2</v>
      </c>
      <c r="D3975">
        <v>18.713725490196001</v>
      </c>
      <c r="E3975">
        <v>0.1581531469952</v>
      </c>
      <c r="F3975">
        <v>419</v>
      </c>
    </row>
    <row r="3976" spans="1:9" x14ac:dyDescent="0.25">
      <c r="A3976">
        <v>2710.1906958862</v>
      </c>
      <c r="B3976">
        <v>2756.9665513264999</v>
      </c>
      <c r="C3976" s="1">
        <f t="shared" si="1184"/>
        <v>1.7259248772162339E-2</v>
      </c>
      <c r="D3976">
        <v>18.873725490196001</v>
      </c>
      <c r="E3976">
        <v>0.15842616447444999</v>
      </c>
      <c r="F3976">
        <v>345</v>
      </c>
    </row>
    <row r="3977" spans="1:9" x14ac:dyDescent="0.25">
      <c r="A3977">
        <v>2680.6443675508999</v>
      </c>
      <c r="B3977">
        <v>2738.1168781237998</v>
      </c>
      <c r="C3977" s="1">
        <f t="shared" si="1184"/>
        <v>2.1439811736537084E-2</v>
      </c>
      <c r="D3977">
        <v>18.956862745098</v>
      </c>
      <c r="E3977">
        <v>0.1610823410576</v>
      </c>
      <c r="F3977">
        <v>462</v>
      </c>
    </row>
    <row r="3978" spans="1:9" x14ac:dyDescent="0.25">
      <c r="A3978">
        <v>2676.1891580161</v>
      </c>
      <c r="B3978">
        <v>2739.2825836216998</v>
      </c>
      <c r="C3978" s="1">
        <f t="shared" si="1184"/>
        <v>2.3575846803135514E-2</v>
      </c>
      <c r="D3978">
        <v>18.117647058824002</v>
      </c>
      <c r="E3978">
        <v>0.15322510659866001</v>
      </c>
      <c r="F3978">
        <v>517</v>
      </c>
    </row>
    <row r="3979" spans="1:9" x14ac:dyDescent="0.25">
      <c r="A3979">
        <v>2690.8688965781998</v>
      </c>
      <c r="B3979">
        <v>2749.2848904267998</v>
      </c>
      <c r="C3979" s="1">
        <f t="shared" si="1184"/>
        <v>2.1708970631339142E-2</v>
      </c>
      <c r="D3979">
        <v>18.86431372549</v>
      </c>
      <c r="E3979">
        <v>0.15949478552933</v>
      </c>
      <c r="F3979">
        <v>323</v>
      </c>
    </row>
    <row r="3980" spans="1:9" x14ac:dyDescent="0.25">
      <c r="A3980">
        <v>2679.8861976162998</v>
      </c>
      <c r="B3980">
        <v>2744.5236447521002</v>
      </c>
      <c r="C3980" s="1">
        <f t="shared" si="1184"/>
        <v>2.4119474622950055E-2</v>
      </c>
      <c r="D3980">
        <v>19.010196078431001</v>
      </c>
      <c r="E3980">
        <v>0.16179357115983001</v>
      </c>
      <c r="F3980">
        <v>453</v>
      </c>
    </row>
    <row r="3981" spans="1:9" x14ac:dyDescent="0.25">
      <c r="A3981">
        <v>2694.8696655132999</v>
      </c>
      <c r="B3981">
        <v>2763.0288350635001</v>
      </c>
      <c r="C3981" s="1">
        <f t="shared" si="1184"/>
        <v>2.5292195174573484E-2</v>
      </c>
      <c r="D3981">
        <v>19.162352941176</v>
      </c>
      <c r="E3981">
        <v>0.16218750107506</v>
      </c>
      <c r="F3981">
        <v>392</v>
      </c>
    </row>
    <row r="3982" spans="1:9" x14ac:dyDescent="0.25">
      <c r="A3982">
        <v>2690.1553248751002</v>
      </c>
      <c r="B3982">
        <v>2760.1783929259</v>
      </c>
      <c r="C3982" s="1">
        <f t="shared" si="1184"/>
        <v>2.6029377338667503E-2</v>
      </c>
      <c r="D3982">
        <v>18.923921568627001</v>
      </c>
      <c r="E3982">
        <v>0.16010531184727</v>
      </c>
      <c r="F3982">
        <v>417</v>
      </c>
    </row>
    <row r="3983" spans="1:9" x14ac:dyDescent="0.25">
      <c r="A3983">
        <v>2709.9961553249</v>
      </c>
      <c r="B3983">
        <v>2757.3771626297998</v>
      </c>
      <c r="C3983" s="1">
        <f t="shared" si="1184"/>
        <v>1.7483791337415955E-2</v>
      </c>
      <c r="D3983">
        <v>19.069803921569001</v>
      </c>
      <c r="E3983">
        <v>0.16020187591919999</v>
      </c>
      <c r="F3983">
        <v>358</v>
      </c>
    </row>
    <row r="3984" spans="1:9" x14ac:dyDescent="0.25">
      <c r="A3984">
        <v>2690.3183391002999</v>
      </c>
      <c r="B3984">
        <v>2764.8204536716999</v>
      </c>
      <c r="C3984" s="1">
        <f t="shared" si="1184"/>
        <v>2.7692676174640107E-2</v>
      </c>
      <c r="D3984">
        <v>18.588235294118</v>
      </c>
      <c r="E3984">
        <v>0.15686815943714999</v>
      </c>
      <c r="F3984">
        <v>372</v>
      </c>
    </row>
    <row r="3985" spans="1:9" x14ac:dyDescent="0.25">
      <c r="A3985">
        <v>2681.7616301423</v>
      </c>
      <c r="B3985">
        <v>2753.0003844675998</v>
      </c>
      <c r="C3985" s="1">
        <f t="shared" si="1184"/>
        <v>2.656416346799606E-2</v>
      </c>
      <c r="D3985">
        <v>18.327843137255002</v>
      </c>
      <c r="E3985">
        <v>0.15485643718802999</v>
      </c>
      <c r="F3985">
        <v>331</v>
      </c>
      <c r="H3985" t="s">
        <v>17</v>
      </c>
      <c r="I3985">
        <f t="shared" ref="I3985" si="1185">STDEVP(A3971:A3990)</f>
        <v>8.9660079808939237</v>
      </c>
    </row>
    <row r="3986" spans="1:9" x14ac:dyDescent="0.25">
      <c r="A3986">
        <v>2698.7681660899998</v>
      </c>
      <c r="B3986">
        <v>2754.2637447135999</v>
      </c>
      <c r="C3986" s="1">
        <f t="shared" si="1184"/>
        <v>2.0563299701286564E-2</v>
      </c>
      <c r="D3986">
        <v>18.781176470588001</v>
      </c>
      <c r="E3986">
        <v>0.15828513411563</v>
      </c>
      <c r="F3986">
        <v>425</v>
      </c>
      <c r="H3986" t="s">
        <v>18</v>
      </c>
      <c r="I3986">
        <f t="shared" ref="I3986" si="1186">STDEVP(B3971:B3990)</f>
        <v>10.079845595390251</v>
      </c>
    </row>
    <row r="3987" spans="1:9" x14ac:dyDescent="0.25">
      <c r="A3987">
        <v>2693.2787389465998</v>
      </c>
      <c r="B3987">
        <v>2736.7804690503999</v>
      </c>
      <c r="C3987" s="1">
        <f t="shared" si="1184"/>
        <v>1.615195986762763E-2</v>
      </c>
      <c r="D3987">
        <v>18.839215686275001</v>
      </c>
      <c r="E3987">
        <v>0.15903122463377001</v>
      </c>
      <c r="F3987">
        <v>418</v>
      </c>
      <c r="H3987" t="s">
        <v>19</v>
      </c>
      <c r="I3987">
        <f t="shared" ref="I3987" si="1187">STDEVP(C3971:C3990)</f>
        <v>3.6963932784509421E-3</v>
      </c>
    </row>
    <row r="3988" spans="1:9" x14ac:dyDescent="0.25">
      <c r="A3988">
        <v>2680.8535178777001</v>
      </c>
      <c r="B3988">
        <v>2761.1557093425999</v>
      </c>
      <c r="C3988" s="1">
        <f t="shared" si="1184"/>
        <v>2.9953964634543473E-2</v>
      </c>
      <c r="D3988">
        <v>18.983529411765002</v>
      </c>
      <c r="E3988">
        <v>0.16145588991318999</v>
      </c>
      <c r="F3988">
        <v>315</v>
      </c>
      <c r="H3988" t="s">
        <v>20</v>
      </c>
      <c r="I3988">
        <f t="shared" ref="I3988" si="1188">STDEVP(D3971:D3990)</f>
        <v>0.26638416408596211</v>
      </c>
    </row>
    <row r="3989" spans="1:9" x14ac:dyDescent="0.25">
      <c r="A3989">
        <v>2687.3940792003</v>
      </c>
      <c r="B3989">
        <v>2748.4567474048999</v>
      </c>
      <c r="C3989" s="1">
        <f t="shared" si="1184"/>
        <v>2.2721888344254593E-2</v>
      </c>
      <c r="D3989">
        <v>18.425098039216</v>
      </c>
      <c r="E3989">
        <v>0.15547303823952</v>
      </c>
      <c r="F3989">
        <v>357</v>
      </c>
      <c r="H3989" t="s">
        <v>21</v>
      </c>
      <c r="I3989">
        <f t="shared" ref="I3989" si="1189">STDEVP(E3971:E3990)</f>
        <v>2.4896940547132589E-3</v>
      </c>
    </row>
    <row r="3990" spans="1:9" x14ac:dyDescent="0.25">
      <c r="A3990">
        <v>2686.0745866973998</v>
      </c>
      <c r="B3990">
        <v>2737.0342176087001</v>
      </c>
      <c r="C3990" s="1">
        <f t="shared" si="1184"/>
        <v>1.8971785505761618E-2</v>
      </c>
      <c r="D3990">
        <v>18.989803921568999</v>
      </c>
      <c r="E3990">
        <v>0.16106009562942999</v>
      </c>
      <c r="F3990">
        <v>387</v>
      </c>
      <c r="H3990" t="s">
        <v>22</v>
      </c>
      <c r="I3990">
        <f t="shared" ref="I3990" si="1190">STDEVP(F3971:F3990)</f>
        <v>51.809265580588956</v>
      </c>
    </row>
    <row r="3991" spans="1:9" x14ac:dyDescent="0.25">
      <c r="C3991" s="1" t="str">
        <f t="shared" si="1184"/>
        <v/>
      </c>
    </row>
    <row r="3992" spans="1:9" x14ac:dyDescent="0.25">
      <c r="A3992">
        <v>1224.1818181818001</v>
      </c>
      <c r="B3992">
        <v>1278.7603305785001</v>
      </c>
      <c r="C3992" s="1">
        <f t="shared" si="1184"/>
        <v>4.4583665257961425E-2</v>
      </c>
      <c r="D3992">
        <v>11.809523809524</v>
      </c>
      <c r="E3992">
        <v>0.22690947020787999</v>
      </c>
      <c r="F3992">
        <v>83</v>
      </c>
    </row>
    <row r="3993" spans="1:9" x14ac:dyDescent="0.25">
      <c r="A3993">
        <v>1235.0082644628001</v>
      </c>
      <c r="B3993">
        <v>1279.9256198347</v>
      </c>
      <c r="C3993" s="1">
        <f t="shared" si="1184"/>
        <v>3.6370084852377804E-2</v>
      </c>
      <c r="D3993">
        <v>11.5670995671</v>
      </c>
      <c r="E3993">
        <v>0.2187054510385</v>
      </c>
      <c r="F3993">
        <v>89</v>
      </c>
    </row>
    <row r="3994" spans="1:9" x14ac:dyDescent="0.25">
      <c r="A3994">
        <v>1216.3966942149</v>
      </c>
      <c r="B3994">
        <v>1266.8760330579</v>
      </c>
      <c r="C3994" s="1">
        <f t="shared" si="1184"/>
        <v>4.1499075986539902E-2</v>
      </c>
      <c r="D3994">
        <v>11.792207792208</v>
      </c>
      <c r="E3994">
        <v>0.22763579025836</v>
      </c>
      <c r="F3994">
        <v>72</v>
      </c>
    </row>
    <row r="3995" spans="1:9" x14ac:dyDescent="0.25">
      <c r="A3995">
        <v>1219.8842975207001</v>
      </c>
      <c r="B3995">
        <v>1284.0495867769</v>
      </c>
      <c r="C3995" s="1">
        <f t="shared" si="1184"/>
        <v>5.2599487825697677E-2</v>
      </c>
      <c r="D3995">
        <v>12.155844155843999</v>
      </c>
      <c r="E3995">
        <v>0.23598825262749001</v>
      </c>
      <c r="F3995">
        <v>80</v>
      </c>
    </row>
    <row r="3996" spans="1:9" x14ac:dyDescent="0.25">
      <c r="A3996">
        <v>1225.9421487602999</v>
      </c>
      <c r="B3996">
        <v>1285.7355371901001</v>
      </c>
      <c r="C3996" s="1">
        <f t="shared" si="1184"/>
        <v>4.877341764475962E-2</v>
      </c>
      <c r="D3996">
        <v>12.458874458874</v>
      </c>
      <c r="E3996">
        <v>0.24146500613488001</v>
      </c>
      <c r="F3996">
        <v>82</v>
      </c>
    </row>
    <row r="3997" spans="1:9" x14ac:dyDescent="0.25">
      <c r="A3997">
        <v>1235.8677685949999</v>
      </c>
      <c r="B3997">
        <v>1276.7272727273</v>
      </c>
      <c r="C3997" s="1">
        <f t="shared" si="1184"/>
        <v>3.3061388257379143E-2</v>
      </c>
      <c r="D3997">
        <v>12.164502164502</v>
      </c>
      <c r="E3997">
        <v>0.23244363442207</v>
      </c>
      <c r="F3997">
        <v>64</v>
      </c>
    </row>
    <row r="3998" spans="1:9" x14ac:dyDescent="0.25">
      <c r="A3998">
        <v>1235.0991735537</v>
      </c>
      <c r="B3998">
        <v>1287.8016528926</v>
      </c>
      <c r="C3998" s="1">
        <f t="shared" si="1184"/>
        <v>4.2670645780825245E-2</v>
      </c>
      <c r="D3998">
        <v>13.090909090908999</v>
      </c>
      <c r="E3998">
        <v>0.25423457923483</v>
      </c>
      <c r="F3998">
        <v>80</v>
      </c>
    </row>
    <row r="3999" spans="1:9" x14ac:dyDescent="0.25">
      <c r="A3999">
        <v>1223.7107438016999</v>
      </c>
      <c r="B3999">
        <v>1292.5619834710999</v>
      </c>
      <c r="C3999" s="1">
        <f t="shared" si="1184"/>
        <v>5.6264309207174179E-2</v>
      </c>
      <c r="D3999">
        <v>12.008658008657999</v>
      </c>
      <c r="E3999">
        <v>0.23129310860380001</v>
      </c>
      <c r="F3999">
        <v>77</v>
      </c>
    </row>
    <row r="4000" spans="1:9" x14ac:dyDescent="0.25">
      <c r="A4000">
        <v>1250.1487603306</v>
      </c>
      <c r="B4000">
        <v>1291.9256198347</v>
      </c>
      <c r="C4000" s="1">
        <f t="shared" si="1184"/>
        <v>3.3417510643335202E-2</v>
      </c>
      <c r="D4000">
        <v>12.017316017316</v>
      </c>
      <c r="E4000">
        <v>0.22546400503780001</v>
      </c>
      <c r="F4000">
        <v>102</v>
      </c>
    </row>
    <row r="4001" spans="1:9" x14ac:dyDescent="0.25">
      <c r="A4001">
        <v>1224.3719008264</v>
      </c>
      <c r="B4001">
        <v>1297.0909090908999</v>
      </c>
      <c r="C4001" s="1">
        <f t="shared" si="1184"/>
        <v>5.9392908490808694E-2</v>
      </c>
      <c r="D4001">
        <v>12.329004329004</v>
      </c>
      <c r="E4001">
        <v>0.23818673015403</v>
      </c>
      <c r="F4001">
        <v>72</v>
      </c>
    </row>
    <row r="4002" spans="1:9" x14ac:dyDescent="0.25">
      <c r="A4002">
        <v>1214.4214876033</v>
      </c>
      <c r="B4002">
        <v>1279.9421487602999</v>
      </c>
      <c r="C4002" s="1">
        <f t="shared" si="1184"/>
        <v>5.3952158971023456E-2</v>
      </c>
      <c r="D4002">
        <v>11.636363636364001</v>
      </c>
      <c r="E4002">
        <v>0.22471834657299999</v>
      </c>
      <c r="F4002">
        <v>78</v>
      </c>
    </row>
    <row r="4003" spans="1:9" x14ac:dyDescent="0.25">
      <c r="A4003">
        <v>1216.7190082645</v>
      </c>
      <c r="B4003">
        <v>1259.7024793389</v>
      </c>
      <c r="C4003" s="1">
        <f t="shared" si="1184"/>
        <v>3.5327360534714414E-2</v>
      </c>
      <c r="D4003">
        <v>11.194805194804999</v>
      </c>
      <c r="E4003">
        <v>0.21377135825933999</v>
      </c>
      <c r="F4003">
        <v>93</v>
      </c>
    </row>
    <row r="4004" spans="1:9" x14ac:dyDescent="0.25">
      <c r="A4004">
        <v>1240.6611570248001</v>
      </c>
      <c r="B4004">
        <v>1276</v>
      </c>
      <c r="C4004" s="1">
        <f t="shared" si="1184"/>
        <v>2.8483879563010683E-2</v>
      </c>
      <c r="D4004">
        <v>12.320346320345999</v>
      </c>
      <c r="E4004">
        <v>0.23477116292030001</v>
      </c>
      <c r="F4004">
        <v>75</v>
      </c>
    </row>
    <row r="4005" spans="1:9" x14ac:dyDescent="0.25">
      <c r="A4005">
        <v>1218.4710743802</v>
      </c>
      <c r="B4005">
        <v>1301.2975206612</v>
      </c>
      <c r="C4005" s="1">
        <f t="shared" si="1184"/>
        <v>6.797571811307157E-2</v>
      </c>
      <c r="D4005">
        <v>12.08658008658</v>
      </c>
      <c r="E4005">
        <v>0.23400221539706001</v>
      </c>
      <c r="F4005">
        <v>84</v>
      </c>
    </row>
    <row r="4006" spans="1:9" x14ac:dyDescent="0.25">
      <c r="A4006">
        <v>1241.8925619834999</v>
      </c>
      <c r="B4006">
        <v>1284.2314049587001</v>
      </c>
      <c r="C4006" s="1">
        <f t="shared" si="1184"/>
        <v>3.4092194664229414E-2</v>
      </c>
      <c r="D4006">
        <v>11.532467532468001</v>
      </c>
      <c r="E4006">
        <v>0.21617661291262999</v>
      </c>
      <c r="F4006">
        <v>82</v>
      </c>
      <c r="H4006" t="s">
        <v>17</v>
      </c>
      <c r="I4006">
        <f t="shared" ref="I4006" si="1191">STDEVP(A3992:A4011)</f>
        <v>10.152013260069175</v>
      </c>
    </row>
    <row r="4007" spans="1:9" x14ac:dyDescent="0.25">
      <c r="A4007">
        <v>1212.9752066116</v>
      </c>
      <c r="B4007">
        <v>1282.6776859504</v>
      </c>
      <c r="C4007" s="1">
        <f t="shared" si="1184"/>
        <v>5.7464059412649648E-2</v>
      </c>
      <c r="D4007">
        <v>12.155844155843999</v>
      </c>
      <c r="E4007">
        <v>0.23719292800156999</v>
      </c>
      <c r="F4007">
        <v>64</v>
      </c>
      <c r="H4007" t="s">
        <v>18</v>
      </c>
      <c r="I4007">
        <f t="shared" ref="I4007" si="1192">STDEVP(B3992:B4011)</f>
        <v>9.9947695152327114</v>
      </c>
    </row>
    <row r="4008" spans="1:9" x14ac:dyDescent="0.25">
      <c r="A4008">
        <v>1223.9421487602999</v>
      </c>
      <c r="B4008">
        <v>1277.6694214875999</v>
      </c>
      <c r="C4008" s="1">
        <f t="shared" si="1184"/>
        <v>4.389690540661495E-2</v>
      </c>
      <c r="D4008">
        <v>11.887445887446001</v>
      </c>
      <c r="E4008">
        <v>0.22809846637528</v>
      </c>
      <c r="F4008">
        <v>68</v>
      </c>
      <c r="H4008" t="s">
        <v>19</v>
      </c>
      <c r="I4008">
        <f t="shared" ref="I4008" si="1193">STDEVP(C3992:C4011)</f>
        <v>1.0444353763536944E-2</v>
      </c>
    </row>
    <row r="4009" spans="1:9" x14ac:dyDescent="0.25">
      <c r="A4009">
        <v>1219.4628099173999</v>
      </c>
      <c r="B4009">
        <v>1265.5702479339</v>
      </c>
      <c r="C4009" s="1">
        <f t="shared" si="1184"/>
        <v>3.7809630307317876E-2</v>
      </c>
      <c r="D4009">
        <v>12.04329004329</v>
      </c>
      <c r="E4009">
        <v>0.23316321101282</v>
      </c>
      <c r="F4009">
        <v>73</v>
      </c>
      <c r="H4009" t="s">
        <v>20</v>
      </c>
      <c r="I4009">
        <f t="shared" ref="I4009" si="1194">STDEVP(D3992:D4011)</f>
        <v>0.41771168216607013</v>
      </c>
    </row>
    <row r="4010" spans="1:9" x14ac:dyDescent="0.25">
      <c r="A4010">
        <v>1216.2727272727</v>
      </c>
      <c r="B4010">
        <v>1283.6280991736</v>
      </c>
      <c r="C4010" s="1">
        <f t="shared" si="1184"/>
        <v>5.5378510420055038E-2</v>
      </c>
      <c r="D4010">
        <v>11.428571428571001</v>
      </c>
      <c r="E4010">
        <v>0.21901644124943001</v>
      </c>
      <c r="F4010">
        <v>80</v>
      </c>
      <c r="H4010" t="s">
        <v>21</v>
      </c>
      <c r="I4010">
        <f t="shared" ref="I4010" si="1195">STDEVP(E3992:E4011)</f>
        <v>9.4752191083786134E-3</v>
      </c>
    </row>
    <row r="4011" spans="1:9" x14ac:dyDescent="0.25">
      <c r="A4011">
        <v>1221.4380165289001</v>
      </c>
      <c r="B4011">
        <v>1275.8760330579</v>
      </c>
      <c r="C4011" s="1">
        <f t="shared" si="1184"/>
        <v>4.4568791696612431E-2</v>
      </c>
      <c r="D4011">
        <v>11.532467532468001</v>
      </c>
      <c r="E4011">
        <v>0.22009450385158999</v>
      </c>
      <c r="F4011">
        <v>79</v>
      </c>
      <c r="H4011" t="s">
        <v>22</v>
      </c>
      <c r="I4011">
        <f t="shared" ref="I4011" si="1196">STDEVP(F3992:F4011)</f>
        <v>8.9792817084664396</v>
      </c>
    </row>
    <row r="4012" spans="1:9" x14ac:dyDescent="0.25">
      <c r="C4012" s="1" t="str">
        <f t="shared" si="1184"/>
        <v/>
      </c>
    </row>
    <row r="4013" spans="1:9" x14ac:dyDescent="0.25">
      <c r="A4013">
        <v>774.97500000000002</v>
      </c>
      <c r="B4013">
        <v>793.67499999999995</v>
      </c>
      <c r="C4013" s="1">
        <f t="shared" si="1184"/>
        <v>2.412981063905284E-2</v>
      </c>
      <c r="D4013">
        <v>10.051898734177</v>
      </c>
      <c r="E4013">
        <v>0.34534118005996001</v>
      </c>
      <c r="F4013">
        <v>12</v>
      </c>
    </row>
    <row r="4014" spans="1:9" x14ac:dyDescent="0.25">
      <c r="A4014">
        <v>774.23749999999995</v>
      </c>
      <c r="B4014">
        <v>792.67499999999995</v>
      </c>
      <c r="C4014" s="1">
        <f t="shared" si="1184"/>
        <v>2.3813752240107178E-2</v>
      </c>
      <c r="D4014">
        <v>10.072784810127001</v>
      </c>
      <c r="E4014">
        <v>0.34667838772615001</v>
      </c>
      <c r="F4014">
        <v>12</v>
      </c>
    </row>
    <row r="4015" spans="1:9" x14ac:dyDescent="0.25">
      <c r="A4015">
        <v>774.5625</v>
      </c>
      <c r="B4015">
        <v>791.36874999999998</v>
      </c>
      <c r="C4015" s="1">
        <f t="shared" si="1184"/>
        <v>2.1697732590978847E-2</v>
      </c>
      <c r="D4015">
        <v>10.023417721518999</v>
      </c>
      <c r="E4015">
        <v>0.34405646301148002</v>
      </c>
      <c r="F4015">
        <v>12</v>
      </c>
    </row>
    <row r="4016" spans="1:9" x14ac:dyDescent="0.25">
      <c r="A4016">
        <v>772.3</v>
      </c>
      <c r="B4016">
        <v>787.93124999999998</v>
      </c>
      <c r="C4016" s="1">
        <f t="shared" si="1184"/>
        <v>2.0239867926971522E-2</v>
      </c>
      <c r="D4016">
        <v>10.040506329114001</v>
      </c>
      <c r="E4016">
        <v>0.34613368568193997</v>
      </c>
      <c r="F4016">
        <v>13</v>
      </c>
    </row>
    <row r="4017" spans="1:9" x14ac:dyDescent="0.25">
      <c r="A4017">
        <v>770.76250000000005</v>
      </c>
      <c r="B4017">
        <v>789.53750000000002</v>
      </c>
      <c r="C4017" s="1">
        <f t="shared" si="1184"/>
        <v>2.4358995150905782E-2</v>
      </c>
      <c r="D4017">
        <v>9.9272151898733991</v>
      </c>
      <c r="E4017">
        <v>0.34193915731023999</v>
      </c>
      <c r="F4017">
        <v>12</v>
      </c>
    </row>
    <row r="4018" spans="1:9" x14ac:dyDescent="0.25">
      <c r="A4018">
        <v>776.91250000000002</v>
      </c>
      <c r="B4018">
        <v>794.91875000000005</v>
      </c>
      <c r="C4018" s="1">
        <f t="shared" si="1184"/>
        <v>2.3176676910205529E-2</v>
      </c>
      <c r="D4018">
        <v>10.014556962025001</v>
      </c>
      <c r="E4018">
        <v>0.34259116362309</v>
      </c>
      <c r="F4018">
        <v>12</v>
      </c>
    </row>
    <row r="4019" spans="1:9" x14ac:dyDescent="0.25">
      <c r="A4019">
        <v>760.6</v>
      </c>
      <c r="B4019">
        <v>786.46875</v>
      </c>
      <c r="C4019" s="1">
        <f t="shared" si="1184"/>
        <v>3.4010978175124773E-2</v>
      </c>
      <c r="D4019">
        <v>9.9620253164556996</v>
      </c>
      <c r="E4019">
        <v>0.34967083036131003</v>
      </c>
      <c r="F4019">
        <v>12</v>
      </c>
    </row>
    <row r="4020" spans="1:9" x14ac:dyDescent="0.25">
      <c r="A4020">
        <v>769.98749999999995</v>
      </c>
      <c r="B4020">
        <v>788.625</v>
      </c>
      <c r="C4020" s="1">
        <f t="shared" si="1184"/>
        <v>2.4204938391857E-2</v>
      </c>
      <c r="D4020">
        <v>9.9158227848100999</v>
      </c>
      <c r="E4020">
        <v>0.34199126538762997</v>
      </c>
      <c r="F4020">
        <v>13</v>
      </c>
    </row>
    <row r="4021" spans="1:9" x14ac:dyDescent="0.25">
      <c r="A4021">
        <v>775.375</v>
      </c>
      <c r="B4021">
        <v>792.18124999999998</v>
      </c>
      <c r="C4021" s="1">
        <f t="shared" si="1184"/>
        <v>2.1674995969692024E-2</v>
      </c>
      <c r="D4021">
        <v>10.067088607595</v>
      </c>
      <c r="E4021">
        <v>0.34572961110556</v>
      </c>
      <c r="F4021">
        <v>12</v>
      </c>
    </row>
    <row r="4022" spans="1:9" x14ac:dyDescent="0.25">
      <c r="A4022">
        <v>773.28750000000002</v>
      </c>
      <c r="B4022">
        <v>789.56875000000002</v>
      </c>
      <c r="C4022" s="1">
        <f t="shared" si="1184"/>
        <v>2.1054588364612048E-2</v>
      </c>
      <c r="D4022">
        <v>10.039873417721999</v>
      </c>
      <c r="E4022">
        <v>0.34563283109526999</v>
      </c>
      <c r="F4022">
        <v>12</v>
      </c>
    </row>
    <row r="4023" spans="1:9" x14ac:dyDescent="0.25">
      <c r="A4023">
        <v>773.42499999999995</v>
      </c>
      <c r="B4023">
        <v>793.19375000000002</v>
      </c>
      <c r="C4023" s="1">
        <f t="shared" si="1184"/>
        <v>2.5560009050651367E-2</v>
      </c>
      <c r="D4023">
        <v>10.074683544303999</v>
      </c>
      <c r="E4023">
        <v>0.34723755091608</v>
      </c>
      <c r="F4023">
        <v>12</v>
      </c>
    </row>
    <row r="4024" spans="1:9" x14ac:dyDescent="0.25">
      <c r="A4024">
        <v>765.0625</v>
      </c>
      <c r="B4024">
        <v>788.36249999999995</v>
      </c>
      <c r="C4024" s="1">
        <f t="shared" si="1184"/>
        <v>3.0455028183971944E-2</v>
      </c>
      <c r="D4024">
        <v>9.9639240506328992</v>
      </c>
      <c r="E4024">
        <v>0.34711262918966002</v>
      </c>
      <c r="F4024">
        <v>13</v>
      </c>
    </row>
    <row r="4025" spans="1:9" x14ac:dyDescent="0.25">
      <c r="A4025">
        <v>769.46249999999998</v>
      </c>
      <c r="B4025">
        <v>789.73749999999995</v>
      </c>
      <c r="C4025" s="1">
        <f t="shared" si="1184"/>
        <v>2.6349562194388998E-2</v>
      </c>
      <c r="D4025">
        <v>10.039873417721999</v>
      </c>
      <c r="E4025">
        <v>0.34784946025356001</v>
      </c>
      <c r="F4025">
        <v>12</v>
      </c>
    </row>
    <row r="4026" spans="1:9" x14ac:dyDescent="0.25">
      <c r="A4026">
        <v>767.33749999999998</v>
      </c>
      <c r="B4026">
        <v>790.54375000000005</v>
      </c>
      <c r="C4026" s="1">
        <f t="shared" si="1184"/>
        <v>3.0242559499568333E-2</v>
      </c>
      <c r="D4026">
        <v>9.9575949367088992</v>
      </c>
      <c r="E4026">
        <v>0.34533711593046001</v>
      </c>
      <c r="F4026">
        <v>12</v>
      </c>
    </row>
    <row r="4027" spans="1:9" x14ac:dyDescent="0.25">
      <c r="A4027">
        <v>768.73749999999995</v>
      </c>
      <c r="B4027">
        <v>789.17499999999995</v>
      </c>
      <c r="C4027" s="1">
        <f t="shared" si="1184"/>
        <v>2.658579814305928E-2</v>
      </c>
      <c r="D4027">
        <v>10.04746835443</v>
      </c>
      <c r="E4027">
        <v>0.3489157967389</v>
      </c>
      <c r="F4027">
        <v>13</v>
      </c>
      <c r="H4027" t="s">
        <v>17</v>
      </c>
      <c r="I4027">
        <f t="shared" ref="I4027" si="1197">STDEVP(A4013:A4032)</f>
        <v>3.9483368235087273</v>
      </c>
    </row>
    <row r="4028" spans="1:9" x14ac:dyDescent="0.25">
      <c r="A4028">
        <v>767.85</v>
      </c>
      <c r="B4028">
        <v>787.66250000000002</v>
      </c>
      <c r="C4028" s="1">
        <f t="shared" si="1184"/>
        <v>2.5802565605261396E-2</v>
      </c>
      <c r="D4028">
        <v>10.040506329114001</v>
      </c>
      <c r="E4028">
        <v>0.34884658943355001</v>
      </c>
      <c r="F4028">
        <v>12</v>
      </c>
      <c r="H4028" t="s">
        <v>18</v>
      </c>
      <c r="I4028">
        <f t="shared" ref="I4028" si="1198">STDEVP(B4013:B4032)</f>
        <v>2.1676242350137107</v>
      </c>
    </row>
    <row r="4029" spans="1:9" x14ac:dyDescent="0.25">
      <c r="A4029">
        <v>767.15</v>
      </c>
      <c r="B4029">
        <v>788.75</v>
      </c>
      <c r="C4029" s="1">
        <f t="shared" si="1184"/>
        <v>2.8156162419344266E-2</v>
      </c>
      <c r="D4029">
        <v>10.001265822784999</v>
      </c>
      <c r="E4029">
        <v>0.34762689487519999</v>
      </c>
      <c r="F4029">
        <v>12</v>
      </c>
      <c r="H4029" t="s">
        <v>19</v>
      </c>
      <c r="I4029">
        <f t="shared" ref="I4029" si="1199">STDEVP(C4013:C4032)</f>
        <v>3.4759105105420266E-3</v>
      </c>
    </row>
    <row r="4030" spans="1:9" x14ac:dyDescent="0.25">
      <c r="A4030">
        <v>773.41250000000002</v>
      </c>
      <c r="B4030">
        <v>791.41875000000005</v>
      </c>
      <c r="C4030" s="1">
        <f t="shared" si="1184"/>
        <v>2.328156061610076E-2</v>
      </c>
      <c r="D4030">
        <v>10.044936708861</v>
      </c>
      <c r="E4030">
        <v>0.3457382628415</v>
      </c>
      <c r="F4030">
        <v>13</v>
      </c>
      <c r="H4030" t="s">
        <v>20</v>
      </c>
      <c r="I4030">
        <f t="shared" ref="I4030" si="1200">STDEVP(D4013:D4032)</f>
        <v>4.6665306354729853E-2</v>
      </c>
    </row>
    <row r="4031" spans="1:9" x14ac:dyDescent="0.25">
      <c r="A4031">
        <v>772.98749999999995</v>
      </c>
      <c r="B4031">
        <v>791.66875000000005</v>
      </c>
      <c r="C4031" s="1">
        <f t="shared" si="1184"/>
        <v>2.4167596500590305E-2</v>
      </c>
      <c r="D4031">
        <v>10.029746835442999</v>
      </c>
      <c r="E4031">
        <v>0.34539351719351002</v>
      </c>
      <c r="F4031">
        <v>12</v>
      </c>
      <c r="H4031" t="s">
        <v>21</v>
      </c>
      <c r="I4031">
        <f t="shared" ref="I4031" si="1201">STDEVP(E4013:E4032)</f>
        <v>2.1090160675940224E-3</v>
      </c>
    </row>
    <row r="4032" spans="1:9" x14ac:dyDescent="0.25">
      <c r="A4032">
        <v>773.48749999999995</v>
      </c>
      <c r="B4032">
        <v>789.58124999999995</v>
      </c>
      <c r="C4032" s="1">
        <f t="shared" si="1184"/>
        <v>2.0806735726175196E-2</v>
      </c>
      <c r="D4032">
        <v>10.055063291139</v>
      </c>
      <c r="E4032">
        <v>0.34629885980352998</v>
      </c>
      <c r="F4032">
        <v>12</v>
      </c>
      <c r="H4032" t="s">
        <v>22</v>
      </c>
      <c r="I4032">
        <f t="shared" ref="I4032" si="1202">STDEVP(F4013:F4032)</f>
        <v>0.4330127018922193</v>
      </c>
    </row>
    <row r="4033" spans="1:9" x14ac:dyDescent="0.25">
      <c r="C4033" s="1" t="str">
        <f t="shared" si="1184"/>
        <v/>
      </c>
    </row>
    <row r="4034" spans="1:9" x14ac:dyDescent="0.25">
      <c r="A4034">
        <v>1247.94921875</v>
      </c>
      <c r="B4034">
        <v>1283.763671875</v>
      </c>
      <c r="C4034" s="1">
        <f t="shared" ref="C4034:C4097" si="1203">IFERROR((B4034/A4034)-1,"")</f>
        <v>2.8698646216448909E-2</v>
      </c>
      <c r="D4034">
        <v>11.737103174603</v>
      </c>
      <c r="E4034">
        <v>0.22767863788555001</v>
      </c>
      <c r="F4034">
        <v>29</v>
      </c>
    </row>
    <row r="4035" spans="1:9" x14ac:dyDescent="0.25">
      <c r="A4035">
        <v>1243.93359375</v>
      </c>
      <c r="B4035">
        <v>1282.85546875</v>
      </c>
      <c r="C4035" s="1">
        <f t="shared" si="1203"/>
        <v>3.1289351132213428E-2</v>
      </c>
      <c r="D4035">
        <v>11.693452380951999</v>
      </c>
      <c r="E4035">
        <v>0.22757522610385</v>
      </c>
      <c r="F4035">
        <v>29</v>
      </c>
    </row>
    <row r="4036" spans="1:9" x14ac:dyDescent="0.25">
      <c r="A4036">
        <v>1234.76171875</v>
      </c>
      <c r="B4036">
        <v>1275.248046875</v>
      </c>
      <c r="C4036" s="1">
        <f t="shared" si="1203"/>
        <v>3.2788778199235091E-2</v>
      </c>
      <c r="D4036">
        <v>11.848214285714</v>
      </c>
      <c r="E4036">
        <v>0.23337453290266999</v>
      </c>
      <c r="F4036">
        <v>28</v>
      </c>
    </row>
    <row r="4037" spans="1:9" x14ac:dyDescent="0.25">
      <c r="A4037">
        <v>1248.05859375</v>
      </c>
      <c r="B4037">
        <v>1277.677734375</v>
      </c>
      <c r="C4037" s="1">
        <f t="shared" si="1203"/>
        <v>2.3732171528905832E-2</v>
      </c>
      <c r="D4037">
        <v>11.622023809524</v>
      </c>
      <c r="E4037">
        <v>0.22492917296343001</v>
      </c>
      <c r="F4037">
        <v>28</v>
      </c>
    </row>
    <row r="4038" spans="1:9" x14ac:dyDescent="0.25">
      <c r="A4038">
        <v>1252.1171875</v>
      </c>
      <c r="B4038">
        <v>1292.88671875</v>
      </c>
      <c r="C4038" s="1">
        <f t="shared" si="1203"/>
        <v>3.2560475694292768E-2</v>
      </c>
      <c r="D4038">
        <v>11.720238095238001</v>
      </c>
      <c r="E4038">
        <v>0.22643851589163999</v>
      </c>
      <c r="F4038">
        <v>30</v>
      </c>
    </row>
    <row r="4039" spans="1:9" x14ac:dyDescent="0.25">
      <c r="A4039">
        <v>1253.41796875</v>
      </c>
      <c r="B4039">
        <v>1281.361328125</v>
      </c>
      <c r="C4039" s="1">
        <f t="shared" si="1203"/>
        <v>2.2293728087261488E-2</v>
      </c>
      <c r="D4039">
        <v>11.919642857143</v>
      </c>
      <c r="E4039">
        <v>0.23064513704378001</v>
      </c>
      <c r="F4039">
        <v>29</v>
      </c>
    </row>
    <row r="4040" spans="1:9" x14ac:dyDescent="0.25">
      <c r="A4040">
        <v>1247.71875</v>
      </c>
      <c r="B4040">
        <v>1273.5078125</v>
      </c>
      <c r="C4040" s="1">
        <f t="shared" si="1203"/>
        <v>2.0668970871841053E-2</v>
      </c>
      <c r="D4040">
        <v>11.619047619048001</v>
      </c>
      <c r="E4040">
        <v>0.22494174518127</v>
      </c>
      <c r="F4040">
        <v>28</v>
      </c>
    </row>
    <row r="4041" spans="1:9" x14ac:dyDescent="0.25">
      <c r="A4041">
        <v>1233.69921875</v>
      </c>
      <c r="B4041">
        <v>1280.29296875</v>
      </c>
      <c r="C4041" s="1">
        <f t="shared" si="1203"/>
        <v>3.776751196066197E-2</v>
      </c>
      <c r="D4041">
        <v>11.610119047618999</v>
      </c>
      <c r="E4041">
        <v>0.22756492234049999</v>
      </c>
      <c r="F4041">
        <v>28</v>
      </c>
    </row>
    <row r="4042" spans="1:9" x14ac:dyDescent="0.25">
      <c r="A4042">
        <v>1240.828125</v>
      </c>
      <c r="B4042">
        <v>1276.201171875</v>
      </c>
      <c r="C4042" s="1">
        <f t="shared" si="1203"/>
        <v>2.8507612103811697E-2</v>
      </c>
      <c r="D4042">
        <v>11.813492063491999</v>
      </c>
      <c r="E4042">
        <v>0.23108567677079001</v>
      </c>
      <c r="F4042">
        <v>30</v>
      </c>
    </row>
    <row r="4043" spans="1:9" x14ac:dyDescent="0.25">
      <c r="A4043">
        <v>1245.2890625</v>
      </c>
      <c r="B4043">
        <v>1279.07421875</v>
      </c>
      <c r="C4043" s="1">
        <f t="shared" si="1203"/>
        <v>2.7130372591704921E-2</v>
      </c>
      <c r="D4043">
        <v>11.589285714286</v>
      </c>
      <c r="E4043">
        <v>0.22469704237959001</v>
      </c>
      <c r="F4043">
        <v>27</v>
      </c>
    </row>
    <row r="4044" spans="1:9" x14ac:dyDescent="0.25">
      <c r="A4044">
        <v>1245.53125</v>
      </c>
      <c r="B4044">
        <v>1277.759765625</v>
      </c>
      <c r="C4044" s="1">
        <f t="shared" si="1203"/>
        <v>2.5875316757407729E-2</v>
      </c>
      <c r="D4044">
        <v>11.484126984127</v>
      </c>
      <c r="E4044">
        <v>0.22225221620947999</v>
      </c>
      <c r="F4044">
        <v>27</v>
      </c>
    </row>
    <row r="4045" spans="1:9" x14ac:dyDescent="0.25">
      <c r="A4045">
        <v>1237.80078125</v>
      </c>
      <c r="B4045">
        <v>1280.45703125</v>
      </c>
      <c r="C4045" s="1">
        <f t="shared" si="1203"/>
        <v>3.4461320954187302E-2</v>
      </c>
      <c r="D4045">
        <v>11.667658730158999</v>
      </c>
      <c r="E4045">
        <v>0.2282014474454</v>
      </c>
      <c r="F4045">
        <v>29</v>
      </c>
    </row>
    <row r="4046" spans="1:9" x14ac:dyDescent="0.25">
      <c r="A4046">
        <v>1244.37890625</v>
      </c>
      <c r="B4046">
        <v>1279.794921875</v>
      </c>
      <c r="C4046" s="1">
        <f t="shared" si="1203"/>
        <v>2.8460797147171091E-2</v>
      </c>
      <c r="D4046">
        <v>11.560515873016</v>
      </c>
      <c r="E4046">
        <v>0.22414097063569999</v>
      </c>
      <c r="F4046">
        <v>28</v>
      </c>
    </row>
    <row r="4047" spans="1:9" x14ac:dyDescent="0.25">
      <c r="A4047">
        <v>1248.828125</v>
      </c>
      <c r="B4047">
        <v>1285.375</v>
      </c>
      <c r="C4047" s="1">
        <f t="shared" si="1203"/>
        <v>2.9264935877385101E-2</v>
      </c>
      <c r="D4047">
        <v>11.93253968254</v>
      </c>
      <c r="E4047">
        <v>0.23228876239518001</v>
      </c>
      <c r="F4047">
        <v>28</v>
      </c>
    </row>
    <row r="4048" spans="1:9" x14ac:dyDescent="0.25">
      <c r="A4048">
        <v>1258.8203125</v>
      </c>
      <c r="B4048">
        <v>1290.185546875</v>
      </c>
      <c r="C4048" s="1">
        <f t="shared" si="1203"/>
        <v>2.4916371354628986E-2</v>
      </c>
      <c r="D4048">
        <v>12.19246031746</v>
      </c>
      <c r="E4048">
        <v>0.23604023539326999</v>
      </c>
      <c r="F4048">
        <v>28</v>
      </c>
      <c r="H4048" t="s">
        <v>17</v>
      </c>
      <c r="I4048">
        <f t="shared" ref="I4048" si="1204">STDEVP(A4034:A4053)</f>
        <v>6.3912163898696681</v>
      </c>
    </row>
    <row r="4049" spans="1:9" x14ac:dyDescent="0.25">
      <c r="A4049">
        <v>1246.30859375</v>
      </c>
      <c r="B4049">
        <v>1282.39453125</v>
      </c>
      <c r="C4049" s="1">
        <f t="shared" si="1203"/>
        <v>2.8954255535879492E-2</v>
      </c>
      <c r="D4049">
        <v>11.891865079364999</v>
      </c>
      <c r="E4049">
        <v>0.23173183658405999</v>
      </c>
      <c r="F4049">
        <v>29</v>
      </c>
      <c r="H4049" t="s">
        <v>18</v>
      </c>
      <c r="I4049">
        <f t="shared" ref="I4049" si="1205">STDEVP(B4034:B4053)</f>
        <v>5.3985074726875171</v>
      </c>
    </row>
    <row r="4050" spans="1:9" x14ac:dyDescent="0.25">
      <c r="A4050">
        <v>1249.33984375</v>
      </c>
      <c r="B4050">
        <v>1283.2109375</v>
      </c>
      <c r="C4050" s="1">
        <f t="shared" si="1203"/>
        <v>2.7111193098855235E-2</v>
      </c>
      <c r="D4050">
        <v>11.796626984127</v>
      </c>
      <c r="E4050">
        <v>0.22883070923362001</v>
      </c>
      <c r="F4050">
        <v>28</v>
      </c>
      <c r="H4050" t="s">
        <v>19</v>
      </c>
      <c r="I4050">
        <f t="shared" ref="I4050" si="1206">STDEVP(C4034:C4053)</f>
        <v>4.0626910671870426E-3</v>
      </c>
    </row>
    <row r="4051" spans="1:9" x14ac:dyDescent="0.25">
      <c r="A4051">
        <v>1246.74609375</v>
      </c>
      <c r="B4051">
        <v>1277.203125</v>
      </c>
      <c r="C4051" s="1">
        <f t="shared" si="1203"/>
        <v>2.4429217306300544E-2</v>
      </c>
      <c r="D4051">
        <v>11.749007936508001</v>
      </c>
      <c r="E4051">
        <v>0.22815883563545999</v>
      </c>
      <c r="F4051">
        <v>28</v>
      </c>
      <c r="H4051" t="s">
        <v>20</v>
      </c>
      <c r="I4051">
        <f t="shared" ref="I4051" si="1207">STDEVP(D4034:D4053)</f>
        <v>0.15737201079820182</v>
      </c>
    </row>
    <row r="4052" spans="1:9" x14ac:dyDescent="0.25">
      <c r="A4052">
        <v>1251.1015625</v>
      </c>
      <c r="B4052">
        <v>1284.34375</v>
      </c>
      <c r="C4052" s="1">
        <f t="shared" si="1203"/>
        <v>2.6570334892376035E-2</v>
      </c>
      <c r="D4052">
        <v>11.771825396824999</v>
      </c>
      <c r="E4052">
        <v>0.22786539003770001</v>
      </c>
      <c r="F4052">
        <v>28</v>
      </c>
      <c r="H4052" t="s">
        <v>21</v>
      </c>
      <c r="I4052">
        <f t="shared" ref="I4052" si="1208">STDEVP(E4034:E4053)</f>
        <v>3.3338587162571988E-3</v>
      </c>
    </row>
    <row r="4053" spans="1:9" x14ac:dyDescent="0.25">
      <c r="A4053">
        <v>1234.69140625</v>
      </c>
      <c r="B4053">
        <v>1268.435546875</v>
      </c>
      <c r="C4053" s="1">
        <f t="shared" si="1203"/>
        <v>2.733001983668748E-2</v>
      </c>
      <c r="D4053">
        <v>11.679563492063</v>
      </c>
      <c r="E4053">
        <v>0.22925652807075</v>
      </c>
      <c r="F4053">
        <v>28</v>
      </c>
      <c r="H4053" t="s">
        <v>22</v>
      </c>
      <c r="I4053">
        <f t="shared" ref="I4053" si="1209">STDEVP(F4034:F4053)</f>
        <v>0.7921489758877428</v>
      </c>
    </row>
    <row r="4054" spans="1:9" x14ac:dyDescent="0.25">
      <c r="C4054" s="1" t="str">
        <f t="shared" si="1203"/>
        <v/>
      </c>
    </row>
    <row r="4055" spans="1:9" x14ac:dyDescent="0.25">
      <c r="A4055">
        <v>1392.5</v>
      </c>
      <c r="B4055">
        <v>1467.09375</v>
      </c>
      <c r="C4055" s="1">
        <f t="shared" si="1203"/>
        <v>5.356822262118488E-2</v>
      </c>
      <c r="D4055">
        <v>14.866666666666999</v>
      </c>
      <c r="E4055">
        <v>0.25047239411472</v>
      </c>
      <c r="F4055">
        <v>340</v>
      </c>
    </row>
    <row r="4056" spans="1:9" x14ac:dyDescent="0.25">
      <c r="A4056">
        <v>1423.3125</v>
      </c>
      <c r="B4056">
        <v>1483.78125</v>
      </c>
      <c r="C4056" s="1">
        <f t="shared" si="1203"/>
        <v>4.2484521143459464E-2</v>
      </c>
      <c r="D4056">
        <v>15.716666666667001</v>
      </c>
      <c r="E4056">
        <v>0.26147354040081</v>
      </c>
      <c r="F4056">
        <v>437</v>
      </c>
    </row>
    <row r="4057" spans="1:9" x14ac:dyDescent="0.25">
      <c r="A4057">
        <v>1408.3125</v>
      </c>
      <c r="B4057">
        <v>1512.3125</v>
      </c>
      <c r="C4057" s="1">
        <f t="shared" si="1203"/>
        <v>7.3847246261039334E-2</v>
      </c>
      <c r="D4057">
        <v>15.416666666667</v>
      </c>
      <c r="E4057">
        <v>0.25838710865475001</v>
      </c>
      <c r="F4057">
        <v>481</v>
      </c>
    </row>
    <row r="4058" spans="1:9" x14ac:dyDescent="0.25">
      <c r="A4058">
        <v>1413.125</v>
      </c>
      <c r="B4058">
        <v>1491.8125</v>
      </c>
      <c r="C4058" s="1">
        <f t="shared" si="1203"/>
        <v>5.5683325961963792E-2</v>
      </c>
      <c r="D4058">
        <v>14.933333333333</v>
      </c>
      <c r="E4058">
        <v>0.24755339183406999</v>
      </c>
      <c r="F4058">
        <v>326</v>
      </c>
    </row>
    <row r="4059" spans="1:9" x14ac:dyDescent="0.25">
      <c r="A4059">
        <v>1413.125</v>
      </c>
      <c r="B4059">
        <v>1505.34375</v>
      </c>
      <c r="C4059" s="1">
        <f t="shared" si="1203"/>
        <v>6.5258735072976526E-2</v>
      </c>
      <c r="D4059">
        <v>15.7</v>
      </c>
      <c r="E4059">
        <v>0.26346057770697001</v>
      </c>
      <c r="F4059">
        <v>497</v>
      </c>
    </row>
    <row r="4060" spans="1:9" x14ac:dyDescent="0.25">
      <c r="A4060">
        <v>1418.375</v>
      </c>
      <c r="B4060">
        <v>1497.8125</v>
      </c>
      <c r="C4060" s="1">
        <f t="shared" si="1203"/>
        <v>5.6005992773420221E-2</v>
      </c>
      <c r="D4060">
        <v>15.4</v>
      </c>
      <c r="E4060">
        <v>0.25591463655648999</v>
      </c>
      <c r="F4060">
        <v>347</v>
      </c>
    </row>
    <row r="4061" spans="1:9" x14ac:dyDescent="0.25">
      <c r="A4061">
        <v>1420.3125</v>
      </c>
      <c r="B4061">
        <v>1504.1875</v>
      </c>
      <c r="C4061" s="1">
        <f t="shared" si="1203"/>
        <v>5.9053905390539008E-2</v>
      </c>
      <c r="D4061">
        <v>15.083333333333</v>
      </c>
      <c r="E4061">
        <v>0.24869666284454001</v>
      </c>
      <c r="F4061">
        <v>361</v>
      </c>
    </row>
    <row r="4062" spans="1:9" x14ac:dyDescent="0.25">
      <c r="A4062">
        <v>1383.1875</v>
      </c>
      <c r="B4062">
        <v>1491.53125</v>
      </c>
      <c r="C4062" s="1">
        <f t="shared" si="1203"/>
        <v>7.8329040712123321E-2</v>
      </c>
      <c r="D4062">
        <v>15.016666666667</v>
      </c>
      <c r="E4062">
        <v>0.25547807113958998</v>
      </c>
      <c r="F4062">
        <v>414</v>
      </c>
    </row>
    <row r="4063" spans="1:9" x14ac:dyDescent="0.25">
      <c r="A4063">
        <v>1425.875</v>
      </c>
      <c r="B4063">
        <v>1500.40625</v>
      </c>
      <c r="C4063" s="1">
        <f t="shared" si="1203"/>
        <v>5.2270535636012916E-2</v>
      </c>
      <c r="D4063">
        <v>15.666666666667</v>
      </c>
      <c r="E4063">
        <v>0.25987116090194001</v>
      </c>
      <c r="F4063">
        <v>242</v>
      </c>
    </row>
    <row r="4064" spans="1:9" x14ac:dyDescent="0.25">
      <c r="A4064">
        <v>1434.6875</v>
      </c>
      <c r="B4064">
        <v>1496.21875</v>
      </c>
      <c r="C4064" s="1">
        <f t="shared" si="1203"/>
        <v>4.2888259638423021E-2</v>
      </c>
      <c r="D4064">
        <v>16.283333333333001</v>
      </c>
      <c r="E4064">
        <v>0.27079382345920999</v>
      </c>
      <c r="F4064">
        <v>421</v>
      </c>
    </row>
    <row r="4065" spans="1:9" x14ac:dyDescent="0.25">
      <c r="A4065">
        <v>1408.75</v>
      </c>
      <c r="B4065">
        <v>1498.90625</v>
      </c>
      <c r="C4065" s="1">
        <f t="shared" si="1203"/>
        <v>6.3997338065661102E-2</v>
      </c>
      <c r="D4065">
        <v>15.333333333333</v>
      </c>
      <c r="E4065">
        <v>0.25684609273372</v>
      </c>
      <c r="F4065">
        <v>303</v>
      </c>
    </row>
    <row r="4066" spans="1:9" x14ac:dyDescent="0.25">
      <c r="A4066">
        <v>1410.5</v>
      </c>
      <c r="B4066">
        <v>1487.6875</v>
      </c>
      <c r="C4066" s="1">
        <f t="shared" si="1203"/>
        <v>5.4723502304147464E-2</v>
      </c>
      <c r="D4066">
        <v>15.233333333333</v>
      </c>
      <c r="E4066">
        <v>0.25400559792218003</v>
      </c>
      <c r="F4066">
        <v>283</v>
      </c>
    </row>
    <row r="4067" spans="1:9" x14ac:dyDescent="0.25">
      <c r="A4067">
        <v>1395.875</v>
      </c>
      <c r="B4067">
        <v>1472.21875</v>
      </c>
      <c r="C4067" s="1">
        <f t="shared" si="1203"/>
        <v>5.4692397241873358E-2</v>
      </c>
      <c r="D4067">
        <v>14.233333333333</v>
      </c>
      <c r="E4067">
        <v>0.23677046155609999</v>
      </c>
      <c r="F4067">
        <v>399</v>
      </c>
    </row>
    <row r="4068" spans="1:9" x14ac:dyDescent="0.25">
      <c r="A4068">
        <v>1406.6875</v>
      </c>
      <c r="B4068">
        <v>1494.90625</v>
      </c>
      <c r="C4068" s="1">
        <f t="shared" si="1203"/>
        <v>6.2713822366375016E-2</v>
      </c>
      <c r="D4068">
        <v>15.116666666666999</v>
      </c>
      <c r="E4068">
        <v>0.25252969910772</v>
      </c>
      <c r="F4068">
        <v>352</v>
      </c>
    </row>
    <row r="4069" spans="1:9" x14ac:dyDescent="0.25">
      <c r="A4069">
        <v>1419.375</v>
      </c>
      <c r="B4069">
        <v>1511.03125</v>
      </c>
      <c r="C4069" s="1">
        <f t="shared" si="1203"/>
        <v>6.4575077058564467E-2</v>
      </c>
      <c r="D4069">
        <v>15.633333333333001</v>
      </c>
      <c r="E4069">
        <v>0.26037842966664998</v>
      </c>
      <c r="F4069">
        <v>221</v>
      </c>
      <c r="H4069" t="s">
        <v>17</v>
      </c>
      <c r="I4069">
        <f t="shared" ref="I4069" si="1210">STDEVP(A4055:A4074)</f>
        <v>12.39154355044197</v>
      </c>
    </row>
    <row r="4070" spans="1:9" x14ac:dyDescent="0.25">
      <c r="A4070">
        <v>1402.9375</v>
      </c>
      <c r="B4070">
        <v>1489.0625</v>
      </c>
      <c r="C4070" s="1">
        <f t="shared" si="1203"/>
        <v>6.1389049761660708E-2</v>
      </c>
      <c r="D4070">
        <v>15.05</v>
      </c>
      <c r="E4070">
        <v>0.25187531933799001</v>
      </c>
      <c r="F4070">
        <v>350</v>
      </c>
      <c r="H4070" t="s">
        <v>18</v>
      </c>
      <c r="I4070">
        <f t="shared" ref="I4070" si="1211">STDEVP(B4055:B4074)</f>
        <v>12.067428963821373</v>
      </c>
    </row>
    <row r="4071" spans="1:9" x14ac:dyDescent="0.25">
      <c r="A4071">
        <v>1415.3125</v>
      </c>
      <c r="B4071">
        <v>1500.1875</v>
      </c>
      <c r="C4071" s="1">
        <f t="shared" si="1203"/>
        <v>5.99690880989181E-2</v>
      </c>
      <c r="D4071">
        <v>15.283333333332999</v>
      </c>
      <c r="E4071">
        <v>0.25380178708362</v>
      </c>
      <c r="F4071">
        <v>289</v>
      </c>
      <c r="H4071" t="s">
        <v>19</v>
      </c>
      <c r="I4071">
        <f t="shared" ref="I4071" si="1212">STDEVP(C4055:C4074)</f>
        <v>8.5137475165111814E-3</v>
      </c>
    </row>
    <row r="4072" spans="1:9" x14ac:dyDescent="0.25">
      <c r="A4072">
        <v>1425</v>
      </c>
      <c r="B4072">
        <v>1498.21875</v>
      </c>
      <c r="C4072" s="1">
        <f t="shared" si="1203"/>
        <v>5.1381578947368389E-2</v>
      </c>
      <c r="D4072">
        <v>15.633333333333001</v>
      </c>
      <c r="E4072">
        <v>0.25941434875793001</v>
      </c>
      <c r="F4072">
        <v>457</v>
      </c>
      <c r="H4072" t="s">
        <v>20</v>
      </c>
      <c r="I4072">
        <f t="shared" ref="I4072" si="1213">STDEVP(D4055:D4074)</f>
        <v>0.44545232941112545</v>
      </c>
    </row>
    <row r="4073" spans="1:9" x14ac:dyDescent="0.25">
      <c r="A4073">
        <v>1400.0625</v>
      </c>
      <c r="B4073">
        <v>1481.28125</v>
      </c>
      <c r="C4073" s="1">
        <f t="shared" si="1203"/>
        <v>5.8010803089147744E-2</v>
      </c>
      <c r="D4073">
        <v>14.583333333333</v>
      </c>
      <c r="E4073">
        <v>0.24281341379799001</v>
      </c>
      <c r="F4073">
        <v>355</v>
      </c>
      <c r="H4073" t="s">
        <v>21</v>
      </c>
      <c r="I4073">
        <f t="shared" ref="I4073" si="1214">STDEVP(E4055:E4074)</f>
        <v>7.352038844202863E-3</v>
      </c>
    </row>
    <row r="4074" spans="1:9" x14ac:dyDescent="0.25">
      <c r="A4074">
        <v>1399.0625</v>
      </c>
      <c r="B4074">
        <v>1474.0625</v>
      </c>
      <c r="C4074" s="1">
        <f t="shared" si="1203"/>
        <v>5.3607326334599081E-2</v>
      </c>
      <c r="D4074">
        <v>14.95</v>
      </c>
      <c r="E4074">
        <v>0.25062611578168997</v>
      </c>
      <c r="F4074">
        <v>409</v>
      </c>
      <c r="H4074" t="s">
        <v>22</v>
      </c>
      <c r="I4074">
        <f t="shared" ref="I4074" si="1215">STDEVP(F4055:F4074)</f>
        <v>73.59796192830342</v>
      </c>
    </row>
    <row r="4075" spans="1:9" x14ac:dyDescent="0.25">
      <c r="C4075" s="1" t="str">
        <f t="shared" si="1203"/>
        <v/>
      </c>
    </row>
    <row r="4076" spans="1:9" x14ac:dyDescent="0.25">
      <c r="A4076">
        <v>748.86703601108002</v>
      </c>
      <c r="B4076">
        <v>789.81717451522002</v>
      </c>
      <c r="C4076" s="1">
        <f t="shared" si="1203"/>
        <v>5.4682789513964103E-2</v>
      </c>
      <c r="D4076">
        <v>13.431009957325999</v>
      </c>
      <c r="E4076">
        <v>0.53996562476832</v>
      </c>
      <c r="F4076">
        <v>18</v>
      </c>
    </row>
    <row r="4077" spans="1:9" x14ac:dyDescent="0.25">
      <c r="A4077">
        <v>749.42382271468</v>
      </c>
      <c r="B4077">
        <v>774.90027700830001</v>
      </c>
      <c r="C4077" s="1">
        <f t="shared" si="1203"/>
        <v>3.3994721706784414E-2</v>
      </c>
      <c r="D4077">
        <v>13.624466571835001</v>
      </c>
      <c r="E4077">
        <v>0.54975681762946005</v>
      </c>
      <c r="F4077">
        <v>19</v>
      </c>
    </row>
    <row r="4078" spans="1:9" x14ac:dyDescent="0.25">
      <c r="A4078">
        <v>743.11634349029998</v>
      </c>
      <c r="B4078">
        <v>776.65096952907004</v>
      </c>
      <c r="C4078" s="1">
        <f t="shared" si="1203"/>
        <v>4.5127019924313894E-2</v>
      </c>
      <c r="D4078">
        <v>13.416785206259</v>
      </c>
      <c r="E4078">
        <v>0.54529318567635998</v>
      </c>
      <c r="F4078">
        <v>18</v>
      </c>
    </row>
    <row r="4079" spans="1:9" x14ac:dyDescent="0.25">
      <c r="A4079">
        <v>762.19944598337997</v>
      </c>
      <c r="B4079">
        <v>796.02493074791005</v>
      </c>
      <c r="C4079" s="1">
        <f t="shared" si="1203"/>
        <v>4.4378784244442526E-2</v>
      </c>
      <c r="D4079">
        <v>13.502133712659999</v>
      </c>
      <c r="E4079">
        <v>0.52934332289454999</v>
      </c>
      <c r="F4079">
        <v>18</v>
      </c>
    </row>
    <row r="4080" spans="1:9" x14ac:dyDescent="0.25">
      <c r="A4080">
        <v>753.99445983378996</v>
      </c>
      <c r="B4080">
        <v>791.34072022159</v>
      </c>
      <c r="C4080" s="1">
        <f t="shared" si="1203"/>
        <v>4.9531213261212237E-2</v>
      </c>
      <c r="D4080">
        <v>13.291607396870999</v>
      </c>
      <c r="E4080">
        <v>0.52489350213517005</v>
      </c>
      <c r="F4080">
        <v>19</v>
      </c>
    </row>
    <row r="4081" spans="1:9" x14ac:dyDescent="0.25">
      <c r="A4081">
        <v>750.61495844875003</v>
      </c>
      <c r="B4081">
        <v>781.86149584485997</v>
      </c>
      <c r="C4081" s="1">
        <f t="shared" si="1203"/>
        <v>4.1627917275570026E-2</v>
      </c>
      <c r="D4081">
        <v>13.550497866286999</v>
      </c>
      <c r="E4081">
        <v>0.54490796854446</v>
      </c>
      <c r="F4081">
        <v>18</v>
      </c>
    </row>
    <row r="4082" spans="1:9" x14ac:dyDescent="0.25">
      <c r="A4082">
        <v>755.14127423823004</v>
      </c>
      <c r="B4082">
        <v>786.57894736841001</v>
      </c>
      <c r="C4082" s="1">
        <f t="shared" si="1203"/>
        <v>4.1631512145715588E-2</v>
      </c>
      <c r="D4082">
        <v>13.658605974395</v>
      </c>
      <c r="E4082">
        <v>0.54645315204738998</v>
      </c>
      <c r="F4082">
        <v>19</v>
      </c>
    </row>
    <row r="4083" spans="1:9" x14ac:dyDescent="0.25">
      <c r="A4083">
        <v>756.16897506925</v>
      </c>
      <c r="B4083">
        <v>783.78670360110004</v>
      </c>
      <c r="C4083" s="1">
        <f t="shared" si="1203"/>
        <v>3.6523223568278196E-2</v>
      </c>
      <c r="D4083">
        <v>13.633001422474999</v>
      </c>
      <c r="E4083">
        <v>0.54315347620859999</v>
      </c>
      <c r="F4083">
        <v>18</v>
      </c>
    </row>
    <row r="4084" spans="1:9" x14ac:dyDescent="0.25">
      <c r="A4084">
        <v>752.07202216066003</v>
      </c>
      <c r="B4084">
        <v>789.87811634347997</v>
      </c>
      <c r="C4084" s="1">
        <f t="shared" si="1203"/>
        <v>5.026924691893897E-2</v>
      </c>
      <c r="D4084">
        <v>13.641536273114999</v>
      </c>
      <c r="E4084">
        <v>0.54884862047229999</v>
      </c>
      <c r="F4084">
        <v>18</v>
      </c>
    </row>
    <row r="4085" spans="1:9" x14ac:dyDescent="0.25">
      <c r="A4085">
        <v>747.70637119113997</v>
      </c>
      <c r="B4085">
        <v>780.85872576175996</v>
      </c>
      <c r="C4085" s="1">
        <f t="shared" si="1203"/>
        <v>4.4338734893760945E-2</v>
      </c>
      <c r="D4085">
        <v>13.53627311522</v>
      </c>
      <c r="E4085">
        <v>0.54652520564934004</v>
      </c>
      <c r="F4085">
        <v>19</v>
      </c>
    </row>
    <row r="4086" spans="1:9" x14ac:dyDescent="0.25">
      <c r="A4086">
        <v>750.61495844875003</v>
      </c>
      <c r="B4086">
        <v>789.55124653738005</v>
      </c>
      <c r="C4086" s="1">
        <f t="shared" si="1203"/>
        <v>5.1872518193745165E-2</v>
      </c>
      <c r="D4086">
        <v>13.496443812233</v>
      </c>
      <c r="E4086">
        <v>0.54138564804169997</v>
      </c>
      <c r="F4086">
        <v>18</v>
      </c>
    </row>
    <row r="4087" spans="1:9" x14ac:dyDescent="0.25">
      <c r="A4087">
        <v>752.81163434902999</v>
      </c>
      <c r="B4087">
        <v>782.03047091410997</v>
      </c>
      <c r="C4087" s="1">
        <f t="shared" si="1203"/>
        <v>3.8812945007612676E-2</v>
      </c>
      <c r="D4087">
        <v>13.26600284495</v>
      </c>
      <c r="E4087">
        <v>0.52426582620245998</v>
      </c>
      <c r="F4087">
        <v>19</v>
      </c>
    </row>
    <row r="4088" spans="1:9" x14ac:dyDescent="0.25">
      <c r="A4088">
        <v>759.32409972299001</v>
      </c>
      <c r="B4088">
        <v>795.18282548474997</v>
      </c>
      <c r="C4088" s="1">
        <f t="shared" si="1203"/>
        <v>4.7224532679578601E-2</v>
      </c>
      <c r="D4088">
        <v>13.792318634423999</v>
      </c>
      <c r="E4088">
        <v>0.54980688239092002</v>
      </c>
      <c r="F4088">
        <v>18</v>
      </c>
    </row>
    <row r="4089" spans="1:9" x14ac:dyDescent="0.25">
      <c r="A4089">
        <v>751.99722991689998</v>
      </c>
      <c r="B4089">
        <v>785.16620498613997</v>
      </c>
      <c r="C4089" s="1">
        <f t="shared" si="1203"/>
        <v>4.4107842089930793E-2</v>
      </c>
      <c r="D4089">
        <v>13.564722617354001</v>
      </c>
      <c r="E4089">
        <v>0.54410415946471002</v>
      </c>
      <c r="F4089">
        <v>18</v>
      </c>
    </row>
    <row r="4090" spans="1:9" x14ac:dyDescent="0.25">
      <c r="A4090">
        <v>737.43490304708996</v>
      </c>
      <c r="B4090">
        <v>776.24099722990002</v>
      </c>
      <c r="C4090" s="1">
        <f t="shared" si="1203"/>
        <v>5.2623077674331498E-2</v>
      </c>
      <c r="D4090">
        <v>13.52773826458</v>
      </c>
      <c r="E4090">
        <v>0.55812904979238998</v>
      </c>
      <c r="F4090">
        <v>19</v>
      </c>
      <c r="H4090" t="s">
        <v>17</v>
      </c>
      <c r="I4090">
        <f t="shared" ref="I4090" si="1216">STDEVP(A4076:A4095)</f>
        <v>5.8131060103102419</v>
      </c>
    </row>
    <row r="4091" spans="1:9" x14ac:dyDescent="0.25">
      <c r="A4091">
        <v>746.04986149583999</v>
      </c>
      <c r="B4091">
        <v>776.24653739611006</v>
      </c>
      <c r="C4091" s="1">
        <f t="shared" si="1203"/>
        <v>4.0475412514286102E-2</v>
      </c>
      <c r="D4091">
        <v>13.402560455192001</v>
      </c>
      <c r="E4091">
        <v>0.54002367388091999</v>
      </c>
      <c r="F4091">
        <v>18</v>
      </c>
      <c r="H4091" t="s">
        <v>18</v>
      </c>
      <c r="I4091">
        <f t="shared" ref="I4091" si="1217">STDEVP(B4076:B4095)</f>
        <v>6.6091409941416783</v>
      </c>
    </row>
    <row r="4092" spans="1:9" x14ac:dyDescent="0.25">
      <c r="A4092">
        <v>751.35180055401997</v>
      </c>
      <c r="B4092">
        <v>784.22714681439004</v>
      </c>
      <c r="C4092" s="1">
        <f t="shared" si="1203"/>
        <v>4.3754931093701988E-2</v>
      </c>
      <c r="D4092">
        <v>13.550497866286999</v>
      </c>
      <c r="E4092">
        <v>0.54395445526073005</v>
      </c>
      <c r="F4092">
        <v>18</v>
      </c>
      <c r="H4092" t="s">
        <v>19</v>
      </c>
      <c r="I4092">
        <f t="shared" ref="I4092" si="1218">STDEVP(C4076:C4095)</f>
        <v>6.4306346621652438E-3</v>
      </c>
    </row>
    <row r="4093" spans="1:9" x14ac:dyDescent="0.25">
      <c r="A4093">
        <v>743.51246537396003</v>
      </c>
      <c r="B4093">
        <v>789.62880886425</v>
      </c>
      <c r="C4093" s="1">
        <f t="shared" si="1203"/>
        <v>6.2024976900817874E-2</v>
      </c>
      <c r="D4093">
        <v>13.337126600284</v>
      </c>
      <c r="E4093">
        <v>0.53917312142657003</v>
      </c>
      <c r="F4093">
        <v>19</v>
      </c>
      <c r="H4093" t="s">
        <v>20</v>
      </c>
      <c r="I4093">
        <f t="shared" ref="I4093" si="1219">STDEVP(D4076:D4095)</f>
        <v>0.13260794825527616</v>
      </c>
    </row>
    <row r="4094" spans="1:9" x14ac:dyDescent="0.25">
      <c r="A4094">
        <v>759.42936288089004</v>
      </c>
      <c r="B4094">
        <v>797.31301939057005</v>
      </c>
      <c r="C4094" s="1">
        <f t="shared" si="1203"/>
        <v>4.9884371557571416E-2</v>
      </c>
      <c r="D4094">
        <v>13.522048364153999</v>
      </c>
      <c r="E4094">
        <v>0.53383498648492</v>
      </c>
      <c r="F4094">
        <v>18</v>
      </c>
      <c r="H4094" t="s">
        <v>21</v>
      </c>
      <c r="I4094">
        <f t="shared" ref="I4094" si="1220">STDEVP(E4076:E4095)</f>
        <v>8.4394409075592494E-3</v>
      </c>
    </row>
    <row r="4095" spans="1:9" x14ac:dyDescent="0.25">
      <c r="A4095">
        <v>748.39612188366004</v>
      </c>
      <c r="B4095">
        <v>782.41828254845996</v>
      </c>
      <c r="C4095" s="1">
        <f t="shared" si="1203"/>
        <v>4.5460097493782436E-2</v>
      </c>
      <c r="D4095">
        <v>13.325746799431</v>
      </c>
      <c r="E4095">
        <v>0.53273935904754</v>
      </c>
      <c r="F4095">
        <v>19</v>
      </c>
      <c r="H4095" t="s">
        <v>22</v>
      </c>
      <c r="I4095">
        <f t="shared" ref="I4095" si="1221">STDEVP(F4076:F4095)</f>
        <v>0.48989794855663565</v>
      </c>
    </row>
    <row r="4096" spans="1:9" x14ac:dyDescent="0.25">
      <c r="C4096" s="1" t="str">
        <f t="shared" si="1203"/>
        <v/>
      </c>
    </row>
    <row r="4097" spans="1:9" x14ac:dyDescent="0.25">
      <c r="A4097">
        <v>1615.7160664820001</v>
      </c>
      <c r="B4097">
        <v>1652.6024930747999</v>
      </c>
      <c r="C4097" s="1">
        <f t="shared" si="1203"/>
        <v>2.2829770253578685E-2</v>
      </c>
      <c r="D4097">
        <v>15.672280701754</v>
      </c>
      <c r="E4097">
        <v>0.23719118243097001</v>
      </c>
      <c r="F4097">
        <v>31</v>
      </c>
    </row>
    <row r="4098" spans="1:9" x14ac:dyDescent="0.25">
      <c r="A4098">
        <v>1597.3462603877999</v>
      </c>
      <c r="B4098">
        <v>1637.2340720222001</v>
      </c>
      <c r="C4098" s="1">
        <f t="shared" ref="C4098:C4161" si="1222">IFERROR((B4098/A4098)-1,"")</f>
        <v>2.4971299350408982E-2</v>
      </c>
      <c r="D4098">
        <v>15.164210526315999</v>
      </c>
      <c r="E4098">
        <v>0.23103816708359001</v>
      </c>
      <c r="F4098">
        <v>33</v>
      </c>
    </row>
    <row r="4099" spans="1:9" x14ac:dyDescent="0.25">
      <c r="A4099">
        <v>1598.7548476454001</v>
      </c>
      <c r="B4099">
        <v>1646.2465373960999</v>
      </c>
      <c r="C4099" s="1">
        <f t="shared" si="1222"/>
        <v>2.9705423455412383E-2</v>
      </c>
      <c r="D4099">
        <v>15.551578947368</v>
      </c>
      <c r="E4099">
        <v>0.23800225521512999</v>
      </c>
      <c r="F4099">
        <v>32</v>
      </c>
    </row>
    <row r="4100" spans="1:9" x14ac:dyDescent="0.25">
      <c r="A4100">
        <v>1620.2271468143999</v>
      </c>
      <c r="B4100">
        <v>1656.4085872575999</v>
      </c>
      <c r="C4100" s="1">
        <f t="shared" si="1222"/>
        <v>2.23310913623056E-2</v>
      </c>
      <c r="D4100">
        <v>15.36350877193</v>
      </c>
      <c r="E4100">
        <v>0.23071059649997</v>
      </c>
      <c r="F4100">
        <v>34</v>
      </c>
    </row>
    <row r="4101" spans="1:9" x14ac:dyDescent="0.25">
      <c r="A4101">
        <v>1611.6301939058001</v>
      </c>
      <c r="B4101">
        <v>1649.5027700830999</v>
      </c>
      <c r="C4101" s="1">
        <f t="shared" si="1222"/>
        <v>2.3499544945553064E-2</v>
      </c>
      <c r="D4101">
        <v>15.465263157895</v>
      </c>
      <c r="E4101">
        <v>0.23414941385780999</v>
      </c>
      <c r="F4101">
        <v>34</v>
      </c>
    </row>
    <row r="4102" spans="1:9" x14ac:dyDescent="0.25">
      <c r="A4102">
        <v>1609.7590027701001</v>
      </c>
      <c r="B4102">
        <v>1647.2783933518001</v>
      </c>
      <c r="C4102" s="1">
        <f t="shared" si="1222"/>
        <v>2.3307458145682691E-2</v>
      </c>
      <c r="D4102">
        <v>15.169122807018001</v>
      </c>
      <c r="E4102">
        <v>0.22895181497722</v>
      </c>
      <c r="F4102">
        <v>34</v>
      </c>
    </row>
    <row r="4103" spans="1:9" x14ac:dyDescent="0.25">
      <c r="A4103">
        <v>1598.1385041551</v>
      </c>
      <c r="B4103">
        <v>1643.1662049862</v>
      </c>
      <c r="C4103" s="1">
        <f t="shared" si="1222"/>
        <v>2.817509290592124E-2</v>
      </c>
      <c r="D4103">
        <v>15.233684210526</v>
      </c>
      <c r="E4103">
        <v>0.23217393405673001</v>
      </c>
      <c r="F4103">
        <v>33</v>
      </c>
    </row>
    <row r="4104" spans="1:9" x14ac:dyDescent="0.25">
      <c r="A4104">
        <v>1613.4335180055</v>
      </c>
      <c r="B4104">
        <v>1651.8254847646001</v>
      </c>
      <c r="C4104" s="1">
        <f t="shared" si="1222"/>
        <v>2.379519597842461E-2</v>
      </c>
      <c r="D4104">
        <v>15.385964912281</v>
      </c>
      <c r="E4104">
        <v>0.23239146558289001</v>
      </c>
      <c r="F4104">
        <v>32</v>
      </c>
    </row>
    <row r="4105" spans="1:9" x14ac:dyDescent="0.25">
      <c r="A4105">
        <v>1608.0221606647999</v>
      </c>
      <c r="B4105">
        <v>1642.6495844875999</v>
      </c>
      <c r="C4105" s="1">
        <f t="shared" si="1222"/>
        <v>2.1534170778146455E-2</v>
      </c>
      <c r="D4105">
        <v>15.275789473684</v>
      </c>
      <c r="E4105">
        <v>0.23121004537580001</v>
      </c>
      <c r="F4105">
        <v>32</v>
      </c>
    </row>
    <row r="4106" spans="1:9" x14ac:dyDescent="0.25">
      <c r="A4106">
        <v>1616.6509695290999</v>
      </c>
      <c r="B4106">
        <v>1650.7313019390999</v>
      </c>
      <c r="C4106" s="1">
        <f t="shared" si="1222"/>
        <v>2.108082267128264E-2</v>
      </c>
      <c r="D4106">
        <v>15.566315789474</v>
      </c>
      <c r="E4106">
        <v>0.23521562463269999</v>
      </c>
      <c r="F4106">
        <v>35</v>
      </c>
    </row>
    <row r="4107" spans="1:9" x14ac:dyDescent="0.25">
      <c r="A4107">
        <v>1606.4155124654001</v>
      </c>
      <c r="B4107">
        <v>1642.5872576177001</v>
      </c>
      <c r="C4107" s="1">
        <f t="shared" si="1222"/>
        <v>2.2517054194021391E-2</v>
      </c>
      <c r="D4107">
        <v>15.221052631578999</v>
      </c>
      <c r="E4107">
        <v>0.23052507215936999</v>
      </c>
      <c r="F4107">
        <v>39</v>
      </c>
    </row>
    <row r="4108" spans="1:9" x14ac:dyDescent="0.25">
      <c r="A4108">
        <v>1630.9639889196999</v>
      </c>
      <c r="B4108">
        <v>1670.0277008309999</v>
      </c>
      <c r="C4108" s="1">
        <f t="shared" si="1222"/>
        <v>2.3951302528251839E-2</v>
      </c>
      <c r="D4108">
        <v>15.64350877193</v>
      </c>
      <c r="E4108">
        <v>0.23410844112595</v>
      </c>
      <c r="F4108">
        <v>36</v>
      </c>
    </row>
    <row r="4109" spans="1:9" x14ac:dyDescent="0.25">
      <c r="A4109">
        <v>1618.6357340720001</v>
      </c>
      <c r="B4109">
        <v>1651.8337950139</v>
      </c>
      <c r="C4109" s="1">
        <f t="shared" si="1222"/>
        <v>2.0509902409224345E-2</v>
      </c>
      <c r="D4109">
        <v>15.310877192982</v>
      </c>
      <c r="E4109">
        <v>0.2301208173416</v>
      </c>
      <c r="F4109">
        <v>35</v>
      </c>
    </row>
    <row r="4110" spans="1:9" x14ac:dyDescent="0.25">
      <c r="A4110">
        <v>1607.4155124654001</v>
      </c>
      <c r="B4110">
        <v>1650.0747922437999</v>
      </c>
      <c r="C4110" s="1">
        <f t="shared" si="1222"/>
        <v>2.6539049453971231E-2</v>
      </c>
      <c r="D4110">
        <v>15.607719298246</v>
      </c>
      <c r="E4110">
        <v>0.23766510318737</v>
      </c>
      <c r="F4110">
        <v>35</v>
      </c>
    </row>
    <row r="4111" spans="1:9" x14ac:dyDescent="0.25">
      <c r="A4111">
        <v>1611.1620498615</v>
      </c>
      <c r="B4111">
        <v>1640.8337950139</v>
      </c>
      <c r="C4111" s="1">
        <f t="shared" si="1222"/>
        <v>1.8416362993995961E-2</v>
      </c>
      <c r="D4111">
        <v>15.564210526316</v>
      </c>
      <c r="E4111">
        <v>0.23603316306078001</v>
      </c>
      <c r="F4111">
        <v>33</v>
      </c>
      <c r="H4111" t="s">
        <v>17</v>
      </c>
      <c r="I4111">
        <f t="shared" ref="I4111" si="1223">STDEVP(A4097:A4116)</f>
        <v>8.1021281921833221</v>
      </c>
    </row>
    <row r="4112" spans="1:9" x14ac:dyDescent="0.25">
      <c r="A4112">
        <v>1611.2659279777999</v>
      </c>
      <c r="B4112">
        <v>1661.9584487535001</v>
      </c>
      <c r="C4112" s="1">
        <f t="shared" si="1222"/>
        <v>3.1461300022226135E-2</v>
      </c>
      <c r="D4112">
        <v>15.176140350877001</v>
      </c>
      <c r="E4112">
        <v>0.22885887585737</v>
      </c>
      <c r="F4112">
        <v>33</v>
      </c>
      <c r="H4112" t="s">
        <v>18</v>
      </c>
      <c r="I4112">
        <f t="shared" ref="I4112" si="1224">STDEVP(B4097:B4116)</f>
        <v>7.4587264828718194</v>
      </c>
    </row>
    <row r="4113" spans="1:9" x14ac:dyDescent="0.25">
      <c r="A4113">
        <v>1616.3171745151999</v>
      </c>
      <c r="B4113">
        <v>1658.4861495845</v>
      </c>
      <c r="C4113" s="1">
        <f t="shared" si="1222"/>
        <v>2.6089542160528278E-2</v>
      </c>
      <c r="D4113">
        <v>15.694736842105</v>
      </c>
      <c r="E4113">
        <v>0.23769841544823</v>
      </c>
      <c r="F4113">
        <v>35</v>
      </c>
      <c r="H4113" t="s">
        <v>19</v>
      </c>
      <c r="I4113">
        <f t="shared" ref="I4113" si="1225">STDEVP(C4097:C4116)</f>
        <v>3.2878183717799428E-3</v>
      </c>
    </row>
    <row r="4114" spans="1:9" x14ac:dyDescent="0.25">
      <c r="A4114">
        <v>1602.1052631579</v>
      </c>
      <c r="B4114">
        <v>1647.7617728532</v>
      </c>
      <c r="C4114" s="1">
        <f t="shared" si="1222"/>
        <v>2.8497821426106906E-2</v>
      </c>
      <c r="D4114">
        <v>15.6</v>
      </c>
      <c r="E4114">
        <v>0.23836805293291999</v>
      </c>
      <c r="F4114">
        <v>34</v>
      </c>
      <c r="H4114" t="s">
        <v>20</v>
      </c>
      <c r="I4114">
        <f t="shared" ref="I4114" si="1226">STDEVP(D4097:D4116)</f>
        <v>0.18350943946745624</v>
      </c>
    </row>
    <row r="4115" spans="1:9" x14ac:dyDescent="0.25">
      <c r="A4115">
        <v>1603.0304709141001</v>
      </c>
      <c r="B4115">
        <v>1647.6966759003001</v>
      </c>
      <c r="C4115" s="1">
        <f t="shared" si="1222"/>
        <v>2.7863603216930599E-2</v>
      </c>
      <c r="D4115">
        <v>15.297543859649</v>
      </c>
      <c r="E4115">
        <v>0.23256095518378</v>
      </c>
      <c r="F4115">
        <v>35</v>
      </c>
      <c r="H4115" t="s">
        <v>21</v>
      </c>
      <c r="I4115">
        <f t="shared" ref="I4115" si="1227">STDEVP(E4097:E4116)</f>
        <v>3.1803230509915158E-3</v>
      </c>
    </row>
    <row r="4116" spans="1:9" x14ac:dyDescent="0.25">
      <c r="A4116">
        <v>1611.3531855956001</v>
      </c>
      <c r="B4116">
        <v>1647.2700831024999</v>
      </c>
      <c r="C4116" s="1">
        <f t="shared" si="1222"/>
        <v>2.2289897601576403E-2</v>
      </c>
      <c r="D4116">
        <v>15.211228070175</v>
      </c>
      <c r="E4116">
        <v>0.22966809116559</v>
      </c>
      <c r="F4116">
        <v>36</v>
      </c>
      <c r="H4116" t="s">
        <v>22</v>
      </c>
      <c r="I4116">
        <f t="shared" ref="I4116" si="1228">STDEVP(F4097:F4116)</f>
        <v>1.7741194999210168</v>
      </c>
    </row>
    <row r="4117" spans="1:9" x14ac:dyDescent="0.25">
      <c r="C4117" s="1" t="str">
        <f t="shared" si="1222"/>
        <v/>
      </c>
    </row>
    <row r="4118" spans="1:9" x14ac:dyDescent="0.25">
      <c r="A4118">
        <v>806.59765181164005</v>
      </c>
      <c r="B4118">
        <v>828.08963514707</v>
      </c>
      <c r="C4118" s="1">
        <f t="shared" si="1222"/>
        <v>2.6645234197196555E-2</v>
      </c>
      <c r="D4118">
        <v>9.0495403472932008</v>
      </c>
      <c r="E4118">
        <v>0.28597916740661999</v>
      </c>
      <c r="F4118">
        <v>10</v>
      </c>
    </row>
    <row r="4119" spans="1:9" x14ac:dyDescent="0.25">
      <c r="A4119">
        <v>808.24769599798003</v>
      </c>
      <c r="B4119">
        <v>828.14291124858005</v>
      </c>
      <c r="C4119" s="1">
        <f t="shared" si="1222"/>
        <v>2.4615245238694516E-2</v>
      </c>
      <c r="D4119">
        <v>8.9795709908069004</v>
      </c>
      <c r="E4119">
        <v>0.28267733858032001</v>
      </c>
      <c r="F4119">
        <v>10</v>
      </c>
    </row>
    <row r="4120" spans="1:9" x14ac:dyDescent="0.25">
      <c r="A4120">
        <v>808.57240247442996</v>
      </c>
      <c r="B4120">
        <v>827.64751925261999</v>
      </c>
      <c r="C4120" s="1">
        <f t="shared" si="1222"/>
        <v>2.3591105409751068E-2</v>
      </c>
      <c r="D4120">
        <v>8.9800817160367998</v>
      </c>
      <c r="E4120">
        <v>0.28234888205105002</v>
      </c>
      <c r="F4120">
        <v>10</v>
      </c>
    </row>
    <row r="4121" spans="1:9" x14ac:dyDescent="0.25">
      <c r="A4121">
        <v>806.24996843833003</v>
      </c>
      <c r="B4121">
        <v>834.97613937634003</v>
      </c>
      <c r="C4121" s="1">
        <f t="shared" si="1222"/>
        <v>3.5629360697714274E-2</v>
      </c>
      <c r="D4121">
        <v>8.9785495403473004</v>
      </c>
      <c r="E4121">
        <v>0.28329997535944001</v>
      </c>
      <c r="F4121">
        <v>11</v>
      </c>
    </row>
    <row r="4122" spans="1:9" x14ac:dyDescent="0.25">
      <c r="A4122">
        <v>807.99520262593001</v>
      </c>
      <c r="B4122">
        <v>831.66797121574996</v>
      </c>
      <c r="C4122" s="1">
        <f t="shared" si="1222"/>
        <v>2.9298154881223448E-2</v>
      </c>
      <c r="D4122">
        <v>9.0122574055158005</v>
      </c>
      <c r="E4122">
        <v>0.28408646121261</v>
      </c>
      <c r="F4122">
        <v>10</v>
      </c>
    </row>
    <row r="4123" spans="1:9" x14ac:dyDescent="0.25">
      <c r="A4123">
        <v>803.40032824137995</v>
      </c>
      <c r="B4123">
        <v>828.01691705591998</v>
      </c>
      <c r="C4123" s="1">
        <f t="shared" si="1222"/>
        <v>3.0640501315732704E-2</v>
      </c>
      <c r="D4123">
        <v>9.0776302349336007</v>
      </c>
      <c r="E4123">
        <v>0.28836621924374001</v>
      </c>
      <c r="F4123">
        <v>10</v>
      </c>
    </row>
    <row r="4124" spans="1:9" x14ac:dyDescent="0.25">
      <c r="A4124">
        <v>815.67403105667995</v>
      </c>
      <c r="B4124">
        <v>835.42860749905003</v>
      </c>
      <c r="C4124" s="1">
        <f t="shared" si="1222"/>
        <v>2.4218714449911527E-2</v>
      </c>
      <c r="D4124">
        <v>8.9141981613891996</v>
      </c>
      <c r="E4124">
        <v>0.27669565978214</v>
      </c>
      <c r="F4124">
        <v>10</v>
      </c>
    </row>
    <row r="4125" spans="1:9" x14ac:dyDescent="0.25">
      <c r="A4125">
        <v>810.57442242140996</v>
      </c>
      <c r="B4125">
        <v>833.47759121322997</v>
      </c>
      <c r="C4125" s="1">
        <f t="shared" si="1222"/>
        <v>2.8255479272837114E-2</v>
      </c>
      <c r="D4125">
        <v>9.0347293156281996</v>
      </c>
      <c r="E4125">
        <v>0.28397905365812998</v>
      </c>
      <c r="F4125">
        <v>10</v>
      </c>
    </row>
    <row r="4126" spans="1:9" x14ac:dyDescent="0.25">
      <c r="A4126">
        <v>809.74523418759998</v>
      </c>
      <c r="B4126">
        <v>835.15793460421003</v>
      </c>
      <c r="C4126" s="1">
        <f t="shared" si="1222"/>
        <v>3.13835751588043E-2</v>
      </c>
      <c r="D4126">
        <v>9.0791624106231001</v>
      </c>
      <c r="E4126">
        <v>0.28579390350397998</v>
      </c>
      <c r="F4126">
        <v>11</v>
      </c>
    </row>
    <row r="4127" spans="1:9" x14ac:dyDescent="0.25">
      <c r="A4127">
        <v>806.87918192147004</v>
      </c>
      <c r="B4127">
        <v>829.83436434792998</v>
      </c>
      <c r="C4127" s="1">
        <f t="shared" si="1222"/>
        <v>2.8449342777434605E-2</v>
      </c>
      <c r="D4127">
        <v>9.0694586312563992</v>
      </c>
      <c r="E4127">
        <v>0.28674104480467999</v>
      </c>
      <c r="F4127">
        <v>10</v>
      </c>
    </row>
    <row r="4128" spans="1:9" x14ac:dyDescent="0.25">
      <c r="A4128">
        <v>807.32761015023004</v>
      </c>
      <c r="B4128">
        <v>830.56962504733997</v>
      </c>
      <c r="C4128" s="1">
        <f t="shared" si="1222"/>
        <v>2.8788826995257866E-2</v>
      </c>
      <c r="D4128">
        <v>9.0194075587334002</v>
      </c>
      <c r="E4128">
        <v>0.28441426874955</v>
      </c>
      <c r="F4128">
        <v>10</v>
      </c>
    </row>
    <row r="4129" spans="1:9" x14ac:dyDescent="0.25">
      <c r="A4129">
        <v>812.84762024996996</v>
      </c>
      <c r="B4129">
        <v>834.85948743844995</v>
      </c>
      <c r="C4129" s="1">
        <f t="shared" si="1222"/>
        <v>2.7079942956234282E-2</v>
      </c>
      <c r="D4129">
        <v>8.9371807967314005</v>
      </c>
      <c r="E4129">
        <v>0.27909144496330002</v>
      </c>
      <c r="F4129">
        <v>10</v>
      </c>
    </row>
    <row r="4130" spans="1:9" x14ac:dyDescent="0.25">
      <c r="A4130">
        <v>810.40979674283994</v>
      </c>
      <c r="B4130">
        <v>833.19833354373998</v>
      </c>
      <c r="C4130" s="1">
        <f t="shared" si="1222"/>
        <v>2.8119769643075276E-2</v>
      </c>
      <c r="D4130">
        <v>9.0582226762002005</v>
      </c>
      <c r="E4130">
        <v>0.28458387406278002</v>
      </c>
      <c r="F4130">
        <v>11</v>
      </c>
    </row>
    <row r="4131" spans="1:9" x14ac:dyDescent="0.25">
      <c r="A4131">
        <v>805.55182426460999</v>
      </c>
      <c r="B4131">
        <v>829.19025375582999</v>
      </c>
      <c r="C4131" s="1">
        <f t="shared" si="1222"/>
        <v>2.9344393221130805E-2</v>
      </c>
      <c r="D4131">
        <v>9.0398365679264998</v>
      </c>
      <c r="E4131">
        <v>0.28623478012655001</v>
      </c>
      <c r="F4131">
        <v>10</v>
      </c>
    </row>
    <row r="4132" spans="1:9" x14ac:dyDescent="0.25">
      <c r="A4132">
        <v>803.31725792197994</v>
      </c>
      <c r="B4132">
        <v>833.49627572275995</v>
      </c>
      <c r="C4132" s="1">
        <f t="shared" si="1222"/>
        <v>3.7567993844483061E-2</v>
      </c>
      <c r="D4132">
        <v>8.9836567926456006</v>
      </c>
      <c r="E4132">
        <v>0.28495542755153003</v>
      </c>
      <c r="F4132">
        <v>10</v>
      </c>
      <c r="H4132" t="s">
        <v>17</v>
      </c>
      <c r="I4132">
        <f t="shared" ref="I4132" si="1229">STDEVP(A4118:A4137)</f>
        <v>3.6164389863442317</v>
      </c>
    </row>
    <row r="4133" spans="1:9" x14ac:dyDescent="0.25">
      <c r="A4133">
        <v>807.58161848250995</v>
      </c>
      <c r="B4133">
        <v>828.6350208307</v>
      </c>
      <c r="C4133" s="1">
        <f t="shared" si="1222"/>
        <v>2.606968988193481E-2</v>
      </c>
      <c r="D4133">
        <v>8.9708886618999006</v>
      </c>
      <c r="E4133">
        <v>0.28230578906893</v>
      </c>
      <c r="F4133">
        <v>10</v>
      </c>
      <c r="H4133" t="s">
        <v>18</v>
      </c>
      <c r="I4133">
        <f t="shared" ref="I4133" si="1230">STDEVP(B4118:B4137)</f>
        <v>3.673909508380786</v>
      </c>
    </row>
    <row r="4134" spans="1:9" x14ac:dyDescent="0.25">
      <c r="A4134">
        <v>807.21903800024995</v>
      </c>
      <c r="B4134">
        <v>828.06312334301003</v>
      </c>
      <c r="C4134" s="1">
        <f t="shared" si="1222"/>
        <v>2.5822093337141583E-2</v>
      </c>
      <c r="D4134">
        <v>8.9570990806946007</v>
      </c>
      <c r="E4134">
        <v>0.28215922351389999</v>
      </c>
      <c r="F4134">
        <v>10</v>
      </c>
      <c r="H4134" t="s">
        <v>19</v>
      </c>
      <c r="I4134">
        <f t="shared" ref="I4134" si="1231">STDEVP(C4118:C4137)</f>
        <v>3.4198684368781799E-3</v>
      </c>
    </row>
    <row r="4135" spans="1:9" x14ac:dyDescent="0.25">
      <c r="A4135">
        <v>815.72402474435</v>
      </c>
      <c r="B4135">
        <v>837.80305516980002</v>
      </c>
      <c r="C4135" s="1">
        <f t="shared" si="1222"/>
        <v>2.7066789448023876E-2</v>
      </c>
      <c r="D4135">
        <v>9.1189989785495005</v>
      </c>
      <c r="E4135">
        <v>0.28470535095195998</v>
      </c>
      <c r="F4135">
        <v>10</v>
      </c>
      <c r="H4135" t="s">
        <v>20</v>
      </c>
      <c r="I4135">
        <f t="shared" ref="I4135" si="1232">STDEVP(D4118:D4137)</f>
        <v>5.218142432425444E-2</v>
      </c>
    </row>
    <row r="4136" spans="1:9" x14ac:dyDescent="0.25">
      <c r="A4136">
        <v>801.12359550561996</v>
      </c>
      <c r="B4136">
        <v>822.12776164624995</v>
      </c>
      <c r="C4136" s="1">
        <f t="shared" si="1222"/>
        <v>2.6218384102609571E-2</v>
      </c>
      <c r="D4136">
        <v>9.0454545454545006</v>
      </c>
      <c r="E4136">
        <v>0.28808087056595999</v>
      </c>
      <c r="F4136">
        <v>11</v>
      </c>
      <c r="H4136" t="s">
        <v>21</v>
      </c>
      <c r="I4136">
        <f t="shared" ref="I4136" si="1233">STDEVP(E4118:E4137)</f>
        <v>2.7224180820158064E-3</v>
      </c>
    </row>
    <row r="4137" spans="1:9" x14ac:dyDescent="0.25">
      <c r="A4137">
        <v>807.64474182552999</v>
      </c>
      <c r="B4137">
        <v>829.02310314353997</v>
      </c>
      <c r="C4137" s="1">
        <f t="shared" si="1222"/>
        <v>2.647000619317863E-2</v>
      </c>
      <c r="D4137">
        <v>9.0536261491317997</v>
      </c>
      <c r="E4137">
        <v>0.28557598239304999</v>
      </c>
      <c r="F4137">
        <v>10</v>
      </c>
      <c r="H4137" t="s">
        <v>22</v>
      </c>
      <c r="I4137">
        <f t="shared" ref="I4137" si="1234">STDEVP(F4118:F4137)</f>
        <v>0.39999999999999997</v>
      </c>
    </row>
    <row r="4138" spans="1:9" x14ac:dyDescent="0.25">
      <c r="C4138" s="1" t="str">
        <f t="shared" si="1222"/>
        <v/>
      </c>
    </row>
    <row r="4139" spans="1:9" x14ac:dyDescent="0.25">
      <c r="A4139">
        <v>2272.6193293885999</v>
      </c>
      <c r="B4139">
        <v>2322.8934911242</v>
      </c>
      <c r="C4139" s="1">
        <f t="shared" si="1222"/>
        <v>2.2121681834469609E-2</v>
      </c>
      <c r="D4139">
        <v>20.18981018981</v>
      </c>
      <c r="E4139">
        <v>0.21305481380925001</v>
      </c>
      <c r="F4139">
        <v>70</v>
      </c>
    </row>
    <row r="4140" spans="1:9" x14ac:dyDescent="0.25">
      <c r="A4140">
        <v>2276.1932938855998</v>
      </c>
      <c r="B4140">
        <v>2320.6699539776</v>
      </c>
      <c r="C4140" s="1">
        <f t="shared" si="1222"/>
        <v>1.9539931082072526E-2</v>
      </c>
      <c r="D4140">
        <v>20.33966033966</v>
      </c>
      <c r="E4140">
        <v>0.21448422164219</v>
      </c>
      <c r="F4140">
        <v>64</v>
      </c>
    </row>
    <row r="4141" spans="1:9" x14ac:dyDescent="0.25">
      <c r="A4141">
        <v>2296.1466140696998</v>
      </c>
      <c r="B4141">
        <v>2340.9434582510999</v>
      </c>
      <c r="C4141" s="1">
        <f t="shared" si="1222"/>
        <v>1.9509574827193621E-2</v>
      </c>
      <c r="D4141">
        <v>20.323010323009999</v>
      </c>
      <c r="E4141">
        <v>0.21197267620873</v>
      </c>
      <c r="F4141">
        <v>80</v>
      </c>
    </row>
    <row r="4142" spans="1:9" x14ac:dyDescent="0.25">
      <c r="A4142">
        <v>2266.6219592373</v>
      </c>
      <c r="B4142">
        <v>2311.8067061143001</v>
      </c>
      <c r="C4142" s="1">
        <f t="shared" si="1222"/>
        <v>1.9934840343735383E-2</v>
      </c>
      <c r="D4142">
        <v>20.299034299033998</v>
      </c>
      <c r="E4142">
        <v>0.21502826223390001</v>
      </c>
      <c r="F4142">
        <v>73</v>
      </c>
    </row>
    <row r="4143" spans="1:9" x14ac:dyDescent="0.25">
      <c r="A4143">
        <v>2287.0953320183999</v>
      </c>
      <c r="B4143">
        <v>2340.9802761341002</v>
      </c>
      <c r="C4143" s="1">
        <f t="shared" si="1222"/>
        <v>2.356042765744526E-2</v>
      </c>
      <c r="D4143">
        <v>20.712620712621</v>
      </c>
      <c r="E4143">
        <v>0.2180807674138</v>
      </c>
      <c r="F4143">
        <v>72</v>
      </c>
    </row>
    <row r="4144" spans="1:9" x14ac:dyDescent="0.25">
      <c r="A4144">
        <v>2266.4142011834001</v>
      </c>
      <c r="B4144">
        <v>2320.4017094015999</v>
      </c>
      <c r="C4144" s="1">
        <f t="shared" si="1222"/>
        <v>2.3820671521564973E-2</v>
      </c>
      <c r="D4144">
        <v>20.553446553446999</v>
      </c>
      <c r="E4144">
        <v>0.21852823025925</v>
      </c>
      <c r="F4144">
        <v>63</v>
      </c>
    </row>
    <row r="4145" spans="1:9" x14ac:dyDescent="0.25">
      <c r="A4145">
        <v>2269.0473372780998</v>
      </c>
      <c r="B4145">
        <v>2314.4056541748</v>
      </c>
      <c r="C4145" s="1">
        <f t="shared" si="1222"/>
        <v>1.999002671804595E-2</v>
      </c>
      <c r="D4145">
        <v>20.251748251748001</v>
      </c>
      <c r="E4145">
        <v>0.21430307774471999</v>
      </c>
      <c r="F4145">
        <v>69</v>
      </c>
    </row>
    <row r="4146" spans="1:9" x14ac:dyDescent="0.25">
      <c r="A4146">
        <v>2272.0046022353999</v>
      </c>
      <c r="B4146">
        <v>2326.6429980275002</v>
      </c>
      <c r="C4146" s="1">
        <f t="shared" si="1222"/>
        <v>2.404854098373832E-2</v>
      </c>
      <c r="D4146">
        <v>20.165168165168001</v>
      </c>
      <c r="E4146">
        <v>0.21276897004074</v>
      </c>
      <c r="F4146">
        <v>69</v>
      </c>
    </row>
    <row r="4147" spans="1:9" x14ac:dyDescent="0.25">
      <c r="A4147">
        <v>2272.2879684417999</v>
      </c>
      <c r="B4147">
        <v>2326.0453648913999</v>
      </c>
      <c r="C4147" s="1">
        <f t="shared" si="1222"/>
        <v>2.3657827351197813E-2</v>
      </c>
      <c r="D4147">
        <v>20.583416583417002</v>
      </c>
      <c r="E4147">
        <v>0.21808989947217999</v>
      </c>
      <c r="F4147">
        <v>67</v>
      </c>
    </row>
    <row r="4148" spans="1:9" x14ac:dyDescent="0.25">
      <c r="A4148">
        <v>2275.5535831689999</v>
      </c>
      <c r="B4148">
        <v>2327.0256410256002</v>
      </c>
      <c r="C4148" s="1">
        <f t="shared" si="1222"/>
        <v>2.2619576281266429E-2</v>
      </c>
      <c r="D4148">
        <v>20.705960705961001</v>
      </c>
      <c r="E4148">
        <v>0.21928639915116999</v>
      </c>
      <c r="F4148">
        <v>63</v>
      </c>
    </row>
    <row r="4149" spans="1:9" x14ac:dyDescent="0.25">
      <c r="A4149">
        <v>2268.9704142012001</v>
      </c>
      <c r="B4149">
        <v>2323.2353714660999</v>
      </c>
      <c r="C4149" s="1">
        <f t="shared" si="1222"/>
        <v>2.3916114959129597E-2</v>
      </c>
      <c r="D4149">
        <v>20.199800199799999</v>
      </c>
      <c r="E4149">
        <v>0.2135111529066</v>
      </c>
      <c r="F4149">
        <v>69</v>
      </c>
    </row>
    <row r="4150" spans="1:9" x14ac:dyDescent="0.25">
      <c r="A4150">
        <v>2283.4944115713001</v>
      </c>
      <c r="B4150">
        <v>2337.5693622616</v>
      </c>
      <c r="C4150" s="1">
        <f t="shared" si="1222"/>
        <v>2.3680789589973328E-2</v>
      </c>
      <c r="D4150">
        <v>20.612054612055001</v>
      </c>
      <c r="E4150">
        <v>0.21721695333377</v>
      </c>
      <c r="F4150">
        <v>73</v>
      </c>
    </row>
    <row r="4151" spans="1:9" x14ac:dyDescent="0.25">
      <c r="A4151">
        <v>2297.3451676528998</v>
      </c>
      <c r="B4151">
        <v>2344.8698224851</v>
      </c>
      <c r="C4151" s="1">
        <f t="shared" si="1222"/>
        <v>2.068677162724919E-2</v>
      </c>
      <c r="D4151">
        <v>20.413586413586</v>
      </c>
      <c r="E4151">
        <v>0.21316295390338</v>
      </c>
      <c r="F4151">
        <v>68</v>
      </c>
    </row>
    <row r="4152" spans="1:9" x14ac:dyDescent="0.25">
      <c r="A4152">
        <v>2267.8882314266998</v>
      </c>
      <c r="B4152">
        <v>2327.8415516107002</v>
      </c>
      <c r="C4152" s="1">
        <f t="shared" si="1222"/>
        <v>2.643574729707221E-2</v>
      </c>
      <c r="D4152">
        <v>20.215118215118</v>
      </c>
      <c r="E4152">
        <v>0.21385332360338999</v>
      </c>
      <c r="F4152">
        <v>69</v>
      </c>
    </row>
    <row r="4153" spans="1:9" x14ac:dyDescent="0.25">
      <c r="A4153">
        <v>2272.5207100592002</v>
      </c>
      <c r="B4153">
        <v>2319.2235371465999</v>
      </c>
      <c r="C4153" s="1">
        <f t="shared" si="1222"/>
        <v>2.0551111759145702E-2</v>
      </c>
      <c r="D4153">
        <v>20.483516483515999</v>
      </c>
      <c r="E4153">
        <v>0.21678241930455</v>
      </c>
      <c r="F4153">
        <v>68</v>
      </c>
      <c r="H4153" t="s">
        <v>17</v>
      </c>
      <c r="I4153">
        <f t="shared" ref="I4153" si="1235">STDEVP(A4139:A4158)</f>
        <v>9.3183538896642695</v>
      </c>
    </row>
    <row r="4154" spans="1:9" x14ac:dyDescent="0.25">
      <c r="A4154">
        <v>2280.5996055227001</v>
      </c>
      <c r="B4154">
        <v>2328.0078895462998</v>
      </c>
      <c r="C4154" s="1">
        <f t="shared" si="1222"/>
        <v>2.0787640192866608E-2</v>
      </c>
      <c r="D4154">
        <v>20.721278721278999</v>
      </c>
      <c r="E4154">
        <v>0.21895194740141</v>
      </c>
      <c r="F4154">
        <v>71</v>
      </c>
      <c r="H4154" t="s">
        <v>18</v>
      </c>
      <c r="I4154">
        <f t="shared" ref="I4154" si="1236">STDEVP(B4139:B4158)</f>
        <v>10.052894837540512</v>
      </c>
    </row>
    <row r="4155" spans="1:9" x14ac:dyDescent="0.25">
      <c r="A4155">
        <v>2270.6541748848999</v>
      </c>
      <c r="B4155">
        <v>2312.2596975673</v>
      </c>
      <c r="C4155" s="1">
        <f t="shared" si="1222"/>
        <v>1.8323143674887854E-2</v>
      </c>
      <c r="D4155">
        <v>20.208458208458001</v>
      </c>
      <c r="E4155">
        <v>0.21340634688744001</v>
      </c>
      <c r="F4155">
        <v>71</v>
      </c>
      <c r="H4155" t="s">
        <v>19</v>
      </c>
      <c r="I4155">
        <f t="shared" ref="I4155" si="1237">STDEVP(C4139:C4158)</f>
        <v>2.2338935821017238E-3</v>
      </c>
    </row>
    <row r="4156" spans="1:9" x14ac:dyDescent="0.25">
      <c r="A4156">
        <v>2278.1525312294998</v>
      </c>
      <c r="B4156">
        <v>2321.0624589086001</v>
      </c>
      <c r="C4156" s="1">
        <f t="shared" si="1222"/>
        <v>1.883540592250954E-2</v>
      </c>
      <c r="D4156">
        <v>20.490842490841999</v>
      </c>
      <c r="E4156">
        <v>0.21637524659422</v>
      </c>
      <c r="F4156">
        <v>67</v>
      </c>
      <c r="H4156" t="s">
        <v>20</v>
      </c>
      <c r="I4156">
        <f t="shared" ref="I4156" si="1238">STDEVP(D4139:D4158)</f>
        <v>0.18875362148582825</v>
      </c>
    </row>
    <row r="4157" spans="1:9" x14ac:dyDescent="0.25">
      <c r="A4157">
        <v>2287.2932281394001</v>
      </c>
      <c r="B4157">
        <v>2333.2577251807002</v>
      </c>
      <c r="C4157" s="1">
        <f t="shared" si="1222"/>
        <v>2.009558567997427E-2</v>
      </c>
      <c r="D4157">
        <v>20.646020646021</v>
      </c>
      <c r="E4157">
        <v>0.21716792252605999</v>
      </c>
      <c r="F4157">
        <v>79</v>
      </c>
      <c r="H4157" t="s">
        <v>21</v>
      </c>
      <c r="I4157">
        <f t="shared" ref="I4157" si="1239">STDEVP(E4139:E4158)</f>
        <v>2.2629955470377812E-3</v>
      </c>
    </row>
    <row r="4158" spans="1:9" x14ac:dyDescent="0.25">
      <c r="A4158">
        <v>2288.6811308350002</v>
      </c>
      <c r="B4158">
        <v>2345.5029585798002</v>
      </c>
      <c r="C4158" s="1">
        <f t="shared" si="1222"/>
        <v>2.4827323902508525E-2</v>
      </c>
      <c r="D4158">
        <v>20.470862470861999</v>
      </c>
      <c r="E4158">
        <v>0.21482958744733999</v>
      </c>
      <c r="F4158">
        <v>83</v>
      </c>
      <c r="H4158" t="s">
        <v>22</v>
      </c>
      <c r="I4158">
        <f t="shared" ref="I4158" si="1240">STDEVP(F4139:F4158)</f>
        <v>5.171073389539159</v>
      </c>
    </row>
    <row r="4159" spans="1:9" x14ac:dyDescent="0.25">
      <c r="C4159" s="1" t="str">
        <f t="shared" si="1222"/>
        <v/>
      </c>
    </row>
    <row r="4160" spans="1:9" x14ac:dyDescent="0.25">
      <c r="A4160">
        <v>3217.8125</v>
      </c>
      <c r="B4160">
        <v>3316.7734375</v>
      </c>
      <c r="C4160" s="1">
        <f t="shared" si="1222"/>
        <v>3.0754103136835909E-2</v>
      </c>
      <c r="D4160">
        <v>20.225806451613</v>
      </c>
      <c r="E4160">
        <v>0.13890756334384999</v>
      </c>
      <c r="F4160">
        <v>132</v>
      </c>
    </row>
    <row r="4161" spans="1:9" x14ac:dyDescent="0.25">
      <c r="A4161">
        <v>3218.921875</v>
      </c>
      <c r="B4161">
        <v>3310.4453125</v>
      </c>
      <c r="C4161" s="1">
        <f t="shared" si="1222"/>
        <v>2.8432947755216986E-2</v>
      </c>
      <c r="D4161">
        <v>20.237903225806001</v>
      </c>
      <c r="E4161">
        <v>0.1388394635778</v>
      </c>
      <c r="F4161">
        <v>132</v>
      </c>
    </row>
    <row r="4162" spans="1:9" x14ac:dyDescent="0.25">
      <c r="A4162">
        <v>3206.46875</v>
      </c>
      <c r="B4162">
        <v>3298.515625</v>
      </c>
      <c r="C4162" s="1">
        <f t="shared" ref="C4162:C4225" si="1241">IFERROR((B4162/A4162)-1,"")</f>
        <v>2.8706618456830535E-2</v>
      </c>
      <c r="D4162">
        <v>19.991935483871</v>
      </c>
      <c r="E4162">
        <v>0.13757684165820999</v>
      </c>
      <c r="F4162">
        <v>102</v>
      </c>
    </row>
    <row r="4163" spans="1:9" x14ac:dyDescent="0.25">
      <c r="A4163">
        <v>3191.75</v>
      </c>
      <c r="B4163">
        <v>3283.609375</v>
      </c>
      <c r="C4163" s="1">
        <f t="shared" si="1241"/>
        <v>2.8780253779274734E-2</v>
      </c>
      <c r="D4163">
        <v>20.193548387097</v>
      </c>
      <c r="E4163">
        <v>0.13978912793152001</v>
      </c>
      <c r="F4163">
        <v>135</v>
      </c>
    </row>
    <row r="4164" spans="1:9" x14ac:dyDescent="0.25">
      <c r="A4164">
        <v>3178.796875</v>
      </c>
      <c r="B4164">
        <v>3279.6875</v>
      </c>
      <c r="C4164" s="1">
        <f t="shared" si="1241"/>
        <v>3.1738619662509793E-2</v>
      </c>
      <c r="D4164">
        <v>19.802419354839</v>
      </c>
      <c r="E4164">
        <v>0.13735088436109999</v>
      </c>
      <c r="F4164">
        <v>122</v>
      </c>
    </row>
    <row r="4165" spans="1:9" x14ac:dyDescent="0.25">
      <c r="A4165">
        <v>3183.28125</v>
      </c>
      <c r="B4165">
        <v>3284.6796875</v>
      </c>
      <c r="C4165" s="1">
        <f t="shared" si="1241"/>
        <v>3.185343346586178E-2</v>
      </c>
      <c r="D4165">
        <v>19.879032258064999</v>
      </c>
      <c r="E4165">
        <v>0.13767699423126001</v>
      </c>
      <c r="F4165">
        <v>124</v>
      </c>
    </row>
    <row r="4166" spans="1:9" x14ac:dyDescent="0.25">
      <c r="A4166">
        <v>3193.046875</v>
      </c>
      <c r="B4166">
        <v>3279.8046875</v>
      </c>
      <c r="C4166" s="1">
        <f t="shared" si="1241"/>
        <v>2.7170854640209408E-2</v>
      </c>
      <c r="D4166">
        <v>20.060483870968</v>
      </c>
      <c r="E4166">
        <v>0.13872974541970001</v>
      </c>
      <c r="F4166">
        <v>122</v>
      </c>
    </row>
    <row r="4167" spans="1:9" x14ac:dyDescent="0.25">
      <c r="A4167">
        <v>3213.84375</v>
      </c>
      <c r="B4167">
        <v>3285.609375</v>
      </c>
      <c r="C4167" s="1">
        <f t="shared" si="1241"/>
        <v>2.2330153729471114E-2</v>
      </c>
      <c r="D4167">
        <v>20.701612903226</v>
      </c>
      <c r="E4167">
        <v>0.1426961187163</v>
      </c>
      <c r="F4167">
        <v>136</v>
      </c>
    </row>
    <row r="4168" spans="1:9" x14ac:dyDescent="0.25">
      <c r="A4168">
        <v>3205.203125</v>
      </c>
      <c r="B4168">
        <v>3312.2734375</v>
      </c>
      <c r="C4168" s="1">
        <f t="shared" si="1241"/>
        <v>3.3405156654463308E-2</v>
      </c>
      <c r="D4168">
        <v>20.520161290322999</v>
      </c>
      <c r="E4168">
        <v>0.14175074735526</v>
      </c>
      <c r="F4168">
        <v>137</v>
      </c>
    </row>
    <row r="4169" spans="1:9" x14ac:dyDescent="0.25">
      <c r="A4169">
        <v>3235.1875</v>
      </c>
      <c r="B4169">
        <v>3308.2421875</v>
      </c>
      <c r="C4169" s="1">
        <f t="shared" si="1241"/>
        <v>2.2581283928674978E-2</v>
      </c>
      <c r="D4169">
        <v>20.709677419355</v>
      </c>
      <c r="E4169">
        <v>0.14167753441843001</v>
      </c>
      <c r="F4169">
        <v>134</v>
      </c>
    </row>
    <row r="4170" spans="1:9" x14ac:dyDescent="0.25">
      <c r="A4170">
        <v>3203.453125</v>
      </c>
      <c r="B4170">
        <v>3283.21875</v>
      </c>
      <c r="C4170" s="1">
        <f t="shared" si="1241"/>
        <v>2.4899888304124929E-2</v>
      </c>
      <c r="D4170">
        <v>19.987903225806001</v>
      </c>
      <c r="E4170">
        <v>0.13759965908016</v>
      </c>
      <c r="F4170">
        <v>138</v>
      </c>
    </row>
    <row r="4171" spans="1:9" x14ac:dyDescent="0.25">
      <c r="A4171">
        <v>3209.5625</v>
      </c>
      <c r="B4171">
        <v>3293.953125</v>
      </c>
      <c r="C4171" s="1">
        <f t="shared" si="1241"/>
        <v>2.6293497945592215E-2</v>
      </c>
      <c r="D4171">
        <v>20.774193548387</v>
      </c>
      <c r="E4171">
        <v>0.14348956501008001</v>
      </c>
      <c r="F4171">
        <v>110</v>
      </c>
    </row>
    <row r="4172" spans="1:9" x14ac:dyDescent="0.25">
      <c r="A4172">
        <v>3216.96875</v>
      </c>
      <c r="B4172">
        <v>3298.28125</v>
      </c>
      <c r="C4172" s="1">
        <f t="shared" si="1241"/>
        <v>2.5276123680094909E-2</v>
      </c>
      <c r="D4172">
        <v>20.330645161290001</v>
      </c>
      <c r="E4172">
        <v>0.13967339467031001</v>
      </c>
      <c r="F4172">
        <v>149</v>
      </c>
    </row>
    <row r="4173" spans="1:9" x14ac:dyDescent="0.25">
      <c r="A4173">
        <v>3210.921875</v>
      </c>
      <c r="B4173">
        <v>3311.5390625</v>
      </c>
      <c r="C4173" s="1">
        <f t="shared" si="1241"/>
        <v>3.1335918909580984E-2</v>
      </c>
      <c r="D4173">
        <v>20.463709677419001</v>
      </c>
      <c r="E4173">
        <v>0.14104034969729001</v>
      </c>
      <c r="F4173">
        <v>156</v>
      </c>
    </row>
    <row r="4174" spans="1:9" x14ac:dyDescent="0.25">
      <c r="A4174">
        <v>3194.78125</v>
      </c>
      <c r="B4174">
        <v>3307.4140625</v>
      </c>
      <c r="C4174" s="1">
        <f t="shared" si="1241"/>
        <v>3.5255250261657212E-2</v>
      </c>
      <c r="D4174">
        <v>19.895161290322999</v>
      </c>
      <c r="E4174">
        <v>0.13729006905283</v>
      </c>
      <c r="F4174">
        <v>144</v>
      </c>
      <c r="H4174" t="s">
        <v>17</v>
      </c>
      <c r="I4174">
        <f t="shared" ref="I4174" si="1242">STDEVP(A4160:A4179)</f>
        <v>13.956378137706654</v>
      </c>
    </row>
    <row r="4175" spans="1:9" x14ac:dyDescent="0.25">
      <c r="A4175">
        <v>3186.84375</v>
      </c>
      <c r="B4175">
        <v>3305.3828125</v>
      </c>
      <c r="C4175" s="1">
        <f t="shared" si="1241"/>
        <v>3.7196383569166214E-2</v>
      </c>
      <c r="D4175">
        <v>20.362903225806001</v>
      </c>
      <c r="E4175">
        <v>0.14139039897927999</v>
      </c>
      <c r="F4175">
        <v>146</v>
      </c>
      <c r="H4175" t="s">
        <v>18</v>
      </c>
      <c r="I4175">
        <f t="shared" ref="I4175" si="1243">STDEVP(B4160:B4179)</f>
        <v>12.68827932585725</v>
      </c>
    </row>
    <row r="4176" spans="1:9" x14ac:dyDescent="0.25">
      <c r="A4176">
        <v>3212.515625</v>
      </c>
      <c r="B4176">
        <v>3296.109375</v>
      </c>
      <c r="C4176" s="1">
        <f t="shared" si="1241"/>
        <v>2.6021274215592305E-2</v>
      </c>
      <c r="D4176">
        <v>19.875</v>
      </c>
      <c r="E4176">
        <v>0.13624108644676</v>
      </c>
      <c r="F4176">
        <v>158</v>
      </c>
      <c r="H4176" t="s">
        <v>19</v>
      </c>
      <c r="I4176">
        <f t="shared" ref="I4176" si="1244">STDEVP(C4160:C4179)</f>
        <v>4.5893742525409962E-3</v>
      </c>
    </row>
    <row r="4177" spans="1:9" x14ac:dyDescent="0.25">
      <c r="A4177">
        <v>3191.953125</v>
      </c>
      <c r="B4177">
        <v>3314.9609375</v>
      </c>
      <c r="C4177" s="1">
        <f t="shared" si="1241"/>
        <v>3.8536848030937154E-2</v>
      </c>
      <c r="D4177">
        <v>20.326612903226</v>
      </c>
      <c r="E4177">
        <v>0.14089304820024001</v>
      </c>
      <c r="F4177">
        <v>125</v>
      </c>
      <c r="H4177" t="s">
        <v>20</v>
      </c>
      <c r="I4177">
        <f t="shared" ref="I4177" si="1245">STDEVP(D4160:D4179)</f>
        <v>0.28689310689984643</v>
      </c>
    </row>
    <row r="4178" spans="1:9" x14ac:dyDescent="0.25">
      <c r="A4178">
        <v>3196.328125</v>
      </c>
      <c r="B4178">
        <v>3280.3125</v>
      </c>
      <c r="C4178" s="1">
        <f t="shared" si="1241"/>
        <v>2.6275267030039462E-2</v>
      </c>
      <c r="D4178">
        <v>20.423387096774</v>
      </c>
      <c r="E4178">
        <v>0.14137068802249</v>
      </c>
      <c r="F4178">
        <v>88</v>
      </c>
      <c r="H4178" t="s">
        <v>21</v>
      </c>
      <c r="I4178">
        <f t="shared" ref="I4178" si="1246">STDEVP(E4160:E4179)</f>
        <v>1.9871329252473414E-3</v>
      </c>
    </row>
    <row r="4179" spans="1:9" x14ac:dyDescent="0.25">
      <c r="A4179">
        <v>3190.140625</v>
      </c>
      <c r="B4179">
        <v>3303.921875</v>
      </c>
      <c r="C4179" s="1">
        <f t="shared" si="1241"/>
        <v>3.5666531158011328E-2</v>
      </c>
      <c r="D4179">
        <v>20.197580645161</v>
      </c>
      <c r="E4179">
        <v>0.13987916727706001</v>
      </c>
      <c r="F4179">
        <v>95</v>
      </c>
      <c r="H4179" t="s">
        <v>22</v>
      </c>
      <c r="I4179">
        <f t="shared" ref="I4179" si="1247">STDEVP(F4160:F4179)</f>
        <v>18.468554355985745</v>
      </c>
    </row>
    <row r="4180" spans="1:9" x14ac:dyDescent="0.25">
      <c r="C4180" s="1" t="str">
        <f t="shared" si="1241"/>
        <v/>
      </c>
    </row>
    <row r="4181" spans="1:9" x14ac:dyDescent="0.25">
      <c r="A4181">
        <v>966.63014938885999</v>
      </c>
      <c r="B4181">
        <v>985.32231779083997</v>
      </c>
      <c r="C4181" s="1">
        <f t="shared" si="1241"/>
        <v>1.9337456434395106E-2</v>
      </c>
      <c r="D4181">
        <v>11.433996797072</v>
      </c>
      <c r="E4181">
        <v>0.30664705523640001</v>
      </c>
      <c r="F4181">
        <v>21</v>
      </c>
    </row>
    <row r="4182" spans="1:9" x14ac:dyDescent="0.25">
      <c r="A4182">
        <v>968.30149388864004</v>
      </c>
      <c r="B4182">
        <v>992.77455862379998</v>
      </c>
      <c r="C4182" s="1">
        <f t="shared" si="1241"/>
        <v>2.5274219744180648E-2</v>
      </c>
      <c r="D4182">
        <v>11.737817433082</v>
      </c>
      <c r="E4182">
        <v>0.31670238716963001</v>
      </c>
      <c r="F4182">
        <v>22</v>
      </c>
    </row>
    <row r="4183" spans="1:9" x14ac:dyDescent="0.25">
      <c r="A4183">
        <v>971.08510638298003</v>
      </c>
      <c r="B4183">
        <v>992.87098234493999</v>
      </c>
      <c r="C4183" s="1">
        <f t="shared" si="1241"/>
        <v>2.2434569142046001E-2</v>
      </c>
      <c r="D4183">
        <v>11.612903225806001</v>
      </c>
      <c r="E4183">
        <v>0.31092425670542001</v>
      </c>
      <c r="F4183">
        <v>22</v>
      </c>
    </row>
    <row r="4184" spans="1:9" x14ac:dyDescent="0.25">
      <c r="A4184">
        <v>959.78225441376003</v>
      </c>
      <c r="B4184">
        <v>988.64101403349002</v>
      </c>
      <c r="C4184" s="1">
        <f t="shared" si="1241"/>
        <v>3.0068027916766438E-2</v>
      </c>
      <c r="D4184">
        <v>11.562113932738001</v>
      </c>
      <c r="E4184">
        <v>0.31396329572870002</v>
      </c>
      <c r="F4184">
        <v>22</v>
      </c>
    </row>
    <row r="4185" spans="1:9" x14ac:dyDescent="0.25">
      <c r="A4185">
        <v>966.02489814395994</v>
      </c>
      <c r="B4185">
        <v>994.69307378903</v>
      </c>
      <c r="C4185" s="1">
        <f t="shared" si="1241"/>
        <v>2.9676435566154291E-2</v>
      </c>
      <c r="D4185">
        <v>11.565774422329</v>
      </c>
      <c r="E4185">
        <v>0.31135416545248001</v>
      </c>
      <c r="F4185">
        <v>22</v>
      </c>
    </row>
    <row r="4186" spans="1:9" x14ac:dyDescent="0.25">
      <c r="A4186">
        <v>968.93209597102998</v>
      </c>
      <c r="B4186">
        <v>992.12630149386996</v>
      </c>
      <c r="C4186" s="1">
        <f t="shared" si="1241"/>
        <v>2.393790609195956E-2</v>
      </c>
      <c r="D4186">
        <v>11.663234957676</v>
      </c>
      <c r="E4186">
        <v>0.313429006643</v>
      </c>
      <c r="F4186">
        <v>22</v>
      </c>
    </row>
    <row r="4187" spans="1:9" x14ac:dyDescent="0.25">
      <c r="A4187">
        <v>962.38026256223998</v>
      </c>
      <c r="B4187">
        <v>988.27523766409001</v>
      </c>
      <c r="C4187" s="1">
        <f t="shared" si="1241"/>
        <v>2.6907217561702002E-2</v>
      </c>
      <c r="D4187">
        <v>11.395561656371999</v>
      </c>
      <c r="E4187">
        <v>0.30694950347066002</v>
      </c>
      <c r="F4187">
        <v>22</v>
      </c>
    </row>
    <row r="4188" spans="1:9" x14ac:dyDescent="0.25">
      <c r="A4188">
        <v>965.02127659574001</v>
      </c>
      <c r="B4188">
        <v>995.47351742869</v>
      </c>
      <c r="C4188" s="1">
        <f t="shared" si="1241"/>
        <v>3.1556030495384357E-2</v>
      </c>
      <c r="D4188">
        <v>11.655913978495001</v>
      </c>
      <c r="E4188">
        <v>0.31480873457620001</v>
      </c>
      <c r="F4188">
        <v>22</v>
      </c>
    </row>
    <row r="4189" spans="1:9" x14ac:dyDescent="0.25">
      <c r="A4189">
        <v>965.18605703937999</v>
      </c>
      <c r="B4189">
        <v>990.00090538704001</v>
      </c>
      <c r="C4189" s="1">
        <f t="shared" si="1241"/>
        <v>2.5709911748805547E-2</v>
      </c>
      <c r="D4189">
        <v>11.522306108442001</v>
      </c>
      <c r="E4189">
        <v>0.31026995444011002</v>
      </c>
      <c r="F4189">
        <v>22</v>
      </c>
    </row>
    <row r="4190" spans="1:9" x14ac:dyDescent="0.25">
      <c r="A4190">
        <v>959.41919420551994</v>
      </c>
      <c r="B4190">
        <v>985.46220009053002</v>
      </c>
      <c r="C4190" s="1">
        <f t="shared" si="1241"/>
        <v>2.7144553749079314E-2</v>
      </c>
      <c r="D4190">
        <v>11.485701212537</v>
      </c>
      <c r="E4190">
        <v>0.31106875605771001</v>
      </c>
      <c r="F4190">
        <v>22</v>
      </c>
    </row>
    <row r="4191" spans="1:9" x14ac:dyDescent="0.25">
      <c r="A4191">
        <v>967.48619284743995</v>
      </c>
      <c r="B4191">
        <v>993.22634676323003</v>
      </c>
      <c r="C4191" s="1">
        <f t="shared" si="1241"/>
        <v>2.6605189930445805E-2</v>
      </c>
      <c r="D4191">
        <v>11.69983985358</v>
      </c>
      <c r="E4191">
        <v>0.31546248873972998</v>
      </c>
      <c r="F4191">
        <v>21</v>
      </c>
    </row>
    <row r="4192" spans="1:9" x14ac:dyDescent="0.25">
      <c r="A4192">
        <v>967.56903576279001</v>
      </c>
      <c r="B4192">
        <v>992.32141240378996</v>
      </c>
      <c r="C4192" s="1">
        <f t="shared" si="1241"/>
        <v>2.5582026425108095E-2</v>
      </c>
      <c r="D4192">
        <v>11.694349119195</v>
      </c>
      <c r="E4192">
        <v>0.31549415983366003</v>
      </c>
      <c r="F4192">
        <v>22</v>
      </c>
    </row>
    <row r="4193" spans="1:9" x14ac:dyDescent="0.25">
      <c r="A4193">
        <v>961.91444092349002</v>
      </c>
      <c r="B4193">
        <v>988.89452240830997</v>
      </c>
      <c r="C4193" s="1">
        <f t="shared" si="1241"/>
        <v>2.8048317331547334E-2</v>
      </c>
      <c r="D4193">
        <v>11.530084648821999</v>
      </c>
      <c r="E4193">
        <v>0.31162826628059997</v>
      </c>
      <c r="F4193">
        <v>22</v>
      </c>
    </row>
    <row r="4194" spans="1:9" x14ac:dyDescent="0.25">
      <c r="A4194">
        <v>962.16206428247995</v>
      </c>
      <c r="B4194">
        <v>988.47713897690005</v>
      </c>
      <c r="C4194" s="1">
        <f t="shared" si="1241"/>
        <v>2.7349939964681713E-2</v>
      </c>
      <c r="D4194">
        <v>11.58453443148</v>
      </c>
      <c r="E4194">
        <v>0.31364595782054999</v>
      </c>
      <c r="F4194">
        <v>22</v>
      </c>
    </row>
    <row r="4195" spans="1:9" x14ac:dyDescent="0.25">
      <c r="A4195">
        <v>960.30058850158002</v>
      </c>
      <c r="B4195">
        <v>988.90221819827002</v>
      </c>
      <c r="C4195" s="1">
        <f t="shared" si="1241"/>
        <v>2.9784038497070009E-2</v>
      </c>
      <c r="D4195">
        <v>11.529169526424001</v>
      </c>
      <c r="E4195">
        <v>0.31256831009239</v>
      </c>
      <c r="F4195">
        <v>22</v>
      </c>
      <c r="H4195" t="s">
        <v>17</v>
      </c>
      <c r="I4195">
        <f t="shared" ref="I4195" si="1248">STDEVP(A4181:A4200)</f>
        <v>3.4489167888821903</v>
      </c>
    </row>
    <row r="4196" spans="1:9" x14ac:dyDescent="0.25">
      <c r="A4196">
        <v>960.92032593934005</v>
      </c>
      <c r="B4196">
        <v>986.58306926210003</v>
      </c>
      <c r="C4196" s="1">
        <f t="shared" si="1241"/>
        <v>2.6706421573165828E-2</v>
      </c>
      <c r="D4196">
        <v>11.509951956074</v>
      </c>
      <c r="E4196">
        <v>0.31130646376944998</v>
      </c>
      <c r="F4196">
        <v>22</v>
      </c>
      <c r="H4196" t="s">
        <v>18</v>
      </c>
      <c r="I4196">
        <f t="shared" ref="I4196" si="1249">STDEVP(B4181:B4200)</f>
        <v>3.4311665166100687</v>
      </c>
    </row>
    <row r="4197" spans="1:9" x14ac:dyDescent="0.25">
      <c r="A4197">
        <v>967.58352195563998</v>
      </c>
      <c r="B4197">
        <v>998.84563150745998</v>
      </c>
      <c r="C4197" s="1">
        <f t="shared" si="1241"/>
        <v>3.2309468735716385E-2</v>
      </c>
      <c r="D4197">
        <v>11.656371539693</v>
      </c>
      <c r="E4197">
        <v>0.31381284950528998</v>
      </c>
      <c r="F4197">
        <v>21</v>
      </c>
      <c r="H4197" t="s">
        <v>19</v>
      </c>
      <c r="I4197">
        <f t="shared" ref="I4197" si="1250">STDEVP(C4181:C4200)</f>
        <v>2.9513107722250083E-3</v>
      </c>
    </row>
    <row r="4198" spans="1:9" x14ac:dyDescent="0.25">
      <c r="A4198">
        <v>970.41195110909996</v>
      </c>
      <c r="B4198">
        <v>994.72521502941004</v>
      </c>
      <c r="C4198" s="1">
        <f t="shared" si="1241"/>
        <v>2.5054580060068332E-2</v>
      </c>
      <c r="D4198">
        <v>11.601464195836</v>
      </c>
      <c r="E4198">
        <v>0.31086648909109998</v>
      </c>
      <c r="F4198">
        <v>22</v>
      </c>
      <c r="H4198" t="s">
        <v>20</v>
      </c>
      <c r="I4198">
        <f t="shared" ref="I4198" si="1251">STDEVP(D4181:D4200)</f>
        <v>9.1704702097175725E-2</v>
      </c>
    </row>
    <row r="4199" spans="1:9" x14ac:dyDescent="0.25">
      <c r="A4199">
        <v>964.33363512901997</v>
      </c>
      <c r="B4199">
        <v>990.85694884561997</v>
      </c>
      <c r="C4199" s="1">
        <f t="shared" si="1241"/>
        <v>2.7504291824324234E-2</v>
      </c>
      <c r="D4199">
        <v>11.445893388241</v>
      </c>
      <c r="E4199">
        <v>0.30818679059960002</v>
      </c>
      <c r="F4199">
        <v>22</v>
      </c>
      <c r="H4199" t="s">
        <v>21</v>
      </c>
      <c r="I4199">
        <f t="shared" ref="I4199" si="1252">STDEVP(E4181:E4200)</f>
        <v>2.6805702404781306E-3</v>
      </c>
    </row>
    <row r="4200" spans="1:9" x14ac:dyDescent="0.25">
      <c r="A4200">
        <v>965.26029877772999</v>
      </c>
      <c r="B4200">
        <v>991.37030330464995</v>
      </c>
      <c r="C4200" s="1">
        <f t="shared" si="1241"/>
        <v>2.7049703131872382E-2</v>
      </c>
      <c r="D4200">
        <v>11.599176389842</v>
      </c>
      <c r="E4200">
        <v>0.31323438695705003</v>
      </c>
      <c r="F4200">
        <v>22</v>
      </c>
      <c r="H4200" t="s">
        <v>22</v>
      </c>
      <c r="I4200">
        <f t="shared" ref="I4200" si="1253">STDEVP(F4181:F4200)</f>
        <v>0.35707142142714243</v>
      </c>
    </row>
    <row r="4201" spans="1:9" x14ac:dyDescent="0.25">
      <c r="C4201" s="1" t="str">
        <f t="shared" si="1241"/>
        <v/>
      </c>
    </row>
    <row r="4202" spans="1:9" x14ac:dyDescent="0.25">
      <c r="A4202">
        <v>722.86924762599995</v>
      </c>
      <c r="B4202">
        <v>780.25127830532006</v>
      </c>
      <c r="C4202" s="1">
        <f t="shared" si="1241"/>
        <v>7.9380926589103673E-2</v>
      </c>
      <c r="D4202">
        <v>12.447447447447001</v>
      </c>
      <c r="E4202">
        <v>0.50580423767742999</v>
      </c>
      <c r="F4202">
        <v>17</v>
      </c>
    </row>
    <row r="4203" spans="1:9" x14ac:dyDescent="0.25">
      <c r="A4203">
        <v>737.90504017530998</v>
      </c>
      <c r="B4203">
        <v>774.95105916727005</v>
      </c>
      <c r="C4203" s="1">
        <f t="shared" si="1241"/>
        <v>5.0204317595064385E-2</v>
      </c>
      <c r="D4203">
        <v>12.786786786786999</v>
      </c>
      <c r="E4203">
        <v>0.51025196007235996</v>
      </c>
      <c r="F4203">
        <v>17</v>
      </c>
    </row>
    <row r="4204" spans="1:9" x14ac:dyDescent="0.25">
      <c r="A4204">
        <v>734.93352812271996</v>
      </c>
      <c r="B4204">
        <v>779.28122717310998</v>
      </c>
      <c r="C4204" s="1">
        <f t="shared" si="1241"/>
        <v>6.0342462758053328E-2</v>
      </c>
      <c r="D4204">
        <v>12.63963963964</v>
      </c>
      <c r="E4204">
        <v>0.50566489286445004</v>
      </c>
      <c r="F4204">
        <v>17</v>
      </c>
    </row>
    <row r="4205" spans="1:9" x14ac:dyDescent="0.25">
      <c r="A4205">
        <v>741.35865595325004</v>
      </c>
      <c r="B4205">
        <v>771.69320672023002</v>
      </c>
      <c r="C4205" s="1">
        <f t="shared" si="1241"/>
        <v>4.0917510739758356E-2</v>
      </c>
      <c r="D4205">
        <v>12.819819819819999</v>
      </c>
      <c r="E4205">
        <v>0.50911288523070997</v>
      </c>
      <c r="F4205">
        <v>18</v>
      </c>
    </row>
    <row r="4206" spans="1:9" x14ac:dyDescent="0.25">
      <c r="A4206">
        <v>744.13732651571001</v>
      </c>
      <c r="B4206">
        <v>781.03579254930003</v>
      </c>
      <c r="C4206" s="1">
        <f t="shared" si="1241"/>
        <v>4.958555997501235E-2</v>
      </c>
      <c r="D4206">
        <v>12.945945945946001</v>
      </c>
      <c r="E4206">
        <v>0.51302907120579999</v>
      </c>
      <c r="F4206">
        <v>17</v>
      </c>
    </row>
    <row r="4207" spans="1:9" x14ac:dyDescent="0.25">
      <c r="A4207">
        <v>731.12490869247995</v>
      </c>
      <c r="B4207">
        <v>770.52008765521998</v>
      </c>
      <c r="C4207" s="1">
        <f t="shared" si="1241"/>
        <v>5.3882966500475415E-2</v>
      </c>
      <c r="D4207">
        <v>12.363363363363</v>
      </c>
      <c r="E4207">
        <v>0.49212924438568001</v>
      </c>
      <c r="F4207">
        <v>17</v>
      </c>
    </row>
    <row r="4208" spans="1:9" x14ac:dyDescent="0.25">
      <c r="A4208">
        <v>740.56537618699997</v>
      </c>
      <c r="B4208">
        <v>781.46384222058998</v>
      </c>
      <c r="C4208" s="1">
        <f t="shared" si="1241"/>
        <v>5.52260034680081E-2</v>
      </c>
      <c r="D4208">
        <v>12.942942942943001</v>
      </c>
      <c r="E4208">
        <v>0.51748634147594996</v>
      </c>
      <c r="F4208">
        <v>17</v>
      </c>
    </row>
    <row r="4209" spans="1:9" x14ac:dyDescent="0.25">
      <c r="A4209">
        <v>729.27392257122006</v>
      </c>
      <c r="B4209">
        <v>770.98027757486</v>
      </c>
      <c r="C4209" s="1">
        <f t="shared" si="1241"/>
        <v>5.7188874732548634E-2</v>
      </c>
      <c r="D4209">
        <v>12.798798798799</v>
      </c>
      <c r="E4209">
        <v>0.52057144743809003</v>
      </c>
      <c r="F4209">
        <v>18</v>
      </c>
    </row>
    <row r="4210" spans="1:9" x14ac:dyDescent="0.25">
      <c r="A4210">
        <v>734.13002191380997</v>
      </c>
      <c r="B4210">
        <v>777.23886048209999</v>
      </c>
      <c r="C4210" s="1">
        <f t="shared" si="1241"/>
        <v>5.872098576749285E-2</v>
      </c>
      <c r="D4210">
        <v>12.681681681682001</v>
      </c>
      <c r="E4210">
        <v>0.50880600926510999</v>
      </c>
      <c r="F4210">
        <v>17</v>
      </c>
    </row>
    <row r="4211" spans="1:9" x14ac:dyDescent="0.25">
      <c r="A4211">
        <v>737.07815924032002</v>
      </c>
      <c r="B4211">
        <v>782.10226442657995</v>
      </c>
      <c r="C4211" s="1">
        <f t="shared" si="1241"/>
        <v>6.1084573761708949E-2</v>
      </c>
      <c r="D4211">
        <v>12.627627627628</v>
      </c>
      <c r="E4211">
        <v>0.50260293704755998</v>
      </c>
      <c r="F4211">
        <v>17</v>
      </c>
    </row>
    <row r="4212" spans="1:9" x14ac:dyDescent="0.25">
      <c r="A4212">
        <v>736.49963476991002</v>
      </c>
      <c r="B4212">
        <v>783.02118334550005</v>
      </c>
      <c r="C4212" s="1">
        <f t="shared" si="1241"/>
        <v>6.3165745615235469E-2</v>
      </c>
      <c r="D4212">
        <v>12.897897897898</v>
      </c>
      <c r="E4212">
        <v>0.51918914872585997</v>
      </c>
      <c r="F4212">
        <v>17</v>
      </c>
    </row>
    <row r="4213" spans="1:9" x14ac:dyDescent="0.25">
      <c r="A4213">
        <v>750.04236669101999</v>
      </c>
      <c r="B4213">
        <v>778.78159240320997</v>
      </c>
      <c r="C4213" s="1">
        <f t="shared" si="1241"/>
        <v>3.8316803141373867E-2</v>
      </c>
      <c r="D4213">
        <v>12.954954954954999</v>
      </c>
      <c r="E4213">
        <v>0.50775450101955</v>
      </c>
      <c r="F4213">
        <v>18</v>
      </c>
    </row>
    <row r="4214" spans="1:9" x14ac:dyDescent="0.25">
      <c r="A4214">
        <v>747.74433893353</v>
      </c>
      <c r="B4214">
        <v>773.51789627464996</v>
      </c>
      <c r="C4214" s="1">
        <f t="shared" si="1241"/>
        <v>3.4468408517648541E-2</v>
      </c>
      <c r="D4214">
        <v>12.861861861862</v>
      </c>
      <c r="E4214">
        <v>0.50502053011160997</v>
      </c>
      <c r="F4214">
        <v>17</v>
      </c>
    </row>
    <row r="4215" spans="1:9" x14ac:dyDescent="0.25">
      <c r="A4215">
        <v>739.84222059898002</v>
      </c>
      <c r="B4215">
        <v>768.13586559531996</v>
      </c>
      <c r="C4215" s="1">
        <f t="shared" si="1241"/>
        <v>3.824280935661295E-2</v>
      </c>
      <c r="D4215">
        <v>12.447447447447001</v>
      </c>
      <c r="E4215">
        <v>0.48891925289083998</v>
      </c>
      <c r="F4215">
        <v>17</v>
      </c>
    </row>
    <row r="4216" spans="1:9" x14ac:dyDescent="0.25">
      <c r="A4216">
        <v>741.43754565376003</v>
      </c>
      <c r="B4216">
        <v>775.95178962746002</v>
      </c>
      <c r="C4216" s="1">
        <f t="shared" si="1241"/>
        <v>4.6550439987857795E-2</v>
      </c>
      <c r="D4216">
        <v>12.762762762763</v>
      </c>
      <c r="E4216">
        <v>0.50517769455188999</v>
      </c>
      <c r="F4216">
        <v>17</v>
      </c>
      <c r="H4216" t="s">
        <v>17</v>
      </c>
      <c r="I4216">
        <f t="shared" ref="I4216" si="1254">STDEVP(A4202:A4221)</f>
        <v>7.1327216493196772</v>
      </c>
    </row>
    <row r="4217" spans="1:9" x14ac:dyDescent="0.25">
      <c r="A4217">
        <v>747.50474799123003</v>
      </c>
      <c r="B4217">
        <v>776.86632578523995</v>
      </c>
      <c r="C4217" s="1">
        <f t="shared" si="1241"/>
        <v>3.9279453238141082E-2</v>
      </c>
      <c r="D4217">
        <v>13.105105105105</v>
      </c>
      <c r="E4217">
        <v>0.52051529395922003</v>
      </c>
      <c r="F4217">
        <v>18</v>
      </c>
      <c r="H4217" t="s">
        <v>18</v>
      </c>
      <c r="I4217">
        <f t="shared" ref="I4217" si="1255">STDEVP(B4202:B4221)</f>
        <v>6.0474277109931363</v>
      </c>
    </row>
    <row r="4218" spans="1:9" x14ac:dyDescent="0.25">
      <c r="A4218">
        <v>743.68736303871003</v>
      </c>
      <c r="B4218">
        <v>779.38056975894006</v>
      </c>
      <c r="C4218" s="1">
        <f t="shared" si="1241"/>
        <v>4.7994908202268594E-2</v>
      </c>
      <c r="D4218">
        <v>12.822822822822999</v>
      </c>
      <c r="E4218">
        <v>0.50696636123167005</v>
      </c>
      <c r="F4218">
        <v>17</v>
      </c>
      <c r="H4218" t="s">
        <v>19</v>
      </c>
      <c r="I4218">
        <f t="shared" ref="I4218" si="1256">STDEVP(C4202:C4221)</f>
        <v>1.0545500855613538E-2</v>
      </c>
    </row>
    <row r="4219" spans="1:9" x14ac:dyDescent="0.25">
      <c r="A4219">
        <v>738.12563915267003</v>
      </c>
      <c r="B4219">
        <v>771.18334550765996</v>
      </c>
      <c r="C4219" s="1">
        <f t="shared" si="1241"/>
        <v>4.4786015552770175E-2</v>
      </c>
      <c r="D4219">
        <v>12.678678678679001</v>
      </c>
      <c r="E4219">
        <v>0.50419605735607997</v>
      </c>
      <c r="F4219">
        <v>17</v>
      </c>
      <c r="H4219" t="s">
        <v>20</v>
      </c>
      <c r="I4219">
        <f t="shared" ref="I4219" si="1257">STDEVP(D4202:D4221)</f>
        <v>0.18342179113564713</v>
      </c>
    </row>
    <row r="4220" spans="1:9" x14ac:dyDescent="0.25">
      <c r="A4220">
        <v>751.92987582177</v>
      </c>
      <c r="B4220">
        <v>791.36596055513996</v>
      </c>
      <c r="C4220" s="1">
        <f t="shared" si="1241"/>
        <v>5.2446492686929025E-2</v>
      </c>
      <c r="D4220">
        <v>12.840840840841</v>
      </c>
      <c r="E4220">
        <v>0.49910630835561998</v>
      </c>
      <c r="F4220">
        <v>17</v>
      </c>
      <c r="H4220" t="s">
        <v>21</v>
      </c>
      <c r="I4220">
        <f t="shared" ref="I4220" si="1258">STDEVP(E4202:E4221)</f>
        <v>8.1595801097244011E-3</v>
      </c>
    </row>
    <row r="4221" spans="1:9" x14ac:dyDescent="0.25">
      <c r="A4221">
        <v>746.88531775017998</v>
      </c>
      <c r="B4221">
        <v>790.49963476990001</v>
      </c>
      <c r="C4221" s="1">
        <f t="shared" si="1241"/>
        <v>5.8394931568742203E-2</v>
      </c>
      <c r="D4221">
        <v>12.828828828829</v>
      </c>
      <c r="E4221">
        <v>0.50467751817491002</v>
      </c>
      <c r="F4221">
        <v>18</v>
      </c>
      <c r="H4221" t="s">
        <v>22</v>
      </c>
      <c r="I4221">
        <f t="shared" ref="I4221" si="1259">STDEVP(F4202:F4221)</f>
        <v>0.4330127018922193</v>
      </c>
    </row>
    <row r="4222" spans="1:9" x14ac:dyDescent="0.25">
      <c r="C4222" s="1" t="str">
        <f t="shared" si="1241"/>
        <v/>
      </c>
    </row>
    <row r="4223" spans="1:9" x14ac:dyDescent="0.25">
      <c r="A4223">
        <v>1114.1111111110999</v>
      </c>
      <c r="B4223">
        <v>1176.6419753086</v>
      </c>
      <c r="C4223" s="1">
        <f t="shared" si="1241"/>
        <v>5.6126236938017993E-2</v>
      </c>
      <c r="D4223">
        <v>13.647058823528999</v>
      </c>
      <c r="E4223">
        <v>0.30161823838601998</v>
      </c>
      <c r="F4223">
        <v>40</v>
      </c>
    </row>
    <row r="4224" spans="1:9" x14ac:dyDescent="0.25">
      <c r="A4224">
        <v>1119.3580246914</v>
      </c>
      <c r="B4224">
        <v>1175.4320987654</v>
      </c>
      <c r="C4224" s="1">
        <f t="shared" si="1241"/>
        <v>5.0094851546232722E-2</v>
      </c>
      <c r="D4224">
        <v>13.895424836601</v>
      </c>
      <c r="E4224">
        <v>0.30655228323974998</v>
      </c>
      <c r="F4224">
        <v>37</v>
      </c>
    </row>
    <row r="4225" spans="1:9" x14ac:dyDescent="0.25">
      <c r="A4225">
        <v>1122.9629629630001</v>
      </c>
      <c r="B4225">
        <v>1193.9506172839001</v>
      </c>
      <c r="C4225" s="1">
        <f t="shared" si="1241"/>
        <v>6.3214599824018336E-2</v>
      </c>
      <c r="D4225">
        <v>13.450980392157</v>
      </c>
      <c r="E4225">
        <v>0.29328090319879002</v>
      </c>
      <c r="F4225">
        <v>38</v>
      </c>
    </row>
    <row r="4226" spans="1:9" x14ac:dyDescent="0.25">
      <c r="A4226">
        <v>1115.8888888889001</v>
      </c>
      <c r="B4226">
        <v>1170.1481481481001</v>
      </c>
      <c r="C4226" s="1">
        <f t="shared" ref="C4226:C4289" si="1260">IFERROR((B4226/A4226)-1,"")</f>
        <v>4.8624249062311664E-2</v>
      </c>
      <c r="D4226">
        <v>13.647058823528999</v>
      </c>
      <c r="E4226">
        <v>0.30074156719829997</v>
      </c>
      <c r="F4226">
        <v>42</v>
      </c>
    </row>
    <row r="4227" spans="1:9" x14ac:dyDescent="0.25">
      <c r="A4227">
        <v>1112.0987654321</v>
      </c>
      <c r="B4227">
        <v>1166.3703703704</v>
      </c>
      <c r="C4227" s="1">
        <f t="shared" si="1260"/>
        <v>4.8801065719386028E-2</v>
      </c>
      <c r="D4227">
        <v>13.934640522876</v>
      </c>
      <c r="E4227">
        <v>0.31094384826841998</v>
      </c>
      <c r="F4227">
        <v>39</v>
      </c>
    </row>
    <row r="4228" spans="1:9" x14ac:dyDescent="0.25">
      <c r="A4228">
        <v>1108.4691358025</v>
      </c>
      <c r="B4228">
        <v>1162.9135802469</v>
      </c>
      <c r="C4228" s="1">
        <f t="shared" si="1260"/>
        <v>4.9116788808904355E-2</v>
      </c>
      <c r="D4228">
        <v>13.424836601307</v>
      </c>
      <c r="E4228">
        <v>0.29753048062078002</v>
      </c>
      <c r="F4228">
        <v>38</v>
      </c>
    </row>
    <row r="4229" spans="1:9" x14ac:dyDescent="0.25">
      <c r="A4229">
        <v>1114.9135802469</v>
      </c>
      <c r="B4229">
        <v>1181.1481481481001</v>
      </c>
      <c r="C4229" s="1">
        <f t="shared" si="1260"/>
        <v>5.9407804402680453E-2</v>
      </c>
      <c r="D4229">
        <v>14.013071895425</v>
      </c>
      <c r="E4229">
        <v>0.31194290786527001</v>
      </c>
      <c r="F4229">
        <v>40</v>
      </c>
    </row>
    <row r="4230" spans="1:9" x14ac:dyDescent="0.25">
      <c r="A4230">
        <v>1107.8765432099001</v>
      </c>
      <c r="B4230">
        <v>1184.9506172839001</v>
      </c>
      <c r="C4230" s="1">
        <f t="shared" si="1260"/>
        <v>6.9569190309499485E-2</v>
      </c>
      <c r="D4230">
        <v>13.464052287582</v>
      </c>
      <c r="E4230">
        <v>0.29829695034592002</v>
      </c>
      <c r="F4230">
        <v>39</v>
      </c>
    </row>
    <row r="4231" spans="1:9" x14ac:dyDescent="0.25">
      <c r="A4231">
        <v>1080.3333333333001</v>
      </c>
      <c r="B4231">
        <v>1184.4197530864001</v>
      </c>
      <c r="C4231" s="1">
        <f t="shared" si="1260"/>
        <v>9.6346577988062121E-2</v>
      </c>
      <c r="D4231">
        <v>12.470588235294001</v>
      </c>
      <c r="E4231">
        <v>0.27926297731378003</v>
      </c>
      <c r="F4231">
        <v>39</v>
      </c>
    </row>
    <row r="4232" spans="1:9" x14ac:dyDescent="0.25">
      <c r="A4232">
        <v>1107.3950617283999</v>
      </c>
      <c r="B4232">
        <v>1177.2592592593001</v>
      </c>
      <c r="C4232" s="1">
        <f t="shared" si="1260"/>
        <v>6.3088774679794568E-2</v>
      </c>
      <c r="D4232">
        <v>13.150326797386001</v>
      </c>
      <c r="E4232">
        <v>0.28939468984463002</v>
      </c>
      <c r="F4232">
        <v>37</v>
      </c>
    </row>
    <row r="4233" spans="1:9" x14ac:dyDescent="0.25">
      <c r="A4233">
        <v>1112.987654321</v>
      </c>
      <c r="B4233">
        <v>1154.2469135802</v>
      </c>
      <c r="C4233" s="1">
        <f t="shared" si="1260"/>
        <v>3.7070724997727789E-2</v>
      </c>
      <c r="D4233">
        <v>13.346405228758</v>
      </c>
      <c r="E4233">
        <v>0.29386929291760999</v>
      </c>
      <c r="F4233">
        <v>38</v>
      </c>
    </row>
    <row r="4234" spans="1:9" x14ac:dyDescent="0.25">
      <c r="A4234">
        <v>1111.1481481481001</v>
      </c>
      <c r="B4234">
        <v>1174.9382716048999</v>
      </c>
      <c r="C4234" s="1">
        <f t="shared" si="1260"/>
        <v>5.7409197471206541E-2</v>
      </c>
      <c r="D4234">
        <v>13.372549019608</v>
      </c>
      <c r="E4234">
        <v>0.29458454504529002</v>
      </c>
      <c r="F4234">
        <v>39</v>
      </c>
    </row>
    <row r="4235" spans="1:9" x14ac:dyDescent="0.25">
      <c r="A4235">
        <v>1116.6543209877</v>
      </c>
      <c r="B4235">
        <v>1174.6913580247001</v>
      </c>
      <c r="C4235" s="1">
        <f t="shared" si="1260"/>
        <v>5.1974040619540585E-2</v>
      </c>
      <c r="D4235">
        <v>13.228758169935</v>
      </c>
      <c r="E4235">
        <v>0.28878313351231999</v>
      </c>
      <c r="F4235">
        <v>38</v>
      </c>
    </row>
    <row r="4236" spans="1:9" x14ac:dyDescent="0.25">
      <c r="A4236">
        <v>1129.5185185185001</v>
      </c>
      <c r="B4236">
        <v>1193.6543209875999</v>
      </c>
      <c r="C4236" s="1">
        <f t="shared" si="1260"/>
        <v>5.6781541353763565E-2</v>
      </c>
      <c r="D4236">
        <v>13.803921568627</v>
      </c>
      <c r="E4236">
        <v>0.30113094357735998</v>
      </c>
      <c r="F4236">
        <v>36</v>
      </c>
    </row>
    <row r="4237" spans="1:9" x14ac:dyDescent="0.25">
      <c r="A4237">
        <v>1123.5185185185001</v>
      </c>
      <c r="B4237">
        <v>1175.7530864196999</v>
      </c>
      <c r="C4237" s="1">
        <f t="shared" si="1260"/>
        <v>4.6491950991673692E-2</v>
      </c>
      <c r="D4237">
        <v>13.803921568627</v>
      </c>
      <c r="E4237">
        <v>0.30228772842479001</v>
      </c>
      <c r="F4237">
        <v>39</v>
      </c>
      <c r="H4237" t="s">
        <v>17</v>
      </c>
      <c r="I4237">
        <f t="shared" ref="I4237" si="1261">STDEVP(A4223:A4242)</f>
        <v>12.094386253959762</v>
      </c>
    </row>
    <row r="4238" spans="1:9" x14ac:dyDescent="0.25">
      <c r="A4238">
        <v>1131.0617283951001</v>
      </c>
      <c r="B4238">
        <v>1185.8765432099001</v>
      </c>
      <c r="C4238" s="1">
        <f t="shared" si="1260"/>
        <v>4.846315054137551E-2</v>
      </c>
      <c r="D4238">
        <v>14.091503267974</v>
      </c>
      <c r="E4238">
        <v>0.30863852620714999</v>
      </c>
      <c r="F4238">
        <v>35</v>
      </c>
      <c r="H4238" t="s">
        <v>18</v>
      </c>
      <c r="I4238">
        <f t="shared" ref="I4238" si="1262">STDEVP(B4223:B4242)</f>
        <v>9.3155116569212737</v>
      </c>
    </row>
    <row r="4239" spans="1:9" x14ac:dyDescent="0.25">
      <c r="A4239">
        <v>1090.0740740741001</v>
      </c>
      <c r="B4239">
        <v>1173.2222222221999</v>
      </c>
      <c r="C4239" s="1">
        <f t="shared" si="1260"/>
        <v>7.6277521065460707E-2</v>
      </c>
      <c r="D4239">
        <v>13.333333333333</v>
      </c>
      <c r="E4239">
        <v>0.30100669750040998</v>
      </c>
      <c r="F4239">
        <v>35</v>
      </c>
      <c r="H4239" t="s">
        <v>19</v>
      </c>
      <c r="I4239">
        <f t="shared" ref="I4239" si="1263">STDEVP(C4223:C4242)</f>
        <v>1.2919335985942476E-2</v>
      </c>
    </row>
    <row r="4240" spans="1:9" x14ac:dyDescent="0.25">
      <c r="A4240">
        <v>1109.2839506173</v>
      </c>
      <c r="B4240">
        <v>1180.6790123456999</v>
      </c>
      <c r="C4240" s="1">
        <f t="shared" si="1260"/>
        <v>6.436139429284049E-2</v>
      </c>
      <c r="D4240">
        <v>13.385620915033</v>
      </c>
      <c r="E4240">
        <v>0.29544305626570999</v>
      </c>
      <c r="F4240">
        <v>36</v>
      </c>
      <c r="H4240" t="s">
        <v>20</v>
      </c>
      <c r="I4240">
        <f t="shared" ref="I4240" si="1264">STDEVP(D4223:D4242)</f>
        <v>0.3924748166379774</v>
      </c>
    </row>
    <row r="4241" spans="1:9" x14ac:dyDescent="0.25">
      <c r="A4241">
        <v>1130.5432098765</v>
      </c>
      <c r="B4241">
        <v>1181.4691358025</v>
      </c>
      <c r="C4241" s="1">
        <f t="shared" si="1260"/>
        <v>4.5045536942867503E-2</v>
      </c>
      <c r="D4241">
        <v>14.287581699345999</v>
      </c>
      <c r="E4241">
        <v>0.31391418052425002</v>
      </c>
      <c r="F4241">
        <v>42</v>
      </c>
      <c r="H4241" t="s">
        <v>21</v>
      </c>
      <c r="I4241">
        <f t="shared" ref="I4241" si="1265">STDEVP(E4223:E4242)</f>
        <v>8.3316073012688011E-3</v>
      </c>
    </row>
    <row r="4242" spans="1:9" x14ac:dyDescent="0.25">
      <c r="A4242">
        <v>1121.4938271604999</v>
      </c>
      <c r="B4242">
        <v>1172.6419753086</v>
      </c>
      <c r="C4242" s="1">
        <f t="shared" si="1260"/>
        <v>4.5607159762619087E-2</v>
      </c>
      <c r="D4242">
        <v>13.673202614379001</v>
      </c>
      <c r="E4242">
        <v>0.29961468394826002</v>
      </c>
      <c r="F4242">
        <v>42</v>
      </c>
      <c r="H4242" t="s">
        <v>22</v>
      </c>
      <c r="I4242">
        <f t="shared" ref="I4242" si="1266">STDEVP(F4223:F4242)</f>
        <v>2.0609463845524951</v>
      </c>
    </row>
    <row r="4243" spans="1:9" x14ac:dyDescent="0.25">
      <c r="C4243" s="1" t="str">
        <f t="shared" si="1260"/>
        <v/>
      </c>
    </row>
    <row r="4244" spans="1:9" x14ac:dyDescent="0.25">
      <c r="A4244">
        <v>611.11384719176999</v>
      </c>
      <c r="B4244">
        <v>626.28942486085998</v>
      </c>
      <c r="C4244" s="1">
        <f t="shared" si="1260"/>
        <v>2.4832652277191558E-2</v>
      </c>
      <c r="D4244">
        <v>10.890635680109</v>
      </c>
      <c r="E4244">
        <v>0.54570282821344995</v>
      </c>
      <c r="F4244">
        <v>14</v>
      </c>
    </row>
    <row r="4245" spans="1:9" x14ac:dyDescent="0.25">
      <c r="A4245">
        <v>610.25906560971998</v>
      </c>
      <c r="B4245">
        <v>629.86473266994005</v>
      </c>
      <c r="C4245" s="1">
        <f t="shared" si="1260"/>
        <v>3.2126793627607508E-2</v>
      </c>
      <c r="D4245">
        <v>10.771018455228999</v>
      </c>
      <c r="E4245">
        <v>0.53739403358464999</v>
      </c>
      <c r="F4245">
        <v>14</v>
      </c>
    </row>
    <row r="4246" spans="1:9" x14ac:dyDescent="0.25">
      <c r="A4246">
        <v>603.33175914994001</v>
      </c>
      <c r="B4246">
        <v>629.14218249283999</v>
      </c>
      <c r="C4246" s="1">
        <f t="shared" si="1260"/>
        <v>4.2779818816873538E-2</v>
      </c>
      <c r="D4246">
        <v>10.799043062200999</v>
      </c>
      <c r="E4246">
        <v>0.54906497383705999</v>
      </c>
      <c r="F4246">
        <v>14</v>
      </c>
    </row>
    <row r="4247" spans="1:9" x14ac:dyDescent="0.25">
      <c r="A4247">
        <v>606.65002529937999</v>
      </c>
      <c r="B4247">
        <v>627.60769101029996</v>
      </c>
      <c r="C4247" s="1">
        <f t="shared" si="1260"/>
        <v>3.4546550460584635E-2</v>
      </c>
      <c r="D4247">
        <v>10.860560492138999</v>
      </c>
      <c r="E4247">
        <v>0.54989951195288</v>
      </c>
      <c r="F4247">
        <v>14</v>
      </c>
    </row>
    <row r="4248" spans="1:9" x14ac:dyDescent="0.25">
      <c r="A4248">
        <v>609.45420812953</v>
      </c>
      <c r="B4248">
        <v>634.17473435655995</v>
      </c>
      <c r="C4248" s="1">
        <f t="shared" si="1260"/>
        <v>4.0561745078271816E-2</v>
      </c>
      <c r="D4248">
        <v>10.701298701299001</v>
      </c>
      <c r="E4248">
        <v>0.5339110051532</v>
      </c>
      <c r="F4248">
        <v>14</v>
      </c>
    </row>
    <row r="4249" spans="1:9" x14ac:dyDescent="0.25">
      <c r="A4249">
        <v>606.98802496204996</v>
      </c>
      <c r="B4249">
        <v>627.78950919212002</v>
      </c>
      <c r="C4249" s="1">
        <f t="shared" si="1260"/>
        <v>3.4270007602490438E-2</v>
      </c>
      <c r="D4249">
        <v>10.948735475051</v>
      </c>
      <c r="E4249">
        <v>0.55625259979842001</v>
      </c>
      <c r="F4249">
        <v>15</v>
      </c>
    </row>
    <row r="4250" spans="1:9" x14ac:dyDescent="0.25">
      <c r="A4250">
        <v>609.06223646482999</v>
      </c>
      <c r="B4250">
        <v>635.21099679541999</v>
      </c>
      <c r="C4250" s="1">
        <f t="shared" si="1260"/>
        <v>4.2932821582183145E-2</v>
      </c>
      <c r="D4250">
        <v>10.873547505126</v>
      </c>
      <c r="E4250">
        <v>0.54717730090695005</v>
      </c>
      <c r="F4250">
        <v>14</v>
      </c>
    </row>
    <row r="4251" spans="1:9" x14ac:dyDescent="0.25">
      <c r="A4251">
        <v>606.10187215381995</v>
      </c>
      <c r="B4251">
        <v>626.71782762692999</v>
      </c>
      <c r="C4251" s="1">
        <f t="shared" si="1260"/>
        <v>3.4014010548837348E-2</v>
      </c>
      <c r="D4251">
        <v>10.786739576213</v>
      </c>
      <c r="E4251">
        <v>0.54588885698488998</v>
      </c>
      <c r="F4251">
        <v>14</v>
      </c>
    </row>
    <row r="4252" spans="1:9" x14ac:dyDescent="0.25">
      <c r="A4252">
        <v>610.17810760667999</v>
      </c>
      <c r="B4252">
        <v>631.21133412043002</v>
      </c>
      <c r="C4252" s="1">
        <f t="shared" si="1260"/>
        <v>3.4470634477938411E-2</v>
      </c>
      <c r="D4252">
        <v>10.766917293233</v>
      </c>
      <c r="E4252">
        <v>0.53802798246236005</v>
      </c>
      <c r="F4252">
        <v>14</v>
      </c>
    </row>
    <row r="4253" spans="1:9" x14ac:dyDescent="0.25">
      <c r="A4253">
        <v>608.73941642773002</v>
      </c>
      <c r="B4253">
        <v>635.11283521674</v>
      </c>
      <c r="C4253" s="1">
        <f t="shared" si="1260"/>
        <v>4.3324644465734252E-2</v>
      </c>
      <c r="D4253">
        <v>10.858509911141001</v>
      </c>
      <c r="E4253">
        <v>0.54711264216783995</v>
      </c>
      <c r="F4253">
        <v>14</v>
      </c>
    </row>
    <row r="4254" spans="1:9" x14ac:dyDescent="0.25">
      <c r="A4254">
        <v>605.91195817170001</v>
      </c>
      <c r="B4254">
        <v>628.57007927139</v>
      </c>
      <c r="C4254" s="1">
        <f t="shared" si="1260"/>
        <v>3.7395071666945556E-2</v>
      </c>
      <c r="D4254">
        <v>10.670539986329</v>
      </c>
      <c r="E4254">
        <v>0.53580538455029003</v>
      </c>
      <c r="F4254">
        <v>15</v>
      </c>
    </row>
    <row r="4255" spans="1:9" x14ac:dyDescent="0.25">
      <c r="A4255">
        <v>606.57952437173003</v>
      </c>
      <c r="B4255">
        <v>628.60785967280003</v>
      </c>
      <c r="C4255" s="1">
        <f t="shared" si="1260"/>
        <v>3.6315659226852537E-2</v>
      </c>
      <c r="D4255">
        <v>10.747778537252</v>
      </c>
      <c r="E4255">
        <v>0.54086861466325997</v>
      </c>
      <c r="F4255">
        <v>14</v>
      </c>
    </row>
    <row r="4256" spans="1:9" x14ac:dyDescent="0.25">
      <c r="A4256">
        <v>613.25113847191994</v>
      </c>
      <c r="B4256">
        <v>627.99865069995997</v>
      </c>
      <c r="C4256" s="1">
        <f t="shared" si="1260"/>
        <v>2.404807965752398E-2</v>
      </c>
      <c r="D4256">
        <v>10.619958988380001</v>
      </c>
      <c r="E4256">
        <v>0.52205488646369003</v>
      </c>
      <c r="F4256">
        <v>14</v>
      </c>
    </row>
    <row r="4257" spans="1:9" x14ac:dyDescent="0.25">
      <c r="A4257">
        <v>602.33057851240005</v>
      </c>
      <c r="B4257">
        <v>627.74869286558999</v>
      </c>
      <c r="C4257" s="1">
        <f t="shared" si="1260"/>
        <v>4.2199608088910434E-2</v>
      </c>
      <c r="D4257">
        <v>10.622009569377999</v>
      </c>
      <c r="E4257">
        <v>0.53757823638704005</v>
      </c>
      <c r="F4257">
        <v>14</v>
      </c>
    </row>
    <row r="4258" spans="1:9" x14ac:dyDescent="0.25">
      <c r="A4258">
        <v>608.71782762691998</v>
      </c>
      <c r="B4258">
        <v>630.01720357565</v>
      </c>
      <c r="C4258" s="1">
        <f t="shared" si="1260"/>
        <v>3.4990557171235448E-2</v>
      </c>
      <c r="D4258">
        <v>10.952153110048</v>
      </c>
      <c r="E4258">
        <v>0.55417828258228996</v>
      </c>
      <c r="F4258">
        <v>14</v>
      </c>
      <c r="H4258" t="s">
        <v>17</v>
      </c>
      <c r="I4258">
        <f t="shared" ref="I4258" si="1267">STDEVP(A4244:A4263)</f>
        <v>3.1915623034169731</v>
      </c>
    </row>
    <row r="4259" spans="1:9" x14ac:dyDescent="0.25">
      <c r="A4259">
        <v>605.38876707708005</v>
      </c>
      <c r="B4259">
        <v>625.90622364649005</v>
      </c>
      <c r="C4259" s="1">
        <f t="shared" si="1260"/>
        <v>3.3891373089844024E-2</v>
      </c>
      <c r="D4259">
        <v>10.753246753247</v>
      </c>
      <c r="E4259">
        <v>0.54293021924992002</v>
      </c>
      <c r="F4259">
        <v>15</v>
      </c>
      <c r="H4259" t="s">
        <v>18</v>
      </c>
      <c r="I4259">
        <f t="shared" ref="I4259" si="1268">STDEVP(B4244:B4263)</f>
        <v>3.0077047311216356</v>
      </c>
    </row>
    <row r="4260" spans="1:9" x14ac:dyDescent="0.25">
      <c r="A4260">
        <v>613.25316242199006</v>
      </c>
      <c r="B4260">
        <v>632.55726092091004</v>
      </c>
      <c r="C4260" s="1">
        <f t="shared" si="1260"/>
        <v>3.1478188261891971E-2</v>
      </c>
      <c r="D4260">
        <v>10.833219412167001</v>
      </c>
      <c r="E4260">
        <v>0.53835071331963003</v>
      </c>
      <c r="F4260">
        <v>14</v>
      </c>
      <c r="H4260" t="s">
        <v>19</v>
      </c>
      <c r="I4260">
        <f t="shared" ref="I4260" si="1269">STDEVP(C4244:C4263)</f>
        <v>5.2133034234274657E-3</v>
      </c>
    </row>
    <row r="4261" spans="1:9" x14ac:dyDescent="0.25">
      <c r="A4261">
        <v>602.08972845336996</v>
      </c>
      <c r="B4261">
        <v>624.62135267330996</v>
      </c>
      <c r="C4261" s="1">
        <f t="shared" si="1260"/>
        <v>3.7422369383079523E-2</v>
      </c>
      <c r="D4261">
        <v>10.612440191388</v>
      </c>
      <c r="E4261">
        <v>0.53607443309071001</v>
      </c>
      <c r="F4261">
        <v>14</v>
      </c>
      <c r="H4261" t="s">
        <v>20</v>
      </c>
      <c r="I4261">
        <f t="shared" ref="I4261" si="1270">STDEVP(D4244:D4263)</f>
        <v>9.8813302338150985E-2</v>
      </c>
    </row>
    <row r="4262" spans="1:9" x14ac:dyDescent="0.25">
      <c r="A4262">
        <v>605.67650531286995</v>
      </c>
      <c r="B4262">
        <v>625.99898802497</v>
      </c>
      <c r="C4262" s="1">
        <f t="shared" si="1260"/>
        <v>3.3553361462489217E-2</v>
      </c>
      <c r="D4262">
        <v>10.755980861244</v>
      </c>
      <c r="E4262">
        <v>0.54311061474543998</v>
      </c>
      <c r="F4262">
        <v>14</v>
      </c>
      <c r="H4262" t="s">
        <v>21</v>
      </c>
      <c r="I4262">
        <f t="shared" ref="I4262" si="1271">STDEVP(E4244:E4263)</f>
        <v>7.6263737843914317E-3</v>
      </c>
    </row>
    <row r="4263" spans="1:9" x14ac:dyDescent="0.25">
      <c r="A4263">
        <v>611.37932197673001</v>
      </c>
      <c r="B4263">
        <v>631.03828638894004</v>
      </c>
      <c r="C4263" s="1">
        <f t="shared" si="1260"/>
        <v>3.2155101923709184E-2</v>
      </c>
      <c r="D4263">
        <v>10.810663021189001</v>
      </c>
      <c r="E4263">
        <v>0.53921726480247001</v>
      </c>
      <c r="F4263">
        <v>14</v>
      </c>
      <c r="H4263" t="s">
        <v>22</v>
      </c>
      <c r="I4263">
        <f t="shared" ref="I4263" si="1272">STDEVP(F4244:F4263)</f>
        <v>0.35707142142714249</v>
      </c>
    </row>
    <row r="4264" spans="1:9" x14ac:dyDescent="0.25">
      <c r="C4264" s="1" t="str">
        <f t="shared" si="1260"/>
        <v/>
      </c>
    </row>
    <row r="4265" spans="1:9" x14ac:dyDescent="0.25">
      <c r="A4265">
        <v>2877.4984391258999</v>
      </c>
      <c r="B4265">
        <v>2956.0499479708001</v>
      </c>
      <c r="C4265" s="1">
        <f t="shared" si="1260"/>
        <v>2.729854090512096E-2</v>
      </c>
      <c r="D4265">
        <v>17.677419354839</v>
      </c>
      <c r="E4265">
        <v>0.13501335856339999</v>
      </c>
      <c r="F4265">
        <v>32</v>
      </c>
    </row>
    <row r="4266" spans="1:9" x14ac:dyDescent="0.25">
      <c r="A4266">
        <v>2900.0228928199999</v>
      </c>
      <c r="B4266">
        <v>2983.3298647242</v>
      </c>
      <c r="C4266" s="1">
        <f t="shared" si="1260"/>
        <v>2.8726315268219116E-2</v>
      </c>
      <c r="D4266">
        <v>17.664516129031998</v>
      </c>
      <c r="E4266">
        <v>0.13371012496352999</v>
      </c>
      <c r="F4266">
        <v>32</v>
      </c>
    </row>
    <row r="4267" spans="1:9" x14ac:dyDescent="0.25">
      <c r="A4267">
        <v>2887.6129032258</v>
      </c>
      <c r="B4267">
        <v>2956.6618106138999</v>
      </c>
      <c r="C4267" s="1">
        <f t="shared" si="1260"/>
        <v>2.3912106539960565E-2</v>
      </c>
      <c r="D4267">
        <v>17.866666666667001</v>
      </c>
      <c r="E4267">
        <v>0.13613699081041</v>
      </c>
      <c r="F4267">
        <v>32</v>
      </c>
    </row>
    <row r="4268" spans="1:9" x14ac:dyDescent="0.25">
      <c r="A4268">
        <v>2895.5608740895</v>
      </c>
      <c r="B4268">
        <v>2953.3215400623999</v>
      </c>
      <c r="C4268" s="1">
        <f t="shared" si="1260"/>
        <v>1.9948006097803894E-2</v>
      </c>
      <c r="D4268">
        <v>18.047311827957</v>
      </c>
      <c r="E4268">
        <v>0.13727714504399</v>
      </c>
      <c r="F4268">
        <v>32</v>
      </c>
    </row>
    <row r="4269" spans="1:9" x14ac:dyDescent="0.25">
      <c r="A4269">
        <v>2886.0020811654999</v>
      </c>
      <c r="B4269">
        <v>2952.7804370447002</v>
      </c>
      <c r="C4269" s="1">
        <f t="shared" si="1260"/>
        <v>2.3138706764976424E-2</v>
      </c>
      <c r="D4269">
        <v>17.763440860214999</v>
      </c>
      <c r="E4269">
        <v>0.13529065180495001</v>
      </c>
      <c r="F4269">
        <v>31</v>
      </c>
    </row>
    <row r="4270" spans="1:9" x14ac:dyDescent="0.25">
      <c r="A4270">
        <v>2903.6607700312002</v>
      </c>
      <c r="B4270">
        <v>2954.8990634755</v>
      </c>
      <c r="C4270" s="1">
        <f t="shared" si="1260"/>
        <v>1.7646101766822131E-2</v>
      </c>
      <c r="D4270">
        <v>17.892473118280002</v>
      </c>
      <c r="E4270">
        <v>0.13551117626053999</v>
      </c>
      <c r="F4270">
        <v>32</v>
      </c>
    </row>
    <row r="4271" spans="1:9" x14ac:dyDescent="0.25">
      <c r="A4271">
        <v>2894.0083246618001</v>
      </c>
      <c r="B4271">
        <v>2959.7981269510001</v>
      </c>
      <c r="C4271" s="1">
        <f t="shared" si="1260"/>
        <v>2.2733107478841941E-2</v>
      </c>
      <c r="D4271">
        <v>17.587096774193999</v>
      </c>
      <c r="E4271">
        <v>0.13337042979457001</v>
      </c>
      <c r="F4271">
        <v>31</v>
      </c>
    </row>
    <row r="4272" spans="1:9" x14ac:dyDescent="0.25">
      <c r="A4272">
        <v>2909.3839750259999</v>
      </c>
      <c r="B4272">
        <v>2956.9947970863</v>
      </c>
      <c r="C4272" s="1">
        <f t="shared" si="1260"/>
        <v>1.6364571493137081E-2</v>
      </c>
      <c r="D4272">
        <v>17.754838709676999</v>
      </c>
      <c r="E4272">
        <v>0.13406774784327999</v>
      </c>
      <c r="F4272">
        <v>33</v>
      </c>
    </row>
    <row r="4273" spans="1:9" x14ac:dyDescent="0.25">
      <c r="A4273">
        <v>2892.4578563996001</v>
      </c>
      <c r="B4273">
        <v>2974.3600416232998</v>
      </c>
      <c r="C4273" s="1">
        <f t="shared" si="1260"/>
        <v>2.8315774780431235E-2</v>
      </c>
      <c r="D4273">
        <v>17.956989247311999</v>
      </c>
      <c r="E4273">
        <v>0.13666778228927001</v>
      </c>
      <c r="F4273">
        <v>32</v>
      </c>
    </row>
    <row r="4274" spans="1:9" x14ac:dyDescent="0.25">
      <c r="A4274">
        <v>2876.5681581685999</v>
      </c>
      <c r="B4274">
        <v>2961.2258064516</v>
      </c>
      <c r="C4274" s="1">
        <f t="shared" si="1260"/>
        <v>2.9430086001125177E-2</v>
      </c>
      <c r="D4274">
        <v>17.686021505376001</v>
      </c>
      <c r="E4274">
        <v>0.13512501073513999</v>
      </c>
      <c r="F4274">
        <v>32</v>
      </c>
    </row>
    <row r="4275" spans="1:9" x14ac:dyDescent="0.25">
      <c r="A4275">
        <v>2871.6441207076</v>
      </c>
      <c r="B4275">
        <v>2940.1935483870998</v>
      </c>
      <c r="C4275" s="1">
        <f t="shared" si="1260"/>
        <v>2.3871143079738033E-2</v>
      </c>
      <c r="D4275">
        <v>17.784946236559001</v>
      </c>
      <c r="E4275">
        <v>0.13625107118084001</v>
      </c>
      <c r="F4275">
        <v>31</v>
      </c>
    </row>
    <row r="4276" spans="1:9" x14ac:dyDescent="0.25">
      <c r="A4276">
        <v>2901.0738813736002</v>
      </c>
      <c r="B4276">
        <v>2968.0499479708001</v>
      </c>
      <c r="C4276" s="1">
        <f t="shared" si="1260"/>
        <v>2.3086646302674652E-2</v>
      </c>
      <c r="D4276">
        <v>17.935483870968</v>
      </c>
      <c r="E4276">
        <v>0.13603380897990999</v>
      </c>
      <c r="F4276">
        <v>32</v>
      </c>
    </row>
    <row r="4277" spans="1:9" x14ac:dyDescent="0.25">
      <c r="A4277">
        <v>2886.4391259105</v>
      </c>
      <c r="B4277">
        <v>2975.1904266389001</v>
      </c>
      <c r="C4277" s="1">
        <f t="shared" si="1260"/>
        <v>3.0747677971696197E-2</v>
      </c>
      <c r="D4277">
        <v>17.552688172042998</v>
      </c>
      <c r="E4277">
        <v>0.13344486726572999</v>
      </c>
      <c r="F4277">
        <v>32</v>
      </c>
    </row>
    <row r="4278" spans="1:9" x14ac:dyDescent="0.25">
      <c r="A4278">
        <v>2908.0832466181</v>
      </c>
      <c r="B4278">
        <v>2973.9667013527001</v>
      </c>
      <c r="C4278" s="1">
        <f t="shared" si="1260"/>
        <v>2.2655284992689984E-2</v>
      </c>
      <c r="D4278">
        <v>17.737634408601998</v>
      </c>
      <c r="E4278">
        <v>0.13394542949430999</v>
      </c>
      <c r="F4278">
        <v>31</v>
      </c>
    </row>
    <row r="4279" spans="1:9" x14ac:dyDescent="0.25">
      <c r="A4279">
        <v>2893.4255983350999</v>
      </c>
      <c r="B4279">
        <v>2969.9458896982001</v>
      </c>
      <c r="C4279" s="1">
        <f t="shared" si="1260"/>
        <v>2.6446261969594209E-2</v>
      </c>
      <c r="D4279">
        <v>17.823655913978001</v>
      </c>
      <c r="E4279">
        <v>0.13544023199048</v>
      </c>
      <c r="F4279">
        <v>33</v>
      </c>
      <c r="H4279" t="s">
        <v>17</v>
      </c>
      <c r="I4279">
        <f t="shared" ref="I4279" si="1273">STDEVP(A4265:A4284)</f>
        <v>13.092192230306813</v>
      </c>
    </row>
    <row r="4280" spans="1:9" x14ac:dyDescent="0.25">
      <c r="A4280">
        <v>2871.581685744</v>
      </c>
      <c r="B4280">
        <v>2948.2247658688002</v>
      </c>
      <c r="C4280" s="1">
        <f t="shared" si="1260"/>
        <v>2.6690196732099158E-2</v>
      </c>
      <c r="D4280">
        <v>17.681720430108001</v>
      </c>
      <c r="E4280">
        <v>0.13534096519322</v>
      </c>
      <c r="F4280">
        <v>32</v>
      </c>
      <c r="H4280" t="s">
        <v>18</v>
      </c>
      <c r="I4280">
        <f t="shared" ref="I4280" si="1274">STDEVP(B4265:B4284)</f>
        <v>12.134275434535599</v>
      </c>
    </row>
    <row r="4281" spans="1:9" x14ac:dyDescent="0.25">
      <c r="A4281">
        <v>2874.4640998958998</v>
      </c>
      <c r="B4281">
        <v>2958.9032258063999</v>
      </c>
      <c r="C4281" s="1">
        <f t="shared" si="1260"/>
        <v>2.9375606365568574E-2</v>
      </c>
      <c r="D4281">
        <v>17.247311827956999</v>
      </c>
      <c r="E4281">
        <v>0.13157653342289</v>
      </c>
      <c r="F4281">
        <v>32</v>
      </c>
      <c r="H4281" t="s">
        <v>19</v>
      </c>
      <c r="I4281">
        <f t="shared" ref="I4281" si="1275">STDEVP(C4265:C4284)</f>
        <v>3.7548254517471525E-3</v>
      </c>
    </row>
    <row r="4282" spans="1:9" x14ac:dyDescent="0.25">
      <c r="A4282">
        <v>2897.2216441207001</v>
      </c>
      <c r="B4282">
        <v>2971.3569198751002</v>
      </c>
      <c r="C4282" s="1">
        <f t="shared" si="1260"/>
        <v>2.5588403256907144E-2</v>
      </c>
      <c r="D4282">
        <v>17.673118279570001</v>
      </c>
      <c r="E4282">
        <v>0.13390943737743</v>
      </c>
      <c r="F4282">
        <v>32</v>
      </c>
      <c r="H4282" t="s">
        <v>20</v>
      </c>
      <c r="I4282">
        <f t="shared" ref="I4282" si="1276">STDEVP(D4265:D4284)</f>
        <v>0.16800420632409632</v>
      </c>
    </row>
    <row r="4283" spans="1:9" x14ac:dyDescent="0.25">
      <c r="A4283">
        <v>2889.9604578563999</v>
      </c>
      <c r="B4283">
        <v>2958.9323621226999</v>
      </c>
      <c r="C4283" s="1">
        <f t="shared" si="1260"/>
        <v>2.3866037363521331E-2</v>
      </c>
      <c r="D4283">
        <v>17.827956989246999</v>
      </c>
      <c r="E4283">
        <v>0.13563474083791999</v>
      </c>
      <c r="F4283">
        <v>31</v>
      </c>
      <c r="H4283" t="s">
        <v>21</v>
      </c>
      <c r="I4283">
        <f t="shared" ref="I4283" si="1277">STDEVP(E4265:E4284)</f>
        <v>1.3282113535656216E-3</v>
      </c>
    </row>
    <row r="4284" spans="1:9" x14ac:dyDescent="0.25">
      <c r="A4284">
        <v>2859.3590010406001</v>
      </c>
      <c r="B4284">
        <v>2931.9937565035998</v>
      </c>
      <c r="C4284" s="1">
        <f t="shared" si="1260"/>
        <v>2.5402460983935837E-2</v>
      </c>
      <c r="D4284">
        <v>17.660215053763</v>
      </c>
      <c r="E4284">
        <v>0.13583377333523</v>
      </c>
      <c r="F4284">
        <v>32</v>
      </c>
      <c r="H4284" t="s">
        <v>22</v>
      </c>
      <c r="I4284">
        <f t="shared" ref="I4284" si="1278">STDEVP(F4265:F4284)</f>
        <v>0.57227615711297997</v>
      </c>
    </row>
    <row r="4285" spans="1:9" x14ac:dyDescent="0.25">
      <c r="C4285" s="1" t="str">
        <f t="shared" si="1260"/>
        <v/>
      </c>
    </row>
    <row r="4286" spans="1:9" x14ac:dyDescent="0.25">
      <c r="A4286">
        <v>1644.9369570060001</v>
      </c>
      <c r="B4286">
        <v>1686.3065270661</v>
      </c>
      <c r="C4286" s="1">
        <f t="shared" si="1260"/>
        <v>2.5149638643536809E-2</v>
      </c>
      <c r="D4286">
        <v>14.791497060154001</v>
      </c>
      <c r="E4286">
        <v>0.21584140399964</v>
      </c>
      <c r="F4286">
        <v>64</v>
      </c>
    </row>
    <row r="4287" spans="1:9" x14ac:dyDescent="0.25">
      <c r="A4287">
        <v>1645.9545555802999</v>
      </c>
      <c r="B4287">
        <v>1690.4522165292999</v>
      </c>
      <c r="C4287" s="1">
        <f t="shared" si="1260"/>
        <v>2.7034562283714925E-2</v>
      </c>
      <c r="D4287">
        <v>14.764360018091001</v>
      </c>
      <c r="E4287">
        <v>0.21501485705699</v>
      </c>
      <c r="F4287">
        <v>61</v>
      </c>
    </row>
    <row r="4288" spans="1:9" x14ac:dyDescent="0.25">
      <c r="A4288">
        <v>1657.4560035643001</v>
      </c>
      <c r="B4288">
        <v>1692.4825128090999</v>
      </c>
      <c r="C4288" s="1">
        <f t="shared" si="1260"/>
        <v>2.1132693217483123E-2</v>
      </c>
      <c r="D4288">
        <v>15.401175938489001</v>
      </c>
      <c r="E4288">
        <v>0.22441028248006001</v>
      </c>
      <c r="F4288">
        <v>57</v>
      </c>
    </row>
    <row r="4289" spans="1:9" x14ac:dyDescent="0.25">
      <c r="A4289">
        <v>1642.3190020049001</v>
      </c>
      <c r="B4289">
        <v>1681.9251503675</v>
      </c>
      <c r="C4289" s="1">
        <f t="shared" si="1260"/>
        <v>2.4115989837692808E-2</v>
      </c>
      <c r="D4289">
        <v>14.761646313885</v>
      </c>
      <c r="E4289">
        <v>0.21568129433972999</v>
      </c>
      <c r="F4289">
        <v>56</v>
      </c>
    </row>
    <row r="4290" spans="1:9" x14ac:dyDescent="0.25">
      <c r="A4290">
        <v>1649.1664067720999</v>
      </c>
      <c r="B4290">
        <v>1684.8794831811001</v>
      </c>
      <c r="C4290" s="1">
        <f t="shared" ref="C4290:C4353" si="1279">IFERROR((B4290/A4290)-1,"")</f>
        <v>2.1655229128090925E-2</v>
      </c>
      <c r="D4290">
        <v>15.007688828584</v>
      </c>
      <c r="E4290">
        <v>0.21889338069938</v>
      </c>
      <c r="F4290">
        <v>63</v>
      </c>
    </row>
    <row r="4291" spans="1:9" x14ac:dyDescent="0.25">
      <c r="A4291">
        <v>1636.7872577410999</v>
      </c>
      <c r="B4291">
        <v>1686.4339496547</v>
      </c>
      <c r="C4291" s="1">
        <f t="shared" si="1279"/>
        <v>3.0331792771967514E-2</v>
      </c>
      <c r="D4291">
        <v>14.856625961103999</v>
      </c>
      <c r="E4291">
        <v>0.21813705363388</v>
      </c>
      <c r="F4291">
        <v>70</v>
      </c>
    </row>
    <row r="4292" spans="1:9" x14ac:dyDescent="0.25">
      <c r="A4292">
        <v>1646.1938070839999</v>
      </c>
      <c r="B4292">
        <v>1695.3731343283</v>
      </c>
      <c r="C4292" s="1">
        <f t="shared" si="1279"/>
        <v>2.9874567036195065E-2</v>
      </c>
      <c r="D4292">
        <v>15.244685662596</v>
      </c>
      <c r="E4292">
        <v>0.22359970673162999</v>
      </c>
      <c r="F4292">
        <v>64</v>
      </c>
    </row>
    <row r="4293" spans="1:9" x14ac:dyDescent="0.25">
      <c r="A4293">
        <v>1642.8763644464</v>
      </c>
      <c r="B4293">
        <v>1701.0804188014999</v>
      </c>
      <c r="C4293" s="1">
        <f t="shared" si="1279"/>
        <v>3.5428140312136591E-2</v>
      </c>
      <c r="D4293">
        <v>14.861148801446999</v>
      </c>
      <c r="E4293">
        <v>0.21724036763738</v>
      </c>
      <c r="F4293">
        <v>59</v>
      </c>
    </row>
    <row r="4294" spans="1:9" x14ac:dyDescent="0.25">
      <c r="A4294">
        <v>1643.0461127200001</v>
      </c>
      <c r="B4294">
        <v>1695.3985297393001</v>
      </c>
      <c r="C4294" s="1">
        <f t="shared" si="1279"/>
        <v>3.1863023571890192E-2</v>
      </c>
      <c r="D4294">
        <v>14.956128448666</v>
      </c>
      <c r="E4294">
        <v>0.21908465953777001</v>
      </c>
      <c r="F4294">
        <v>62</v>
      </c>
    </row>
    <row r="4295" spans="1:9" x14ac:dyDescent="0.25">
      <c r="A4295">
        <v>1647.5820895521999</v>
      </c>
      <c r="B4295">
        <v>1696.3056359991001</v>
      </c>
      <c r="C4295" s="1">
        <f t="shared" si="1279"/>
        <v>2.9572758016653822E-2</v>
      </c>
      <c r="D4295">
        <v>15.151515151515</v>
      </c>
      <c r="E4295">
        <v>0.22183323674739999</v>
      </c>
      <c r="F4295">
        <v>59</v>
      </c>
    </row>
    <row r="4296" spans="1:9" x14ac:dyDescent="0.25">
      <c r="A4296">
        <v>1638.4842949432</v>
      </c>
      <c r="B4296">
        <v>1691.3624415237</v>
      </c>
      <c r="C4296" s="1">
        <f t="shared" si="1279"/>
        <v>3.2272598976808009E-2</v>
      </c>
      <c r="D4296">
        <v>14.841248303935</v>
      </c>
      <c r="E4296">
        <v>0.21777126016486001</v>
      </c>
      <c r="F4296">
        <v>67</v>
      </c>
    </row>
    <row r="4297" spans="1:9" x14ac:dyDescent="0.25">
      <c r="A4297">
        <v>1649.8939630207001</v>
      </c>
      <c r="B4297">
        <v>1685.6939184672999</v>
      </c>
      <c r="C4297" s="1">
        <f t="shared" si="1279"/>
        <v>2.1698337134985035E-2</v>
      </c>
      <c r="D4297">
        <v>15.076436001809</v>
      </c>
      <c r="E4297">
        <v>0.21997351981169</v>
      </c>
      <c r="F4297">
        <v>65</v>
      </c>
    </row>
    <row r="4298" spans="1:9" x14ac:dyDescent="0.25">
      <c r="A4298">
        <v>1640.2695477835</v>
      </c>
      <c r="B4298">
        <v>1696.2294497661001</v>
      </c>
      <c r="C4298" s="1">
        <f t="shared" si="1279"/>
        <v>3.4116284154771304E-2</v>
      </c>
      <c r="D4298">
        <v>15.142469470828001</v>
      </c>
      <c r="E4298">
        <v>0.22264696268170001</v>
      </c>
      <c r="F4298">
        <v>65</v>
      </c>
    </row>
    <row r="4299" spans="1:9" x14ac:dyDescent="0.25">
      <c r="A4299">
        <v>1645.0581421252</v>
      </c>
      <c r="B4299">
        <v>1679.6587213188</v>
      </c>
      <c r="C4299" s="1">
        <f t="shared" si="1279"/>
        <v>2.1033043336024848E-2</v>
      </c>
      <c r="D4299">
        <v>14.773405698778999</v>
      </c>
      <c r="E4299">
        <v>0.2153385974598</v>
      </c>
      <c r="F4299">
        <v>62</v>
      </c>
    </row>
    <row r="4300" spans="1:9" x14ac:dyDescent="0.25">
      <c r="A4300">
        <v>1647.2354644687</v>
      </c>
      <c r="B4300">
        <v>1691.4025395410999</v>
      </c>
      <c r="C4300" s="1">
        <f t="shared" si="1279"/>
        <v>2.6812848572711934E-2</v>
      </c>
      <c r="D4300">
        <v>15.276345545002</v>
      </c>
      <c r="E4300">
        <v>0.22394820850585001</v>
      </c>
      <c r="F4300">
        <v>65</v>
      </c>
      <c r="H4300" t="s">
        <v>17</v>
      </c>
      <c r="I4300">
        <f t="shared" ref="I4300" si="1280">STDEVP(A4286:A4305)</f>
        <v>5.368743811548887</v>
      </c>
    </row>
    <row r="4301" spans="1:9" x14ac:dyDescent="0.25">
      <c r="A4301">
        <v>1648.3715749610001</v>
      </c>
      <c r="B4301">
        <v>1692.7213187791999</v>
      </c>
      <c r="C4301" s="1">
        <f t="shared" si="1279"/>
        <v>2.6905185998035153E-2</v>
      </c>
      <c r="D4301">
        <v>15.258254183627001</v>
      </c>
      <c r="E4301">
        <v>0.22352344172045999</v>
      </c>
      <c r="F4301">
        <v>61</v>
      </c>
      <c r="H4301" t="s">
        <v>18</v>
      </c>
      <c r="I4301">
        <f t="shared" ref="I4301" si="1281">STDEVP(B4286:B4305)</f>
        <v>5.8439934581888906</v>
      </c>
    </row>
    <row r="4302" spans="1:9" x14ac:dyDescent="0.25">
      <c r="A4302">
        <v>1650.3488527512</v>
      </c>
      <c r="B4302">
        <v>1687.1280908888</v>
      </c>
      <c r="C4302" s="1">
        <f t="shared" si="1279"/>
        <v>2.2285735574201437E-2</v>
      </c>
      <c r="D4302">
        <v>15.246494798734</v>
      </c>
      <c r="E4302">
        <v>0.22286225423473</v>
      </c>
      <c r="F4302">
        <v>57</v>
      </c>
      <c r="H4302" t="s">
        <v>19</v>
      </c>
      <c r="I4302">
        <f t="shared" ref="I4302" si="1282">STDEVP(C4286:C4305)</f>
        <v>4.2580150543788144E-3</v>
      </c>
    </row>
    <row r="4303" spans="1:9" x14ac:dyDescent="0.25">
      <c r="A4303">
        <v>1658.3885052349999</v>
      </c>
      <c r="B4303">
        <v>1701.1967030518999</v>
      </c>
      <c r="C4303" s="1">
        <f t="shared" si="1279"/>
        <v>2.5813129843681448E-2</v>
      </c>
      <c r="D4303">
        <v>15.025780189959001</v>
      </c>
      <c r="E4303">
        <v>0.21771679017556</v>
      </c>
      <c r="F4303">
        <v>69</v>
      </c>
      <c r="H4303" t="s">
        <v>20</v>
      </c>
      <c r="I4303">
        <f t="shared" ref="I4303" si="1283">STDEVP(D4286:D4305)</f>
        <v>0.19767895769333937</v>
      </c>
    </row>
    <row r="4304" spans="1:9" x14ac:dyDescent="0.25">
      <c r="A4304">
        <v>1641.8681220762001</v>
      </c>
      <c r="B4304">
        <v>1684.6371129427</v>
      </c>
      <c r="C4304" s="1">
        <f t="shared" si="1279"/>
        <v>2.6048980604128635E-2</v>
      </c>
      <c r="D4304">
        <v>15.217548620534</v>
      </c>
      <c r="E4304">
        <v>0.22375960336969</v>
      </c>
      <c r="F4304">
        <v>66</v>
      </c>
      <c r="H4304" t="s">
        <v>21</v>
      </c>
      <c r="I4304">
        <f t="shared" ref="I4304" si="1284">STDEVP(E4286:E4305)</f>
        <v>3.1612213292831902E-3</v>
      </c>
    </row>
    <row r="4305" spans="1:9" x14ac:dyDescent="0.25">
      <c r="A4305">
        <v>1642.4326130541001</v>
      </c>
      <c r="B4305">
        <v>1687.9576743150001</v>
      </c>
      <c r="C4305" s="1">
        <f t="shared" si="1279"/>
        <v>2.7718069465417106E-2</v>
      </c>
      <c r="D4305">
        <v>14.941655359566001</v>
      </c>
      <c r="E4305">
        <v>0.21868875375689001</v>
      </c>
      <c r="F4305">
        <v>75</v>
      </c>
      <c r="H4305" t="s">
        <v>22</v>
      </c>
      <c r="I4305">
        <f t="shared" ref="I4305" si="1285">STDEVP(F4286:F4305)</f>
        <v>4.6289847699036555</v>
      </c>
    </row>
    <row r="4306" spans="1:9" x14ac:dyDescent="0.25">
      <c r="C4306" s="1" t="str">
        <f t="shared" si="1279"/>
        <v/>
      </c>
    </row>
    <row r="4307" spans="1:9" x14ac:dyDescent="0.25">
      <c r="A4307">
        <v>2679.6909343384</v>
      </c>
      <c r="B4307">
        <v>2733.7540170601001</v>
      </c>
      <c r="C4307" s="1">
        <f t="shared" si="1279"/>
        <v>2.0175118715714202E-2</v>
      </c>
      <c r="D4307">
        <v>20.197183098591999</v>
      </c>
      <c r="E4307">
        <v>0.17475055157888</v>
      </c>
      <c r="F4307">
        <v>28</v>
      </c>
    </row>
    <row r="4308" spans="1:9" x14ac:dyDescent="0.25">
      <c r="A4308">
        <v>2656.0686371751999</v>
      </c>
      <c r="B4308">
        <v>2713.0152747471002</v>
      </c>
      <c r="C4308" s="1">
        <f t="shared" si="1279"/>
        <v>2.1440198033611191E-2</v>
      </c>
      <c r="D4308">
        <v>19.827766599598</v>
      </c>
      <c r="E4308">
        <v>0.17271042985730001</v>
      </c>
      <c r="F4308">
        <v>28</v>
      </c>
    </row>
    <row r="4309" spans="1:9" x14ac:dyDescent="0.25">
      <c r="A4309">
        <v>2676.9506050386999</v>
      </c>
      <c r="B4309">
        <v>2729.0124975202998</v>
      </c>
      <c r="C4309" s="1">
        <f t="shared" si="1279"/>
        <v>1.944820811546033E-2</v>
      </c>
      <c r="D4309">
        <v>20.111066398390001</v>
      </c>
      <c r="E4309">
        <v>0.17404858522798</v>
      </c>
      <c r="F4309">
        <v>29</v>
      </c>
    </row>
    <row r="4310" spans="1:9" x14ac:dyDescent="0.25">
      <c r="A4310">
        <v>2680.3400119024</v>
      </c>
      <c r="B4310">
        <v>2729.9698472525001</v>
      </c>
      <c r="C4310" s="1">
        <f t="shared" si="1279"/>
        <v>1.8516246121653479E-2</v>
      </c>
      <c r="D4310">
        <v>20.12152917505</v>
      </c>
      <c r="E4310">
        <v>0.17397412296336001</v>
      </c>
      <c r="F4310">
        <v>28</v>
      </c>
    </row>
    <row r="4311" spans="1:9" x14ac:dyDescent="0.25">
      <c r="A4311">
        <v>2681.5246974807001</v>
      </c>
      <c r="B4311">
        <v>2742.3880182502999</v>
      </c>
      <c r="C4311" s="1">
        <f t="shared" si="1279"/>
        <v>2.2697281448416762E-2</v>
      </c>
      <c r="D4311">
        <v>20.115895372232998</v>
      </c>
      <c r="E4311">
        <v>0.17381449164224999</v>
      </c>
      <c r="F4311">
        <v>28</v>
      </c>
    </row>
    <row r="4312" spans="1:9" x14ac:dyDescent="0.25">
      <c r="A4312">
        <v>2660.2130529657002</v>
      </c>
      <c r="B4312">
        <v>2709.9829398929</v>
      </c>
      <c r="C4312" s="1">
        <f t="shared" si="1279"/>
        <v>1.8708985309170867E-2</v>
      </c>
      <c r="D4312">
        <v>19.943661971830998</v>
      </c>
      <c r="E4312">
        <v>0.17358714431142999</v>
      </c>
      <c r="F4312">
        <v>29</v>
      </c>
    </row>
    <row r="4313" spans="1:9" x14ac:dyDescent="0.25">
      <c r="A4313">
        <v>2686.4939496132001</v>
      </c>
      <c r="B4313">
        <v>2734.1741717913001</v>
      </c>
      <c r="C4313" s="1">
        <f t="shared" si="1279"/>
        <v>1.7748121928569782E-2</v>
      </c>
      <c r="D4313">
        <v>20.089336016097</v>
      </c>
      <c r="E4313">
        <v>0.17313788926796</v>
      </c>
      <c r="F4313">
        <v>28</v>
      </c>
    </row>
    <row r="4314" spans="1:9" x14ac:dyDescent="0.25">
      <c r="A4314">
        <v>2687.4933544932001</v>
      </c>
      <c r="B4314">
        <v>2756.1527474707</v>
      </c>
      <c r="C4314" s="1">
        <f t="shared" si="1279"/>
        <v>2.55477442810077E-2</v>
      </c>
      <c r="D4314">
        <v>20.127162977866998</v>
      </c>
      <c r="E4314">
        <v>0.17357023409915001</v>
      </c>
      <c r="F4314">
        <v>28</v>
      </c>
    </row>
    <row r="4315" spans="1:9" x14ac:dyDescent="0.25">
      <c r="A4315">
        <v>2668.1396548304001</v>
      </c>
      <c r="B4315">
        <v>2728.4138067844001</v>
      </c>
      <c r="C4315" s="1">
        <f t="shared" si="1279"/>
        <v>2.2590328750176081E-2</v>
      </c>
      <c r="D4315">
        <v>20.075653923541001</v>
      </c>
      <c r="E4315">
        <v>0.17436283270437</v>
      </c>
      <c r="F4315">
        <v>29</v>
      </c>
    </row>
    <row r="4316" spans="1:9" x14ac:dyDescent="0.25">
      <c r="A4316">
        <v>2667.1140646696999</v>
      </c>
      <c r="B4316">
        <v>2731.5068438802</v>
      </c>
      <c r="C4316" s="1">
        <f t="shared" si="1279"/>
        <v>2.4143241589659858E-2</v>
      </c>
      <c r="D4316">
        <v>20.045070422535002</v>
      </c>
      <c r="E4316">
        <v>0.17420829366280999</v>
      </c>
      <c r="F4316">
        <v>28</v>
      </c>
    </row>
    <row r="4317" spans="1:9" x14ac:dyDescent="0.25">
      <c r="A4317">
        <v>2688.2483634199998</v>
      </c>
      <c r="B4317">
        <v>2740.9442570918</v>
      </c>
      <c r="C4317" s="1">
        <f t="shared" si="1279"/>
        <v>1.9602315912790269E-2</v>
      </c>
      <c r="D4317">
        <v>20.232595573440999</v>
      </c>
      <c r="E4317">
        <v>0.17442733338915001</v>
      </c>
      <c r="F4317">
        <v>28</v>
      </c>
    </row>
    <row r="4318" spans="1:9" x14ac:dyDescent="0.25">
      <c r="A4318">
        <v>2679.1057329895002</v>
      </c>
      <c r="B4318">
        <v>2729.0303511207999</v>
      </c>
      <c r="C4318" s="1">
        <f t="shared" si="1279"/>
        <v>1.863480694940356E-2</v>
      </c>
      <c r="D4318">
        <v>19.946076458753002</v>
      </c>
      <c r="E4318">
        <v>0.17223593613836999</v>
      </c>
      <c r="F4318">
        <v>29</v>
      </c>
    </row>
    <row r="4319" spans="1:9" x14ac:dyDescent="0.25">
      <c r="A4319">
        <v>2676.4868081730001</v>
      </c>
      <c r="B4319">
        <v>2749.9678635190999</v>
      </c>
      <c r="C4319" s="1">
        <f t="shared" si="1279"/>
        <v>2.7454293860786461E-2</v>
      </c>
      <c r="D4319">
        <v>20.257545271630001</v>
      </c>
      <c r="E4319">
        <v>0.17563234980025999</v>
      </c>
      <c r="F4319">
        <v>28</v>
      </c>
    </row>
    <row r="4320" spans="1:9" x14ac:dyDescent="0.25">
      <c r="A4320">
        <v>2684.1412418170999</v>
      </c>
      <c r="B4320">
        <v>2736.4237254513</v>
      </c>
      <c r="C4320" s="1">
        <f t="shared" si="1279"/>
        <v>1.9478290791734354E-2</v>
      </c>
      <c r="D4320">
        <v>20.012877263581</v>
      </c>
      <c r="E4320">
        <v>0.17256035053004001</v>
      </c>
      <c r="F4320">
        <v>28</v>
      </c>
    </row>
    <row r="4321" spans="1:9" x14ac:dyDescent="0.25">
      <c r="A4321">
        <v>2672.4772862527002</v>
      </c>
      <c r="B4321">
        <v>2723.9908748264002</v>
      </c>
      <c r="C4321" s="1">
        <f t="shared" si="1279"/>
        <v>1.9275594534960971E-2</v>
      </c>
      <c r="D4321">
        <v>20.062776659960001</v>
      </c>
      <c r="E4321">
        <v>0.17391736742800001</v>
      </c>
      <c r="F4321">
        <v>29</v>
      </c>
      <c r="H4321" t="s">
        <v>17</v>
      </c>
      <c r="I4321">
        <f t="shared" ref="I4321" si="1286">STDEVP(A4307:A4326)</f>
        <v>9.5007020406260629</v>
      </c>
    </row>
    <row r="4322" spans="1:9" x14ac:dyDescent="0.25">
      <c r="A4322">
        <v>2692.7720690339002</v>
      </c>
      <c r="B4322">
        <v>2736.1991668320002</v>
      </c>
      <c r="C4322" s="1">
        <f t="shared" si="1279"/>
        <v>1.6127283217729049E-2</v>
      </c>
      <c r="D4322">
        <v>19.859154929576999</v>
      </c>
      <c r="E4322">
        <v>0.17036938820879999</v>
      </c>
      <c r="F4322">
        <v>28</v>
      </c>
      <c r="H4322" t="s">
        <v>18</v>
      </c>
      <c r="I4322">
        <f t="shared" ref="I4322" si="1287">STDEVP(B4307:B4326)</f>
        <v>10.598441986574647</v>
      </c>
    </row>
    <row r="4323" spans="1:9" x14ac:dyDescent="0.25">
      <c r="A4323">
        <v>2674.7669113270999</v>
      </c>
      <c r="B4323">
        <v>2721.8543939694</v>
      </c>
      <c r="C4323" s="1">
        <f t="shared" si="1279"/>
        <v>1.7604331219626568E-2</v>
      </c>
      <c r="D4323">
        <v>20.091750503018002</v>
      </c>
      <c r="E4323">
        <v>0.17407806893988001</v>
      </c>
      <c r="F4323">
        <v>28</v>
      </c>
      <c r="H4323" t="s">
        <v>19</v>
      </c>
      <c r="I4323">
        <f t="shared" ref="I4323" si="1288">STDEVP(C4307:C4326)</f>
        <v>2.915219620339101E-3</v>
      </c>
    </row>
    <row r="4324" spans="1:9" x14ac:dyDescent="0.25">
      <c r="A4324">
        <v>2689.5719103352999</v>
      </c>
      <c r="B4324">
        <v>2738.7200952192002</v>
      </c>
      <c r="C4324" s="1">
        <f t="shared" si="1279"/>
        <v>1.8273608783255346E-2</v>
      </c>
      <c r="D4324">
        <v>20.162575452715998</v>
      </c>
      <c r="E4324">
        <v>0.17365105430906</v>
      </c>
      <c r="F4324">
        <v>29</v>
      </c>
      <c r="H4324" t="s">
        <v>20</v>
      </c>
      <c r="I4324">
        <f t="shared" ref="I4324" si="1289">STDEVP(D4307:D4326)</f>
        <v>0.11292814571021781</v>
      </c>
    </row>
    <row r="4325" spans="1:9" x14ac:dyDescent="0.25">
      <c r="A4325">
        <v>2677.9607220789999</v>
      </c>
      <c r="B4325">
        <v>2728.4340408649</v>
      </c>
      <c r="C4325" s="1">
        <f t="shared" si="1279"/>
        <v>1.8847669560558611E-2</v>
      </c>
      <c r="D4325">
        <v>20.039436619718</v>
      </c>
      <c r="E4325">
        <v>0.17322210619153</v>
      </c>
      <c r="F4325">
        <v>28</v>
      </c>
      <c r="H4325" t="s">
        <v>21</v>
      </c>
      <c r="I4325">
        <f t="shared" ref="I4325" si="1290">STDEVP(E4307:E4326)</f>
        <v>1.0678340828053033E-3</v>
      </c>
    </row>
    <row r="4326" spans="1:9" x14ac:dyDescent="0.25">
      <c r="A4326">
        <v>2686.3955564372</v>
      </c>
      <c r="B4326">
        <v>2730.2142432056999</v>
      </c>
      <c r="C4326" s="1">
        <f t="shared" si="1279"/>
        <v>1.6311330869908769E-2</v>
      </c>
      <c r="D4326">
        <v>20.210060362173</v>
      </c>
      <c r="E4326">
        <v>0.17429563298761999</v>
      </c>
      <c r="F4326">
        <v>29</v>
      </c>
      <c r="H4326" t="s">
        <v>22</v>
      </c>
      <c r="I4326">
        <f t="shared" ref="I4326" si="1291">STDEVP(F4307:F4326)</f>
        <v>0.47696960070847289</v>
      </c>
    </row>
    <row r="4327" spans="1:9" x14ac:dyDescent="0.25">
      <c r="C4327" s="1" t="str">
        <f t="shared" si="1279"/>
        <v/>
      </c>
    </row>
    <row r="4328" spans="1:9" x14ac:dyDescent="0.25">
      <c r="A4328">
        <v>442.32850241545998</v>
      </c>
      <c r="B4328">
        <v>460.14534761604</v>
      </c>
      <c r="C4328" s="1">
        <f t="shared" si="1279"/>
        <v>4.0279667946528708E-2</v>
      </c>
      <c r="D4328">
        <v>7.6078431372548998</v>
      </c>
      <c r="E4328">
        <v>0.51658148673394</v>
      </c>
      <c r="F4328">
        <v>14</v>
      </c>
    </row>
    <row r="4329" spans="1:9" x14ac:dyDescent="0.25">
      <c r="A4329">
        <v>439.74459147238002</v>
      </c>
      <c r="B4329">
        <v>458.98928796471</v>
      </c>
      <c r="C4329" s="1">
        <f t="shared" si="1279"/>
        <v>4.3763350057117734E-2</v>
      </c>
      <c r="D4329">
        <v>7.6223358908780998</v>
      </c>
      <c r="E4329">
        <v>0.52318465129847003</v>
      </c>
      <c r="F4329">
        <v>13</v>
      </c>
    </row>
    <row r="4330" spans="1:9" x14ac:dyDescent="0.25">
      <c r="A4330">
        <v>435.33711405167003</v>
      </c>
      <c r="B4330">
        <v>456.78890989287999</v>
      </c>
      <c r="C4330" s="1">
        <f t="shared" si="1279"/>
        <v>4.9276285317276791E-2</v>
      </c>
      <c r="D4330">
        <v>7.5575447570333001</v>
      </c>
      <c r="E4330">
        <v>0.52374297153659</v>
      </c>
      <c r="F4330">
        <v>13</v>
      </c>
    </row>
    <row r="4331" spans="1:9" x14ac:dyDescent="0.25">
      <c r="A4331">
        <v>429.10396975424999</v>
      </c>
      <c r="B4331">
        <v>454.04032766224998</v>
      </c>
      <c r="C4331" s="1">
        <f t="shared" si="1279"/>
        <v>5.8112624598372298E-2</v>
      </c>
      <c r="D4331">
        <v>7.4501278772379003</v>
      </c>
      <c r="E4331">
        <v>0.52418722853157995</v>
      </c>
      <c r="F4331">
        <v>14</v>
      </c>
    </row>
    <row r="4332" spans="1:9" x14ac:dyDescent="0.25">
      <c r="A4332">
        <v>437.06154169292</v>
      </c>
      <c r="B4332">
        <v>458.63306028145001</v>
      </c>
      <c r="C4332" s="1">
        <f t="shared" si="1279"/>
        <v>4.9355792104184282E-2</v>
      </c>
      <c r="D4332">
        <v>7.5788576300084998</v>
      </c>
      <c r="E4332">
        <v>0.52394787357949002</v>
      </c>
      <c r="F4332">
        <v>13</v>
      </c>
    </row>
    <row r="4333" spans="1:9" x14ac:dyDescent="0.25">
      <c r="A4333">
        <v>436.86662465869</v>
      </c>
      <c r="B4333">
        <v>457.24343625287997</v>
      </c>
      <c r="C4333" s="1">
        <f t="shared" si="1279"/>
        <v>4.6643095269888635E-2</v>
      </c>
      <c r="D4333">
        <v>7.5924978687126998</v>
      </c>
      <c r="E4333">
        <v>0.52582625832405006</v>
      </c>
      <c r="F4333">
        <v>14</v>
      </c>
    </row>
    <row r="4334" spans="1:9" x14ac:dyDescent="0.25">
      <c r="A4334">
        <v>436.93341734929999</v>
      </c>
      <c r="B4334">
        <v>452.88678848980999</v>
      </c>
      <c r="C4334" s="1">
        <f t="shared" si="1279"/>
        <v>3.6512133215382603E-2</v>
      </c>
      <c r="D4334">
        <v>7.5797101449274997</v>
      </c>
      <c r="E4334">
        <v>0.52368224137087005</v>
      </c>
      <c r="F4334">
        <v>13</v>
      </c>
    </row>
    <row r="4335" spans="1:9" x14ac:dyDescent="0.25">
      <c r="A4335">
        <v>437.81936567947997</v>
      </c>
      <c r="B4335">
        <v>458.77882797731002</v>
      </c>
      <c r="C4335" s="1">
        <f t="shared" si="1279"/>
        <v>4.7872396565423081E-2</v>
      </c>
      <c r="D4335">
        <v>7.6231884057970998</v>
      </c>
      <c r="E4335">
        <v>0.52640390349909005</v>
      </c>
      <c r="F4335">
        <v>14</v>
      </c>
    </row>
    <row r="4336" spans="1:9" x14ac:dyDescent="0.25">
      <c r="A4336">
        <v>440.95190086116003</v>
      </c>
      <c r="B4336">
        <v>457.65889519007999</v>
      </c>
      <c r="C4336" s="1">
        <f t="shared" si="1279"/>
        <v>3.7888473314871662E-2</v>
      </c>
      <c r="D4336">
        <v>7.5277067348679001</v>
      </c>
      <c r="E4336">
        <v>0.51091351837992005</v>
      </c>
      <c r="F4336">
        <v>13</v>
      </c>
    </row>
    <row r="4337" spans="1:9" x14ac:dyDescent="0.25">
      <c r="A4337">
        <v>440.67002730518999</v>
      </c>
      <c r="B4337">
        <v>457.25477840789</v>
      </c>
      <c r="C4337" s="1">
        <f t="shared" si="1279"/>
        <v>3.7635305500852922E-2</v>
      </c>
      <c r="D4337">
        <v>7.6589940323955998</v>
      </c>
      <c r="E4337">
        <v>0.52484856466545005</v>
      </c>
      <c r="F4337">
        <v>13</v>
      </c>
    </row>
    <row r="4338" spans="1:9" x14ac:dyDescent="0.25">
      <c r="A4338">
        <v>433.04221802142001</v>
      </c>
      <c r="B4338">
        <v>456.63768115942003</v>
      </c>
      <c r="C4338" s="1">
        <f t="shared" si="1279"/>
        <v>5.4487673848079288E-2</v>
      </c>
      <c r="D4338">
        <v>7.4808184143221998</v>
      </c>
      <c r="E4338">
        <v>0.52061935556190997</v>
      </c>
      <c r="F4338">
        <v>14</v>
      </c>
    </row>
    <row r="4339" spans="1:9" x14ac:dyDescent="0.25">
      <c r="A4339">
        <v>440.04494854021999</v>
      </c>
      <c r="B4339">
        <v>455.05272001679998</v>
      </c>
      <c r="C4339" s="1">
        <f t="shared" si="1279"/>
        <v>3.4105087506096643E-2</v>
      </c>
      <c r="D4339">
        <v>7.5566922421141998</v>
      </c>
      <c r="E4339">
        <v>0.51646067827418995</v>
      </c>
      <c r="F4339">
        <v>13</v>
      </c>
    </row>
    <row r="4340" spans="1:9" x14ac:dyDescent="0.25">
      <c r="A4340">
        <v>443.55681579499998</v>
      </c>
      <c r="B4340">
        <v>458.53476160470001</v>
      </c>
      <c r="C4340" s="1">
        <f t="shared" si="1279"/>
        <v>3.3767817957784274E-2</v>
      </c>
      <c r="D4340">
        <v>7.5583972719523</v>
      </c>
      <c r="E4340">
        <v>0.50850638849477003</v>
      </c>
      <c r="F4340">
        <v>14</v>
      </c>
    </row>
    <row r="4341" spans="1:9" x14ac:dyDescent="0.25">
      <c r="A4341">
        <v>438.99642932157002</v>
      </c>
      <c r="B4341">
        <v>459.35391724427001</v>
      </c>
      <c r="C4341" s="1">
        <f t="shared" si="1279"/>
        <v>4.6372787027358475E-2</v>
      </c>
      <c r="D4341">
        <v>7.5976129582267999</v>
      </c>
      <c r="E4341">
        <v>0.52124721199855995</v>
      </c>
      <c r="F4341">
        <v>13</v>
      </c>
    </row>
    <row r="4342" spans="1:9" x14ac:dyDescent="0.25">
      <c r="A4342">
        <v>442.98676748582</v>
      </c>
      <c r="B4342">
        <v>461.10859063222</v>
      </c>
      <c r="C4342" s="1">
        <f t="shared" si="1279"/>
        <v>4.0908271931576534E-2</v>
      </c>
      <c r="D4342">
        <v>7.5780051150894998</v>
      </c>
      <c r="E4342">
        <v>0.51337297839035001</v>
      </c>
      <c r="F4342">
        <v>13</v>
      </c>
      <c r="H4342" t="s">
        <v>17</v>
      </c>
      <c r="I4342">
        <f t="shared" ref="I4342" si="1292">STDEVP(A4328:A4347)</f>
        <v>3.6790583014953095</v>
      </c>
    </row>
    <row r="4343" spans="1:9" x14ac:dyDescent="0.25">
      <c r="A4343">
        <v>440.22684310019002</v>
      </c>
      <c r="B4343">
        <v>465.27284183994999</v>
      </c>
      <c r="C4343" s="1">
        <f t="shared" si="1279"/>
        <v>5.6893392877589211E-2</v>
      </c>
      <c r="D4343">
        <v>7.6291560102301998</v>
      </c>
      <c r="E4343">
        <v>0.52344522788445003</v>
      </c>
      <c r="F4343">
        <v>14</v>
      </c>
      <c r="H4343" t="s">
        <v>18</v>
      </c>
      <c r="I4343">
        <f t="shared" ref="I4343" si="1293">STDEVP(B4328:B4347)</f>
        <v>2.8290346504792203</v>
      </c>
    </row>
    <row r="4344" spans="1:9" x14ac:dyDescent="0.25">
      <c r="A4344">
        <v>435.73324931737</v>
      </c>
      <c r="B4344">
        <v>453.86683469859003</v>
      </c>
      <c r="C4344" s="1">
        <f t="shared" si="1279"/>
        <v>4.1616253544177528E-2</v>
      </c>
      <c r="D4344">
        <v>7.4202898550725003</v>
      </c>
      <c r="E4344">
        <v>0.50884150757954005</v>
      </c>
      <c r="F4344">
        <v>13</v>
      </c>
      <c r="H4344" t="s">
        <v>19</v>
      </c>
      <c r="I4344">
        <f t="shared" ref="I4344" si="1294">STDEVP(C4328:C4347)</f>
        <v>7.5481322295730228E-3</v>
      </c>
    </row>
    <row r="4345" spans="1:9" x14ac:dyDescent="0.25">
      <c r="A4345">
        <v>437.73997059441001</v>
      </c>
      <c r="B4345">
        <v>459.26318000420002</v>
      </c>
      <c r="C4345" s="1">
        <f t="shared" si="1279"/>
        <v>4.9168937852678951E-2</v>
      </c>
      <c r="D4345">
        <v>7.6206308610400999</v>
      </c>
      <c r="E4345">
        <v>0.52654585597479997</v>
      </c>
      <c r="F4345">
        <v>14</v>
      </c>
      <c r="H4345" t="s">
        <v>20</v>
      </c>
      <c r="I4345">
        <f t="shared" ref="I4345" si="1295">STDEVP(D4328:D4347)</f>
        <v>7.0194897594059211E-2</v>
      </c>
    </row>
    <row r="4346" spans="1:9" x14ac:dyDescent="0.25">
      <c r="A4346">
        <v>438.97038437303002</v>
      </c>
      <c r="B4346">
        <v>454.68220961982001</v>
      </c>
      <c r="C4346" s="1">
        <f t="shared" si="1279"/>
        <v>3.5792449345371624E-2</v>
      </c>
      <c r="D4346">
        <v>7.4168797953964001</v>
      </c>
      <c r="E4346">
        <v>0.50216535802257001</v>
      </c>
      <c r="F4346">
        <v>13</v>
      </c>
      <c r="H4346" t="s">
        <v>21</v>
      </c>
      <c r="I4346">
        <f t="shared" ref="I4346" si="1296">STDEVP(E4328:E4347)</f>
        <v>6.8851233170858584E-3</v>
      </c>
    </row>
    <row r="4347" spans="1:9" x14ac:dyDescent="0.25">
      <c r="A4347">
        <v>445.49506406217</v>
      </c>
      <c r="B4347">
        <v>460.16845200588</v>
      </c>
      <c r="C4347" s="1">
        <f t="shared" si="1279"/>
        <v>3.2937262671135503E-2</v>
      </c>
      <c r="D4347">
        <v>7.6479113384483997</v>
      </c>
      <c r="E4347">
        <v>0.51604469587792001</v>
      </c>
      <c r="F4347">
        <v>13</v>
      </c>
      <c r="H4347" t="s">
        <v>22</v>
      </c>
      <c r="I4347">
        <f t="shared" ref="I4347" si="1297">STDEVP(F4328:F4347)</f>
        <v>0.48989794855663554</v>
      </c>
    </row>
    <row r="4348" spans="1:9" x14ac:dyDescent="0.25">
      <c r="C4348" s="1" t="str">
        <f t="shared" si="1279"/>
        <v/>
      </c>
    </row>
    <row r="4349" spans="1:9" x14ac:dyDescent="0.25">
      <c r="A4349">
        <v>1202.6172428155</v>
      </c>
      <c r="B4349">
        <v>1230.3411078716999</v>
      </c>
      <c r="C4349" s="1">
        <f t="shared" si="1279"/>
        <v>2.3052941592035081E-2</v>
      </c>
      <c r="D4349">
        <v>13.765200925731</v>
      </c>
      <c r="E4349">
        <v>0.29341576883944998</v>
      </c>
      <c r="F4349">
        <v>24</v>
      </c>
    </row>
    <row r="4350" spans="1:9" x14ac:dyDescent="0.25">
      <c r="A4350">
        <v>1197.6301541025</v>
      </c>
      <c r="B4350">
        <v>1227.1128696375999</v>
      </c>
      <c r="C4350" s="1">
        <f t="shared" si="1279"/>
        <v>2.4617546104785726E-2</v>
      </c>
      <c r="D4350">
        <v>13.560698506207</v>
      </c>
      <c r="E4350">
        <v>0.28959600915834999</v>
      </c>
      <c r="F4350">
        <v>24</v>
      </c>
    </row>
    <row r="4351" spans="1:9" x14ac:dyDescent="0.25">
      <c r="A4351">
        <v>1192.2623906706001</v>
      </c>
      <c r="B4351">
        <v>1221.0699708454999</v>
      </c>
      <c r="C4351" s="1">
        <f t="shared" si="1279"/>
        <v>2.4162114313357463E-2</v>
      </c>
      <c r="D4351">
        <v>13.734904270987</v>
      </c>
      <c r="E4351">
        <v>0.29627099312524002</v>
      </c>
      <c r="F4351">
        <v>25</v>
      </c>
    </row>
    <row r="4352" spans="1:9" x14ac:dyDescent="0.25">
      <c r="A4352">
        <v>1182.7346938776</v>
      </c>
      <c r="B4352">
        <v>1213.495210329</v>
      </c>
      <c r="C4352" s="1">
        <f t="shared" si="1279"/>
        <v>2.600795986676574E-2</v>
      </c>
      <c r="D4352">
        <v>13.463917525773001</v>
      </c>
      <c r="E4352">
        <v>0.29155357293484002</v>
      </c>
      <c r="F4352">
        <v>24</v>
      </c>
    </row>
    <row r="4353" spans="1:9" x14ac:dyDescent="0.25">
      <c r="A4353">
        <v>1186.2207413578001</v>
      </c>
      <c r="B4353">
        <v>1212.9100374843999</v>
      </c>
      <c r="C4353" s="1">
        <f t="shared" si="1279"/>
        <v>2.2499434714023048E-2</v>
      </c>
      <c r="D4353">
        <v>13.588470439722</v>
      </c>
      <c r="E4353">
        <v>0.29378689247565998</v>
      </c>
      <c r="F4353">
        <v>24</v>
      </c>
    </row>
    <row r="4354" spans="1:9" x14ac:dyDescent="0.25">
      <c r="A4354">
        <v>1188.5843398584</v>
      </c>
      <c r="B4354">
        <v>1223.9833402749</v>
      </c>
      <c r="C4354" s="1">
        <f t="shared" ref="C4354:C4417" si="1298">IFERROR((B4354/A4354)-1,"")</f>
        <v>2.978248932735994E-2</v>
      </c>
      <c r="D4354">
        <v>13.733641910372</v>
      </c>
      <c r="E4354">
        <v>0.29718463138688</v>
      </c>
      <c r="F4354">
        <v>25</v>
      </c>
    </row>
    <row r="4355" spans="1:9" x14ac:dyDescent="0.25">
      <c r="A4355">
        <v>1186.1674302373999</v>
      </c>
      <c r="B4355">
        <v>1213.7830070804</v>
      </c>
      <c r="C4355" s="1">
        <f t="shared" si="1298"/>
        <v>2.3281348095583132E-2</v>
      </c>
      <c r="D4355">
        <v>13.618767094467</v>
      </c>
      <c r="E4355">
        <v>0.29475074757101999</v>
      </c>
      <c r="F4355">
        <v>24</v>
      </c>
    </row>
    <row r="4356" spans="1:9" x14ac:dyDescent="0.25">
      <c r="A4356">
        <v>1194.2857142856999</v>
      </c>
      <c r="B4356">
        <v>1225.5010412327999</v>
      </c>
      <c r="C4356" s="1">
        <f t="shared" si="1298"/>
        <v>2.6137235482021959E-2</v>
      </c>
      <c r="D4356">
        <v>13.814432989690999</v>
      </c>
      <c r="E4356">
        <v>0.29763877670396999</v>
      </c>
      <c r="F4356">
        <v>24</v>
      </c>
    </row>
    <row r="4357" spans="1:9" x14ac:dyDescent="0.25">
      <c r="A4357">
        <v>1203.8613077883999</v>
      </c>
      <c r="B4357">
        <v>1231.7984173261</v>
      </c>
      <c r="C4357" s="1">
        <f t="shared" si="1298"/>
        <v>2.3206252545006967E-2</v>
      </c>
      <c r="D4357">
        <v>13.701241321271</v>
      </c>
      <c r="E4357">
        <v>0.29175802577157001</v>
      </c>
      <c r="F4357">
        <v>25</v>
      </c>
    </row>
    <row r="4358" spans="1:9" x14ac:dyDescent="0.25">
      <c r="A4358">
        <v>1198.9008746356001</v>
      </c>
      <c r="B4358">
        <v>1225.0408163264999</v>
      </c>
      <c r="C4358" s="1">
        <f t="shared" si="1298"/>
        <v>2.1803255168068025E-2</v>
      </c>
      <c r="D4358">
        <v>13.646539027982</v>
      </c>
      <c r="E4358">
        <v>0.29163722940267001</v>
      </c>
      <c r="F4358">
        <v>24</v>
      </c>
    </row>
    <row r="4359" spans="1:9" x14ac:dyDescent="0.25">
      <c r="A4359">
        <v>1201.3865056227</v>
      </c>
      <c r="B4359">
        <v>1227.4094127446999</v>
      </c>
      <c r="C4359" s="1">
        <f t="shared" si="1298"/>
        <v>2.1660728666593299E-2</v>
      </c>
      <c r="D4359">
        <v>13.759730696402</v>
      </c>
      <c r="E4359">
        <v>0.29395439831015002</v>
      </c>
      <c r="F4359">
        <v>24</v>
      </c>
    </row>
    <row r="4360" spans="1:9" x14ac:dyDescent="0.25">
      <c r="A4360">
        <v>1188.3956684714999</v>
      </c>
      <c r="B4360">
        <v>1222.0258225739001</v>
      </c>
      <c r="C4360" s="1">
        <f t="shared" si="1298"/>
        <v>2.8298785492591794E-2</v>
      </c>
      <c r="D4360">
        <v>13.53545129392</v>
      </c>
      <c r="E4360">
        <v>0.29169544956742999</v>
      </c>
      <c r="F4360">
        <v>25</v>
      </c>
    </row>
    <row r="4361" spans="1:9" x14ac:dyDescent="0.25">
      <c r="A4361">
        <v>1191.0608079967001</v>
      </c>
      <c r="B4361">
        <v>1221.3331945023001</v>
      </c>
      <c r="C4361" s="1">
        <f t="shared" si="1298"/>
        <v>2.541632324928611E-2</v>
      </c>
      <c r="D4361">
        <v>13.679360403955</v>
      </c>
      <c r="E4361">
        <v>0.29500812423210998</v>
      </c>
      <c r="F4361">
        <v>24</v>
      </c>
    </row>
    <row r="4362" spans="1:9" x14ac:dyDescent="0.25">
      <c r="A4362">
        <v>1192.6393169513001</v>
      </c>
      <c r="B4362">
        <v>1219.1112036651</v>
      </c>
      <c r="C4362" s="1">
        <f t="shared" si="1298"/>
        <v>2.2196054027020518E-2</v>
      </c>
      <c r="D4362">
        <v>13.748790237745</v>
      </c>
      <c r="E4362">
        <v>0.29640156136126</v>
      </c>
      <c r="F4362">
        <v>24</v>
      </c>
    </row>
    <row r="4363" spans="1:9" x14ac:dyDescent="0.25">
      <c r="A4363">
        <v>1200.4452311537</v>
      </c>
      <c r="B4363">
        <v>1229.9154518949999</v>
      </c>
      <c r="C4363" s="1">
        <f t="shared" si="1298"/>
        <v>2.4549408816408214E-2</v>
      </c>
      <c r="D4363">
        <v>13.670944666525999</v>
      </c>
      <c r="E4363">
        <v>0.29172235624729997</v>
      </c>
      <c r="F4363">
        <v>25</v>
      </c>
      <c r="H4363" t="s">
        <v>17</v>
      </c>
      <c r="I4363">
        <f t="shared" ref="I4363" si="1299">STDEVP(A4349:A4368)</f>
        <v>5.883441543020548</v>
      </c>
    </row>
    <row r="4364" spans="1:9" x14ac:dyDescent="0.25">
      <c r="A4364">
        <v>1198.4943773427999</v>
      </c>
      <c r="B4364">
        <v>1226.8654727196999</v>
      </c>
      <c r="C4364" s="1">
        <f t="shared" si="1298"/>
        <v>2.3672280749286401E-2</v>
      </c>
      <c r="D4364">
        <v>13.795076793604</v>
      </c>
      <c r="E4364">
        <v>0.29588161533558999</v>
      </c>
      <c r="F4364">
        <v>24</v>
      </c>
      <c r="H4364" t="s">
        <v>18</v>
      </c>
      <c r="I4364">
        <f t="shared" ref="I4364" si="1300">STDEVP(B4349:B4368)</f>
        <v>5.2943791429583316</v>
      </c>
    </row>
    <row r="4365" spans="1:9" x14ac:dyDescent="0.25">
      <c r="A4365">
        <v>1187.8575593503001</v>
      </c>
      <c r="B4365">
        <v>1221.0004164930999</v>
      </c>
      <c r="C4365" s="1">
        <f t="shared" si="1298"/>
        <v>2.7901373259709095E-2</v>
      </c>
      <c r="D4365">
        <v>13.640227224910999</v>
      </c>
      <c r="E4365">
        <v>0.29489069923547001</v>
      </c>
      <c r="F4365">
        <v>24</v>
      </c>
      <c r="H4365" t="s">
        <v>19</v>
      </c>
      <c r="I4365">
        <f t="shared" ref="I4365" si="1301">STDEVP(C4349:C4368)</f>
        <v>2.1367679920933345E-3</v>
      </c>
    </row>
    <row r="4366" spans="1:9" x14ac:dyDescent="0.25">
      <c r="A4366">
        <v>1195.6139108704999</v>
      </c>
      <c r="B4366">
        <v>1225.5810079133</v>
      </c>
      <c r="C4366" s="1">
        <f t="shared" si="1298"/>
        <v>2.5064192353685177E-2</v>
      </c>
      <c r="D4366">
        <v>13.653692404797001</v>
      </c>
      <c r="E4366">
        <v>0.29272028386096999</v>
      </c>
      <c r="F4366">
        <v>25</v>
      </c>
      <c r="H4366" t="s">
        <v>20</v>
      </c>
      <c r="I4366">
        <f t="shared" ref="I4366" si="1302">STDEVP(D4349:D4368)</f>
        <v>9.2487231361363859E-2</v>
      </c>
    </row>
    <row r="4367" spans="1:9" x14ac:dyDescent="0.25">
      <c r="A4367">
        <v>1191.7771761766001</v>
      </c>
      <c r="B4367">
        <v>1220.0762182424</v>
      </c>
      <c r="C4367" s="1">
        <f t="shared" si="1298"/>
        <v>2.3745245865999465E-2</v>
      </c>
      <c r="D4367">
        <v>13.798022301704</v>
      </c>
      <c r="E4367">
        <v>0.29807251420475001</v>
      </c>
      <c r="F4367">
        <v>24</v>
      </c>
      <c r="H4367" t="s">
        <v>21</v>
      </c>
      <c r="I4367">
        <f t="shared" ref="I4367" si="1303">STDEVP(E4349:E4368)</f>
        <v>2.3241426752501604E-3</v>
      </c>
    </row>
    <row r="4368" spans="1:9" x14ac:dyDescent="0.25">
      <c r="A4368">
        <v>1193.1999167014001</v>
      </c>
      <c r="B4368">
        <v>1222.9941690962</v>
      </c>
      <c r="C4368" s="1">
        <f t="shared" si="1298"/>
        <v>2.497004230201938E-2</v>
      </c>
      <c r="D4368">
        <v>13.742057647800999</v>
      </c>
      <c r="E4368">
        <v>0.29585221618980001</v>
      </c>
      <c r="F4368">
        <v>24</v>
      </c>
      <c r="H4368" t="s">
        <v>22</v>
      </c>
      <c r="I4368">
        <f t="shared" ref="I4368" si="1304">STDEVP(F4349:F4368)</f>
        <v>0.45825756949558405</v>
      </c>
    </row>
    <row r="4369" spans="1:9" x14ac:dyDescent="0.25">
      <c r="C4369" s="1" t="str">
        <f t="shared" si="1298"/>
        <v/>
      </c>
    </row>
    <row r="4370" spans="1:9" x14ac:dyDescent="0.25">
      <c r="A4370">
        <v>367.18184429761999</v>
      </c>
      <c r="B4370">
        <v>390.60672220625997</v>
      </c>
      <c r="C4370" s="1">
        <f t="shared" si="1298"/>
        <v>6.3796394817530633E-2</v>
      </c>
      <c r="D4370">
        <v>7.0894213909993997</v>
      </c>
      <c r="E4370">
        <v>0.61883924313795002</v>
      </c>
      <c r="F4370">
        <v>12</v>
      </c>
    </row>
    <row r="4371" spans="1:9" x14ac:dyDescent="0.25">
      <c r="A4371">
        <v>367.15311692043002</v>
      </c>
      <c r="B4371">
        <v>389.30192473427002</v>
      </c>
      <c r="C4371" s="1">
        <f t="shared" si="1298"/>
        <v>6.0325806300154827E-2</v>
      </c>
      <c r="D4371">
        <v>7.2086499123319996</v>
      </c>
      <c r="E4371">
        <v>0.63650871277530996</v>
      </c>
      <c r="F4371">
        <v>12</v>
      </c>
    </row>
    <row r="4372" spans="1:9" x14ac:dyDescent="0.25">
      <c r="A4372">
        <v>362.82447572537001</v>
      </c>
      <c r="B4372">
        <v>386.38149956909001</v>
      </c>
      <c r="C4372" s="1">
        <f t="shared" si="1298"/>
        <v>6.492677705004346E-2</v>
      </c>
      <c r="D4372">
        <v>7.1712448860315998</v>
      </c>
      <c r="E4372">
        <v>0.64143712586581003</v>
      </c>
      <c r="F4372">
        <v>12</v>
      </c>
    </row>
    <row r="4373" spans="1:9" x14ac:dyDescent="0.25">
      <c r="A4373">
        <v>365.46279804654</v>
      </c>
      <c r="B4373">
        <v>385.26055731112001</v>
      </c>
      <c r="C4373" s="1">
        <f t="shared" si="1298"/>
        <v>5.4171749820781656E-2</v>
      </c>
      <c r="D4373">
        <v>7.1537112799531997</v>
      </c>
      <c r="E4373">
        <v>0.63298470069038004</v>
      </c>
      <c r="F4373">
        <v>12</v>
      </c>
    </row>
    <row r="4374" spans="1:9" x14ac:dyDescent="0.25">
      <c r="A4374">
        <v>361.43981614478997</v>
      </c>
      <c r="B4374">
        <v>383.74087905774002</v>
      </c>
      <c r="C4374" s="1">
        <f t="shared" si="1298"/>
        <v>6.1700625987526569E-2</v>
      </c>
      <c r="D4374">
        <v>7.0146113383986002</v>
      </c>
      <c r="E4374">
        <v>0.62402454298675003</v>
      </c>
      <c r="F4374">
        <v>13</v>
      </c>
    </row>
    <row r="4375" spans="1:9" x14ac:dyDescent="0.25">
      <c r="A4375">
        <v>363.96667624245998</v>
      </c>
      <c r="B4375">
        <v>387.99138178684001</v>
      </c>
      <c r="C4375" s="1">
        <f t="shared" si="1298"/>
        <v>6.6007981259184723E-2</v>
      </c>
      <c r="D4375">
        <v>7.2086499123319996</v>
      </c>
      <c r="E4375">
        <v>0.64752216226512005</v>
      </c>
      <c r="F4375">
        <v>12</v>
      </c>
    </row>
    <row r="4376" spans="1:9" x14ac:dyDescent="0.25">
      <c r="A4376">
        <v>372.82447572537001</v>
      </c>
      <c r="B4376">
        <v>391.75466819879</v>
      </c>
      <c r="C4376" s="1">
        <f t="shared" si="1298"/>
        <v>5.0775079711677495E-2</v>
      </c>
      <c r="D4376">
        <v>7.2402104032728998</v>
      </c>
      <c r="E4376">
        <v>0.62550079375012002</v>
      </c>
      <c r="F4376">
        <v>12</v>
      </c>
    </row>
    <row r="4377" spans="1:9" x14ac:dyDescent="0.25">
      <c r="A4377">
        <v>360.18155702384001</v>
      </c>
      <c r="B4377">
        <v>385.51048549267</v>
      </c>
      <c r="C4377" s="1">
        <f t="shared" si="1298"/>
        <v>7.0322669150862493E-2</v>
      </c>
      <c r="D4377">
        <v>6.9678550555231</v>
      </c>
      <c r="E4377">
        <v>0.62059613129358004</v>
      </c>
      <c r="F4377">
        <v>12</v>
      </c>
    </row>
    <row r="4378" spans="1:9" x14ac:dyDescent="0.25">
      <c r="A4378">
        <v>369.18644067796998</v>
      </c>
      <c r="B4378">
        <v>386.80149382360997</v>
      </c>
      <c r="C4378" s="1">
        <f t="shared" si="1298"/>
        <v>4.7713163878098763E-2</v>
      </c>
      <c r="D4378">
        <v>7.1034482758620996</v>
      </c>
      <c r="E4378">
        <v>0.61832469766843001</v>
      </c>
      <c r="F4378">
        <v>12</v>
      </c>
    </row>
    <row r="4379" spans="1:9" x14ac:dyDescent="0.25">
      <c r="A4379">
        <v>362.05860384946999</v>
      </c>
      <c r="B4379">
        <v>386.47342717610002</v>
      </c>
      <c r="C4379" s="1">
        <f t="shared" si="1298"/>
        <v>6.7433346610320521E-2</v>
      </c>
      <c r="D4379">
        <v>7.0753945061368002</v>
      </c>
      <c r="E4379">
        <v>0.62846399927290997</v>
      </c>
      <c r="F4379">
        <v>13</v>
      </c>
    </row>
    <row r="4380" spans="1:9" x14ac:dyDescent="0.25">
      <c r="A4380">
        <v>372.66302786556003</v>
      </c>
      <c r="B4380">
        <v>393.10715311692002</v>
      </c>
      <c r="C4380" s="1">
        <f t="shared" si="1298"/>
        <v>5.485954796335557E-2</v>
      </c>
      <c r="D4380">
        <v>7.1957919345411998</v>
      </c>
      <c r="E4380">
        <v>0.61897490546750999</v>
      </c>
      <c r="F4380">
        <v>12</v>
      </c>
    </row>
    <row r="4381" spans="1:9" x14ac:dyDescent="0.25">
      <c r="A4381">
        <v>365.99080723930001</v>
      </c>
      <c r="B4381">
        <v>390.26371732260998</v>
      </c>
      <c r="C4381" s="1">
        <f t="shared" si="1298"/>
        <v>6.6321092232896728E-2</v>
      </c>
      <c r="D4381">
        <v>7.2133255406194996</v>
      </c>
      <c r="E4381">
        <v>0.63904844959559004</v>
      </c>
      <c r="F4381">
        <v>12</v>
      </c>
    </row>
    <row r="4382" spans="1:9" x14ac:dyDescent="0.25">
      <c r="A4382">
        <v>367.69089342143002</v>
      </c>
      <c r="B4382">
        <v>389.76788279229999</v>
      </c>
      <c r="C4382" s="1">
        <f t="shared" si="1298"/>
        <v>6.0042252244649319E-2</v>
      </c>
      <c r="D4382">
        <v>7.1946230274692997</v>
      </c>
      <c r="E4382">
        <v>0.63103768289680995</v>
      </c>
      <c r="F4382">
        <v>12</v>
      </c>
    </row>
    <row r="4383" spans="1:9" x14ac:dyDescent="0.25">
      <c r="A4383">
        <v>370.62970410802001</v>
      </c>
      <c r="B4383">
        <v>392.78483194483999</v>
      </c>
      <c r="C4383" s="1">
        <f t="shared" si="1298"/>
        <v>5.9776989246287826E-2</v>
      </c>
      <c r="D4383">
        <v>7.1630625365283001</v>
      </c>
      <c r="E4383">
        <v>0.61988426717722001</v>
      </c>
      <c r="F4383">
        <v>13</v>
      </c>
    </row>
    <row r="4384" spans="1:9" x14ac:dyDescent="0.25">
      <c r="A4384">
        <v>363.64895145073001</v>
      </c>
      <c r="B4384">
        <v>387.20310255673002</v>
      </c>
      <c r="C4384" s="1">
        <f t="shared" si="1298"/>
        <v>6.4771673373548388E-2</v>
      </c>
      <c r="D4384">
        <v>7.1700759789596997</v>
      </c>
      <c r="E4384">
        <v>0.63870717206639005</v>
      </c>
      <c r="F4384">
        <v>12</v>
      </c>
      <c r="H4384" t="s">
        <v>17</v>
      </c>
      <c r="I4384">
        <f t="shared" ref="I4384" si="1305">STDEVP(A4370:A4389)</f>
        <v>3.537562686812683</v>
      </c>
    </row>
    <row r="4385" spans="1:9" x14ac:dyDescent="0.25">
      <c r="A4385">
        <v>366.38207411663001</v>
      </c>
      <c r="B4385">
        <v>384.51651824188002</v>
      </c>
      <c r="C4385" s="1">
        <f t="shared" si="1298"/>
        <v>4.9495991770266867E-2</v>
      </c>
      <c r="D4385">
        <v>7.1315020455873999</v>
      </c>
      <c r="E4385">
        <v>0.62665540274034004</v>
      </c>
      <c r="F4385">
        <v>12</v>
      </c>
      <c r="H4385" t="s">
        <v>18</v>
      </c>
      <c r="I4385">
        <f t="shared" ref="I4385" si="1306">STDEVP(B4370:B4389)</f>
        <v>2.7447955119661569</v>
      </c>
    </row>
    <row r="4386" spans="1:9" x14ac:dyDescent="0.25">
      <c r="A4386">
        <v>364.98075265727999</v>
      </c>
      <c r="B4386">
        <v>384.46423441540003</v>
      </c>
      <c r="C4386" s="1">
        <f t="shared" si="1298"/>
        <v>5.3382217051908931E-2</v>
      </c>
      <c r="D4386">
        <v>7.1654003506721002</v>
      </c>
      <c r="E4386">
        <v>0.63619640818302003</v>
      </c>
      <c r="F4386">
        <v>12</v>
      </c>
      <c r="H4386" t="s">
        <v>19</v>
      </c>
      <c r="I4386">
        <f t="shared" ref="I4386" si="1307">STDEVP(C4370:C4389)</f>
        <v>6.5699908273645141E-3</v>
      </c>
    </row>
    <row r="4387" spans="1:9" x14ac:dyDescent="0.25">
      <c r="A4387">
        <v>370.96351623097001</v>
      </c>
      <c r="B4387">
        <v>389.76328641194999</v>
      </c>
      <c r="C4387" s="1">
        <f t="shared" si="1298"/>
        <v>5.0678218634510719E-2</v>
      </c>
      <c r="D4387">
        <v>7.3886616014027</v>
      </c>
      <c r="E4387">
        <v>0.64953198305532001</v>
      </c>
      <c r="F4387">
        <v>13</v>
      </c>
      <c r="H4387" t="s">
        <v>20</v>
      </c>
      <c r="I4387">
        <f t="shared" ref="I4387" si="1308">STDEVP(D4370:D4389)</f>
        <v>8.6006781174673877E-2</v>
      </c>
    </row>
    <row r="4388" spans="1:9" x14ac:dyDescent="0.25">
      <c r="A4388">
        <v>368.61706406205002</v>
      </c>
      <c r="B4388">
        <v>390.24992818154999</v>
      </c>
      <c r="C4388" s="1">
        <f t="shared" si="1298"/>
        <v>5.8686550972741891E-2</v>
      </c>
      <c r="D4388">
        <v>7.1934541203973996</v>
      </c>
      <c r="E4388">
        <v>0.63318775624920998</v>
      </c>
      <c r="F4388">
        <v>12</v>
      </c>
      <c r="H4388" t="s">
        <v>21</v>
      </c>
      <c r="I4388">
        <f t="shared" ref="I4388" si="1309">STDEVP(E4370:E4389)</f>
        <v>9.2439485341742102E-3</v>
      </c>
    </row>
    <row r="4389" spans="1:9" x14ac:dyDescent="0.25">
      <c r="A4389">
        <v>368.66015512784003</v>
      </c>
      <c r="B4389">
        <v>388.31083022119998</v>
      </c>
      <c r="C4389" s="1">
        <f t="shared" si="1298"/>
        <v>5.3302953465490965E-2</v>
      </c>
      <c r="D4389">
        <v>7.2215078901226999</v>
      </c>
      <c r="E4389">
        <v>0.63306525640067002</v>
      </c>
      <c r="F4389">
        <v>12</v>
      </c>
      <c r="H4389" t="s">
        <v>22</v>
      </c>
      <c r="I4389">
        <f t="shared" ref="I4389" si="1310">STDEVP(F4370:F4389)</f>
        <v>0.39999999999999997</v>
      </c>
    </row>
    <row r="4390" spans="1:9" x14ac:dyDescent="0.25">
      <c r="C4390" s="1" t="str">
        <f t="shared" si="1298"/>
        <v/>
      </c>
    </row>
    <row r="4391" spans="1:9" x14ac:dyDescent="0.25">
      <c r="A4391">
        <v>821.24638686552998</v>
      </c>
      <c r="B4391">
        <v>850.22314718465998</v>
      </c>
      <c r="C4391" s="1">
        <f t="shared" si="1298"/>
        <v>3.5283881649362581E-2</v>
      </c>
      <c r="D4391">
        <v>11.160822814398999</v>
      </c>
      <c r="E4391">
        <v>0.36913067525151999</v>
      </c>
      <c r="F4391">
        <v>17</v>
      </c>
    </row>
    <row r="4392" spans="1:9" x14ac:dyDescent="0.25">
      <c r="A4392">
        <v>822.05526650479999</v>
      </c>
      <c r="B4392">
        <v>849.18163949590996</v>
      </c>
      <c r="C4392" s="1">
        <f t="shared" si="1298"/>
        <v>3.2998235150837774E-2</v>
      </c>
      <c r="D4392">
        <v>11.347358578774999</v>
      </c>
      <c r="E4392">
        <v>0.37757234775821003</v>
      </c>
      <c r="F4392">
        <v>18</v>
      </c>
    </row>
    <row r="4393" spans="1:9" x14ac:dyDescent="0.25">
      <c r="A4393">
        <v>828.87593941496004</v>
      </c>
      <c r="B4393">
        <v>850.10382703204004</v>
      </c>
      <c r="C4393" s="1">
        <f t="shared" si="1298"/>
        <v>2.561045218909741E-2</v>
      </c>
      <c r="D4393">
        <v>11.352968676952001</v>
      </c>
      <c r="E4393">
        <v>0.37314017228434998</v>
      </c>
      <c r="F4393">
        <v>17</v>
      </c>
    </row>
    <row r="4394" spans="1:9" x14ac:dyDescent="0.25">
      <c r="A4394">
        <v>825.73106717539997</v>
      </c>
      <c r="B4394">
        <v>847.26951092613001</v>
      </c>
      <c r="C4394" s="1">
        <f t="shared" si="1298"/>
        <v>2.6084090337556542E-2</v>
      </c>
      <c r="D4394">
        <v>11.237494156147999</v>
      </c>
      <c r="E4394">
        <v>0.37034993993742998</v>
      </c>
      <c r="F4394">
        <v>17</v>
      </c>
    </row>
    <row r="4395" spans="1:9" x14ac:dyDescent="0.25">
      <c r="A4395">
        <v>827.81107642502002</v>
      </c>
      <c r="B4395">
        <v>852.93074343855994</v>
      </c>
      <c r="C4395" s="1">
        <f t="shared" si="1298"/>
        <v>3.0344685797176751E-2</v>
      </c>
      <c r="D4395">
        <v>11.239364188872999</v>
      </c>
      <c r="E4395">
        <v>0.36887870156351998</v>
      </c>
      <c r="F4395">
        <v>18</v>
      </c>
    </row>
    <row r="4396" spans="1:9" x14ac:dyDescent="0.25">
      <c r="A4396">
        <v>828.25898947855001</v>
      </c>
      <c r="B4396">
        <v>855.43230431264999</v>
      </c>
      <c r="C4396" s="1">
        <f t="shared" si="1298"/>
        <v>3.2807751173588251E-2</v>
      </c>
      <c r="D4396">
        <v>11.447872837775</v>
      </c>
      <c r="E4396">
        <v>0.37773612656330002</v>
      </c>
      <c r="F4396">
        <v>17</v>
      </c>
    </row>
    <row r="4397" spans="1:9" x14ac:dyDescent="0.25">
      <c r="A4397">
        <v>820.92103133310002</v>
      </c>
      <c r="B4397">
        <v>853.21956295527002</v>
      </c>
      <c r="C4397" s="1">
        <f t="shared" si="1298"/>
        <v>3.9344261371547784E-2</v>
      </c>
      <c r="D4397">
        <v>11.382421692379999</v>
      </c>
      <c r="E4397">
        <v>0.38001869938965999</v>
      </c>
      <c r="F4397">
        <v>18</v>
      </c>
    </row>
    <row r="4398" spans="1:9" x14ac:dyDescent="0.25">
      <c r="A4398">
        <v>824.61325008671997</v>
      </c>
      <c r="B4398">
        <v>852.67707249394005</v>
      </c>
      <c r="C4398" s="1">
        <f t="shared" si="1298"/>
        <v>3.4032708550667534E-2</v>
      </c>
      <c r="D4398">
        <v>11.287517531557</v>
      </c>
      <c r="E4398">
        <v>0.37264962706479998</v>
      </c>
      <c r="F4398">
        <v>18</v>
      </c>
    </row>
    <row r="4399" spans="1:9" x14ac:dyDescent="0.25">
      <c r="A4399">
        <v>824.68794080241003</v>
      </c>
      <c r="B4399">
        <v>854.05896635450995</v>
      </c>
      <c r="C4399" s="1">
        <f t="shared" si="1298"/>
        <v>3.561471448645448E-2</v>
      </c>
      <c r="D4399">
        <v>11.431510051426001</v>
      </c>
      <c r="E4399">
        <v>0.37973591081441999</v>
      </c>
      <c r="F4399">
        <v>17</v>
      </c>
    </row>
    <row r="4400" spans="1:9" x14ac:dyDescent="0.25">
      <c r="A4400">
        <v>829.68065672332</v>
      </c>
      <c r="B4400">
        <v>850.11215169385002</v>
      </c>
      <c r="C4400" s="1">
        <f t="shared" si="1298"/>
        <v>2.462573377475219E-2</v>
      </c>
      <c r="D4400">
        <v>11.350163627862999</v>
      </c>
      <c r="E4400">
        <v>0.37220405702512999</v>
      </c>
      <c r="F4400">
        <v>18</v>
      </c>
    </row>
    <row r="4401" spans="1:9" x14ac:dyDescent="0.25">
      <c r="A4401">
        <v>831.82032604925996</v>
      </c>
      <c r="B4401">
        <v>857.02347092151001</v>
      </c>
      <c r="C4401" s="1">
        <f t="shared" si="1298"/>
        <v>3.0298784584830596E-2</v>
      </c>
      <c r="D4401">
        <v>11.500701262272001</v>
      </c>
      <c r="E4401">
        <v>0.37803671079639001</v>
      </c>
      <c r="F4401">
        <v>18</v>
      </c>
    </row>
    <row r="4402" spans="1:9" x14ac:dyDescent="0.25">
      <c r="A4402">
        <v>833.91605966008001</v>
      </c>
      <c r="B4402">
        <v>853.92415308129</v>
      </c>
      <c r="C4402" s="1">
        <f t="shared" si="1298"/>
        <v>2.3992934527925502E-2</v>
      </c>
      <c r="D4402">
        <v>11.464235624123001</v>
      </c>
      <c r="E4402">
        <v>0.3753987933415</v>
      </c>
      <c r="F4402">
        <v>17</v>
      </c>
    </row>
    <row r="4403" spans="1:9" x14ac:dyDescent="0.25">
      <c r="A4403">
        <v>826.63383050063999</v>
      </c>
      <c r="B4403">
        <v>852.27725748643002</v>
      </c>
      <c r="C4403" s="1">
        <f t="shared" si="1298"/>
        <v>3.102150679008564E-2</v>
      </c>
      <c r="D4403">
        <v>11.317905563347001</v>
      </c>
      <c r="E4403">
        <v>0.37310322608090002</v>
      </c>
      <c r="F4403">
        <v>18</v>
      </c>
    </row>
    <row r="4404" spans="1:9" x14ac:dyDescent="0.25">
      <c r="A4404">
        <v>823.85084980923</v>
      </c>
      <c r="B4404">
        <v>849.97271360852005</v>
      </c>
      <c r="C4404" s="1">
        <f t="shared" si="1298"/>
        <v>3.1707030229244593E-2</v>
      </c>
      <c r="D4404">
        <v>11.280504908836001</v>
      </c>
      <c r="E4404">
        <v>0.37312475644701998</v>
      </c>
      <c r="F4404">
        <v>17</v>
      </c>
    </row>
    <row r="4405" spans="1:9" x14ac:dyDescent="0.25">
      <c r="A4405">
        <v>818.23725286160004</v>
      </c>
      <c r="B4405">
        <v>850.04462943694</v>
      </c>
      <c r="C4405" s="1">
        <f t="shared" si="1298"/>
        <v>3.8873048695962975E-2</v>
      </c>
      <c r="D4405">
        <v>11.183730715288</v>
      </c>
      <c r="E4405">
        <v>0.37236345724113001</v>
      </c>
      <c r="F4405">
        <v>18</v>
      </c>
      <c r="H4405" t="s">
        <v>17</v>
      </c>
      <c r="I4405">
        <f t="shared" ref="I4405" si="1311">STDEVP(A4391:A4410)</f>
        <v>4.2109929354464146</v>
      </c>
    </row>
    <row r="4406" spans="1:9" x14ac:dyDescent="0.25">
      <c r="A4406">
        <v>826.01202451150004</v>
      </c>
      <c r="B4406">
        <v>847.91235981039995</v>
      </c>
      <c r="C4406" s="1">
        <f t="shared" si="1298"/>
        <v>2.6513337153719618E-2</v>
      </c>
      <c r="D4406">
        <v>11.387564282374999</v>
      </c>
      <c r="E4406">
        <v>0.37640328641748</v>
      </c>
      <c r="F4406">
        <v>17</v>
      </c>
      <c r="H4406" t="s">
        <v>18</v>
      </c>
      <c r="I4406">
        <f t="shared" ref="I4406" si="1312">STDEVP(B4391:B4410)</f>
        <v>3.2217249855229571</v>
      </c>
    </row>
    <row r="4407" spans="1:9" x14ac:dyDescent="0.25">
      <c r="A4407">
        <v>819.18279569893002</v>
      </c>
      <c r="B4407">
        <v>847.69984969361997</v>
      </c>
      <c r="C4407" s="1">
        <f t="shared" si="1298"/>
        <v>3.4811588017249706E-2</v>
      </c>
      <c r="D4407">
        <v>11.173913043478001</v>
      </c>
      <c r="E4407">
        <v>0.37113884563839999</v>
      </c>
      <c r="F4407">
        <v>18</v>
      </c>
      <c r="H4407" t="s">
        <v>19</v>
      </c>
      <c r="I4407">
        <f t="shared" ref="I4407" si="1313">STDEVP(C4391:C4410)</f>
        <v>4.4401884872405624E-3</v>
      </c>
    </row>
    <row r="4408" spans="1:9" x14ac:dyDescent="0.25">
      <c r="A4408">
        <v>823.37726904844999</v>
      </c>
      <c r="B4408">
        <v>850.97467915366997</v>
      </c>
      <c r="C4408" s="1">
        <f t="shared" si="1298"/>
        <v>3.3517332992582416E-2</v>
      </c>
      <c r="D4408">
        <v>11.360916316036</v>
      </c>
      <c r="E4408">
        <v>0.37674977512456997</v>
      </c>
      <c r="F4408">
        <v>17</v>
      </c>
      <c r="H4408" t="s">
        <v>20</v>
      </c>
      <c r="I4408">
        <f t="shared" ref="I4408" si="1314">STDEVP(D4391:D4410)</f>
        <v>9.8573753600074365E-2</v>
      </c>
    </row>
    <row r="4409" spans="1:9" x14ac:dyDescent="0.25">
      <c r="A4409">
        <v>829.79812695109001</v>
      </c>
      <c r="B4409">
        <v>853.10093652446994</v>
      </c>
      <c r="C4409" s="1">
        <f t="shared" si="1298"/>
        <v>2.8082504426710342E-2</v>
      </c>
      <c r="D4409">
        <v>11.447405329593</v>
      </c>
      <c r="E4409">
        <v>0.37656465707943998</v>
      </c>
      <c r="F4409">
        <v>18</v>
      </c>
      <c r="H4409" t="s">
        <v>21</v>
      </c>
      <c r="I4409">
        <f t="shared" ref="I4409" si="1315">STDEVP(E4391:E4410)</f>
        <v>3.2550902694527587E-3</v>
      </c>
    </row>
    <row r="4410" spans="1:9" x14ac:dyDescent="0.25">
      <c r="A4410">
        <v>831.23343739160998</v>
      </c>
      <c r="B4410">
        <v>860.59012602614996</v>
      </c>
      <c r="C4410" s="1">
        <f t="shared" si="1298"/>
        <v>3.5317020843940616E-2</v>
      </c>
      <c r="D4410">
        <v>11.412342215989</v>
      </c>
      <c r="E4410">
        <v>0.37464716351753002</v>
      </c>
      <c r="F4410">
        <v>17</v>
      </c>
      <c r="H4410" t="s">
        <v>22</v>
      </c>
      <c r="I4410">
        <f t="shared" ref="I4410" si="1316">STDEVP(F4391:F4410)</f>
        <v>0.5</v>
      </c>
    </row>
    <row r="4411" spans="1:9" x14ac:dyDescent="0.25">
      <c r="C4411" s="1" t="str">
        <f t="shared" si="1298"/>
        <v/>
      </c>
    </row>
    <row r="4412" spans="1:9" x14ac:dyDescent="0.25">
      <c r="A4412">
        <v>675.11828404830999</v>
      </c>
      <c r="B4412">
        <v>692.37609329444001</v>
      </c>
      <c r="C4412" s="1">
        <f t="shared" si="1298"/>
        <v>2.5562645322897426E-2</v>
      </c>
      <c r="D4412">
        <v>10.051335998317001</v>
      </c>
      <c r="E4412">
        <v>0.41922721403745</v>
      </c>
      <c r="F4412">
        <v>16</v>
      </c>
    </row>
    <row r="4413" spans="1:9" x14ac:dyDescent="0.25">
      <c r="A4413">
        <v>675.70845481049003</v>
      </c>
      <c r="B4413">
        <v>692.52478134109003</v>
      </c>
      <c r="C4413" s="1">
        <f t="shared" si="1298"/>
        <v>2.4886955921420872E-2</v>
      </c>
      <c r="D4413">
        <v>9.8203240058910009</v>
      </c>
      <c r="E4413">
        <v>0.40545458325116002</v>
      </c>
      <c r="F4413">
        <v>17</v>
      </c>
    </row>
    <row r="4414" spans="1:9" x14ac:dyDescent="0.25">
      <c r="A4414">
        <v>672.94210745523003</v>
      </c>
      <c r="B4414">
        <v>691.00916284879997</v>
      </c>
      <c r="C4414" s="1">
        <f t="shared" si="1298"/>
        <v>2.6847859858096124E-2</v>
      </c>
      <c r="D4414">
        <v>10.02903429413</v>
      </c>
      <c r="E4414">
        <v>0.41981905267349001</v>
      </c>
      <c r="F4414">
        <v>16</v>
      </c>
    </row>
    <row r="4415" spans="1:9" x14ac:dyDescent="0.25">
      <c r="A4415">
        <v>670.91045397750997</v>
      </c>
      <c r="B4415">
        <v>690.80549770926996</v>
      </c>
      <c r="C4415" s="1">
        <f t="shared" si="1298"/>
        <v>2.9653798973934054E-2</v>
      </c>
      <c r="D4415">
        <v>10.072796128761</v>
      </c>
      <c r="E4415">
        <v>0.42419279191034998</v>
      </c>
      <c r="F4415">
        <v>17</v>
      </c>
    </row>
    <row r="4416" spans="1:9" x14ac:dyDescent="0.25">
      <c r="A4416">
        <v>675.76926280715998</v>
      </c>
      <c r="B4416">
        <v>693.56518117450003</v>
      </c>
      <c r="C4416" s="1">
        <f t="shared" si="1298"/>
        <v>2.6334311645687114E-2</v>
      </c>
      <c r="D4416">
        <v>10.18009678098</v>
      </c>
      <c r="E4416">
        <v>0.42634970211936002</v>
      </c>
      <c r="F4416">
        <v>16</v>
      </c>
    </row>
    <row r="4417" spans="1:9" x14ac:dyDescent="0.25">
      <c r="A4417">
        <v>678.55143690129</v>
      </c>
      <c r="B4417">
        <v>699.66513952518005</v>
      </c>
      <c r="C4417" s="1">
        <f t="shared" si="1298"/>
        <v>3.1115846899254951E-2</v>
      </c>
      <c r="D4417">
        <v>10.176309699137001</v>
      </c>
      <c r="E4417">
        <v>0.42387346699533002</v>
      </c>
      <c r="F4417">
        <v>17</v>
      </c>
    </row>
    <row r="4418" spans="1:9" x14ac:dyDescent="0.25">
      <c r="A4418">
        <v>675.82840483131997</v>
      </c>
      <c r="B4418">
        <v>694.78842149103002</v>
      </c>
      <c r="C4418" s="1">
        <f t="shared" ref="C4418:C4481" si="1317">IFERROR((B4418/A4418)-1,"")</f>
        <v>2.8054483244814632E-2</v>
      </c>
      <c r="D4418">
        <v>10.02019776983</v>
      </c>
      <c r="E4418">
        <v>0.41678424730865998</v>
      </c>
      <c r="F4418">
        <v>16</v>
      </c>
    </row>
    <row r="4419" spans="1:9" x14ac:dyDescent="0.25">
      <c r="A4419">
        <v>681.60974593919002</v>
      </c>
      <c r="B4419">
        <v>695.64348188252995</v>
      </c>
      <c r="C4419" s="1">
        <f t="shared" si="1317"/>
        <v>2.0589106929512546E-2</v>
      </c>
      <c r="D4419">
        <v>10.158636650537</v>
      </c>
      <c r="E4419">
        <v>0.41984532368951999</v>
      </c>
      <c r="F4419">
        <v>17</v>
      </c>
    </row>
    <row r="4420" spans="1:9" x14ac:dyDescent="0.25">
      <c r="A4420">
        <v>673.67888379841997</v>
      </c>
      <c r="B4420">
        <v>692.40066638898998</v>
      </c>
      <c r="C4420" s="1">
        <f t="shared" si="1317"/>
        <v>2.7790365767456526E-2</v>
      </c>
      <c r="D4420">
        <v>10.085840521775999</v>
      </c>
      <c r="E4420">
        <v>0.42286643738923002</v>
      </c>
      <c r="F4420">
        <v>17</v>
      </c>
    </row>
    <row r="4421" spans="1:9" x14ac:dyDescent="0.25">
      <c r="A4421">
        <v>678.67221990837004</v>
      </c>
      <c r="B4421">
        <v>696.36651395249999</v>
      </c>
      <c r="C4421" s="1">
        <f t="shared" si="1317"/>
        <v>2.6071929165627061E-2</v>
      </c>
      <c r="D4421">
        <v>10.048390490217001</v>
      </c>
      <c r="E4421">
        <v>0.41637928828073001</v>
      </c>
      <c r="F4421">
        <v>16</v>
      </c>
    </row>
    <row r="4422" spans="1:9" x14ac:dyDescent="0.25">
      <c r="A4422">
        <v>671.68763015410002</v>
      </c>
      <c r="B4422">
        <v>693.74344023321999</v>
      </c>
      <c r="C4422" s="1">
        <f t="shared" si="1317"/>
        <v>3.2836409498951058E-2</v>
      </c>
      <c r="D4422">
        <v>10.015148327372</v>
      </c>
      <c r="E4422">
        <v>0.42019834704261999</v>
      </c>
      <c r="F4422">
        <v>17</v>
      </c>
    </row>
    <row r="4423" spans="1:9" x14ac:dyDescent="0.25">
      <c r="A4423">
        <v>669.81757601000004</v>
      </c>
      <c r="B4423">
        <v>688.62015826737002</v>
      </c>
      <c r="C4423" s="1">
        <f t="shared" si="1317"/>
        <v>2.8071198682742882E-2</v>
      </c>
      <c r="D4423">
        <v>10.013465179885999</v>
      </c>
      <c r="E4423">
        <v>0.42152209804066998</v>
      </c>
      <c r="F4423">
        <v>16</v>
      </c>
    </row>
    <row r="4424" spans="1:9" x14ac:dyDescent="0.25">
      <c r="A4424">
        <v>675.49770928780003</v>
      </c>
      <c r="B4424">
        <v>694.0778842149</v>
      </c>
      <c r="C4424" s="1">
        <f t="shared" si="1317"/>
        <v>2.7505903679065913E-2</v>
      </c>
      <c r="D4424">
        <v>9.9684409846412994</v>
      </c>
      <c r="E4424">
        <v>0.41487530510637999</v>
      </c>
      <c r="F4424">
        <v>17</v>
      </c>
    </row>
    <row r="4425" spans="1:9" x14ac:dyDescent="0.25">
      <c r="A4425">
        <v>675.05164514784997</v>
      </c>
      <c r="B4425">
        <v>695.86505622656</v>
      </c>
      <c r="C4425" s="1">
        <f t="shared" si="1317"/>
        <v>3.0832324057445293E-2</v>
      </c>
      <c r="D4425">
        <v>10.130443930148999</v>
      </c>
      <c r="E4425">
        <v>0.42402153412207</v>
      </c>
      <c r="F4425">
        <v>17</v>
      </c>
    </row>
    <row r="4426" spans="1:9" x14ac:dyDescent="0.25">
      <c r="A4426">
        <v>678.33735943356999</v>
      </c>
      <c r="B4426">
        <v>697.67721782589001</v>
      </c>
      <c r="C4426" s="1">
        <f t="shared" si="1317"/>
        <v>2.8510678533863132E-2</v>
      </c>
      <c r="D4426">
        <v>10.171681043551001</v>
      </c>
      <c r="E4426">
        <v>0.42400459885984998</v>
      </c>
      <c r="F4426">
        <v>16</v>
      </c>
      <c r="H4426" t="s">
        <v>17</v>
      </c>
      <c r="I4426">
        <f t="shared" ref="I4426" si="1318">STDEVP(A4412:A4431)</f>
        <v>2.8248029924734555</v>
      </c>
    </row>
    <row r="4427" spans="1:9" x14ac:dyDescent="0.25">
      <c r="A4427">
        <v>677.66139108704999</v>
      </c>
      <c r="B4427">
        <v>699.51353602664005</v>
      </c>
      <c r="C4427" s="1">
        <f t="shared" si="1317"/>
        <v>3.2246406873699174E-2</v>
      </c>
      <c r="D4427">
        <v>10.124132127077999</v>
      </c>
      <c r="E4427">
        <v>0.42214072872566</v>
      </c>
      <c r="F4427">
        <v>17</v>
      </c>
      <c r="H4427" t="s">
        <v>18</v>
      </c>
      <c r="I4427">
        <f t="shared" ref="I4427" si="1319">STDEVP(B4412:B4431)</f>
        <v>2.8772439326477159</v>
      </c>
    </row>
    <row r="4428" spans="1:9" x14ac:dyDescent="0.25">
      <c r="A4428">
        <v>677.21366097458997</v>
      </c>
      <c r="B4428">
        <v>695.50853810910996</v>
      </c>
      <c r="C4428" s="1">
        <f t="shared" si="1317"/>
        <v>2.7014926291049068E-2</v>
      </c>
      <c r="D4428">
        <v>10.158215863664999</v>
      </c>
      <c r="E4428">
        <v>0.42387145560315997</v>
      </c>
      <c r="F4428">
        <v>16</v>
      </c>
      <c r="H4428" t="s">
        <v>19</v>
      </c>
      <c r="I4428">
        <f t="shared" ref="I4428" si="1320">STDEVP(C4412:C4431)</f>
        <v>3.4566390148760848E-3</v>
      </c>
    </row>
    <row r="4429" spans="1:9" x14ac:dyDescent="0.25">
      <c r="A4429">
        <v>678.58017492710997</v>
      </c>
      <c r="B4429">
        <v>691.78384006662998</v>
      </c>
      <c r="C4429" s="1">
        <f t="shared" si="1317"/>
        <v>1.9457782038707849E-2</v>
      </c>
      <c r="D4429">
        <v>9.9293078055964994</v>
      </c>
      <c r="E4429">
        <v>0.40909792373977999</v>
      </c>
      <c r="F4429">
        <v>17</v>
      </c>
      <c r="H4429" t="s">
        <v>20</v>
      </c>
      <c r="I4429">
        <f t="shared" ref="I4429" si="1321">STDEVP(D4412:D4431)</f>
        <v>9.3307968300913244E-2</v>
      </c>
    </row>
    <row r="4430" spans="1:9" x14ac:dyDescent="0.25">
      <c r="A4430">
        <v>676.04081632653003</v>
      </c>
      <c r="B4430">
        <v>693.58767180339999</v>
      </c>
      <c r="C4430" s="1">
        <f t="shared" si="1317"/>
        <v>2.5955319639154428E-2</v>
      </c>
      <c r="D4430">
        <v>10.185567010309001</v>
      </c>
      <c r="E4430">
        <v>0.42661067666907998</v>
      </c>
      <c r="F4430">
        <v>16</v>
      </c>
      <c r="H4430" t="s">
        <v>21</v>
      </c>
      <c r="I4430">
        <f t="shared" ref="I4430" si="1322">STDEVP(E4412:E4431)</f>
        <v>5.3104533341326015E-3</v>
      </c>
    </row>
    <row r="4431" spans="1:9" x14ac:dyDescent="0.25">
      <c r="A4431">
        <v>675.94627238650003</v>
      </c>
      <c r="B4431">
        <v>698.12244897956998</v>
      </c>
      <c r="C4431" s="1">
        <f t="shared" si="1317"/>
        <v>3.2807602466353725E-2</v>
      </c>
      <c r="D4431">
        <v>10.101409636019</v>
      </c>
      <c r="E4431">
        <v>0.42219677481635998</v>
      </c>
      <c r="F4431">
        <v>17</v>
      </c>
      <c r="H4431" t="s">
        <v>22</v>
      </c>
      <c r="I4431">
        <f t="shared" ref="I4431" si="1323">STDEVP(F4412:F4431)</f>
        <v>0.49749371855330993</v>
      </c>
    </row>
    <row r="4432" spans="1:9" x14ac:dyDescent="0.25">
      <c r="C4432" s="1" t="str">
        <f t="shared" si="1317"/>
        <v/>
      </c>
    </row>
    <row r="4433" spans="1:9" x14ac:dyDescent="0.25">
      <c r="A4433">
        <v>2667.0770794018999</v>
      </c>
      <c r="B4433">
        <v>2720.1370300479998</v>
      </c>
      <c r="C4433" s="1">
        <f t="shared" si="1317"/>
        <v>1.9894419646093953E-2</v>
      </c>
      <c r="D4433">
        <v>20.774022920952</v>
      </c>
      <c r="E4433">
        <v>0.18215051966840001</v>
      </c>
      <c r="F4433">
        <v>48</v>
      </c>
    </row>
    <row r="4434" spans="1:9" x14ac:dyDescent="0.25">
      <c r="A4434">
        <v>2665.4025257656999</v>
      </c>
      <c r="B4434">
        <v>2720.2276092321999</v>
      </c>
      <c r="C4434" s="1">
        <f t="shared" si="1317"/>
        <v>2.056915716726504E-2</v>
      </c>
      <c r="D4434">
        <v>20.952688803996001</v>
      </c>
      <c r="E4434">
        <v>0.18406062334872</v>
      </c>
      <c r="F4434">
        <v>46</v>
      </c>
    </row>
    <row r="4435" spans="1:9" x14ac:dyDescent="0.25">
      <c r="A4435">
        <v>2671.2524314123998</v>
      </c>
      <c r="B4435">
        <v>2715.3917840036002</v>
      </c>
      <c r="C4435" s="1">
        <f t="shared" si="1317"/>
        <v>1.6523841802499328E-2</v>
      </c>
      <c r="D4435">
        <v>20.846312077579</v>
      </c>
      <c r="E4435">
        <v>0.18253138008715</v>
      </c>
      <c r="F4435">
        <v>47</v>
      </c>
    </row>
    <row r="4436" spans="1:9" x14ac:dyDescent="0.25">
      <c r="A4436">
        <v>2687.1119175497001</v>
      </c>
      <c r="B4436">
        <v>2735.1264334447001</v>
      </c>
      <c r="C4436" s="1">
        <f t="shared" si="1317"/>
        <v>1.7868446632763657E-2</v>
      </c>
      <c r="D4436">
        <v>21.019688510138</v>
      </c>
      <c r="E4436">
        <v>0.18304085010717999</v>
      </c>
      <c r="F4436">
        <v>48</v>
      </c>
    </row>
    <row r="4437" spans="1:9" x14ac:dyDescent="0.25">
      <c r="A4437">
        <v>2674.490056612</v>
      </c>
      <c r="B4437">
        <v>2717.3270431123001</v>
      </c>
      <c r="C4437" s="1">
        <f t="shared" si="1317"/>
        <v>1.6016880075660156E-2</v>
      </c>
      <c r="D4437">
        <v>20.834557743167998</v>
      </c>
      <c r="E4437">
        <v>0.18204619839278</v>
      </c>
      <c r="F4437">
        <v>46</v>
      </c>
    </row>
    <row r="4438" spans="1:9" x14ac:dyDescent="0.25">
      <c r="A4438">
        <v>2672.2659311947</v>
      </c>
      <c r="B4438">
        <v>2730.9626941502002</v>
      </c>
      <c r="C4438" s="1">
        <f t="shared" si="1317"/>
        <v>2.1965165319178581E-2</v>
      </c>
      <c r="D4438">
        <v>20.974434322655998</v>
      </c>
      <c r="E4438">
        <v>0.18373189160051001</v>
      </c>
      <c r="F4438">
        <v>45</v>
      </c>
    </row>
    <row r="4439" spans="1:9" x14ac:dyDescent="0.25">
      <c r="A4439">
        <v>2684.0708375671002</v>
      </c>
      <c r="B4439">
        <v>2745.2695601685</v>
      </c>
      <c r="C4439" s="1">
        <f t="shared" si="1317"/>
        <v>2.2800710676053493E-2</v>
      </c>
      <c r="D4439">
        <v>21.042609462239</v>
      </c>
      <c r="E4439">
        <v>0.18353416260707001</v>
      </c>
      <c r="F4439">
        <v>46</v>
      </c>
    </row>
    <row r="4440" spans="1:9" x14ac:dyDescent="0.25">
      <c r="A4440">
        <v>2667.6707795036</v>
      </c>
      <c r="B4440">
        <v>2721.1589490493002</v>
      </c>
      <c r="C4440" s="1">
        <f t="shared" si="1317"/>
        <v>2.0050513712810192E-2</v>
      </c>
      <c r="D4440">
        <v>20.834557743167998</v>
      </c>
      <c r="E4440">
        <v>0.18271153932869999</v>
      </c>
      <c r="F4440">
        <v>46</v>
      </c>
    </row>
    <row r="4441" spans="1:9" x14ac:dyDescent="0.25">
      <c r="A4441">
        <v>2682.8175352009998</v>
      </c>
      <c r="B4441">
        <v>2725.1952387865999</v>
      </c>
      <c r="C4441" s="1">
        <f t="shared" si="1317"/>
        <v>1.5795969360407947E-2</v>
      </c>
      <c r="D4441">
        <v>20.929180135174999</v>
      </c>
      <c r="E4441">
        <v>0.18245275223373</v>
      </c>
      <c r="F4441">
        <v>46</v>
      </c>
    </row>
    <row r="4442" spans="1:9" x14ac:dyDescent="0.25">
      <c r="A4442">
        <v>2680.3896066192001</v>
      </c>
      <c r="B4442">
        <v>2730.3626070547998</v>
      </c>
      <c r="C4442" s="1">
        <f t="shared" si="1317"/>
        <v>1.864393158076405E-2</v>
      </c>
      <c r="D4442">
        <v>21.197766676461999</v>
      </c>
      <c r="E4442">
        <v>0.18546079699015</v>
      </c>
      <c r="F4442">
        <v>47</v>
      </c>
    </row>
    <row r="4443" spans="1:9" x14ac:dyDescent="0.25">
      <c r="A4443">
        <v>2656.9626941501001</v>
      </c>
      <c r="B4443">
        <v>2720.3579619684001</v>
      </c>
      <c r="C4443" s="1">
        <f t="shared" si="1317"/>
        <v>2.3860051914872171E-2</v>
      </c>
      <c r="D4443">
        <v>20.814575374669001</v>
      </c>
      <c r="E4443">
        <v>0.18332932826682999</v>
      </c>
      <c r="F4443">
        <v>44</v>
      </c>
    </row>
    <row r="4444" spans="1:9" x14ac:dyDescent="0.25">
      <c r="A4444">
        <v>2676.3872840761001</v>
      </c>
      <c r="B4444">
        <v>2728.8814051386998</v>
      </c>
      <c r="C4444" s="1">
        <f t="shared" si="1317"/>
        <v>1.9613798561563867E-2</v>
      </c>
      <c r="D4444">
        <v>20.583014986776</v>
      </c>
      <c r="E4444">
        <v>0.17934125708017001</v>
      </c>
      <c r="F4444">
        <v>47</v>
      </c>
    </row>
    <row r="4445" spans="1:9" x14ac:dyDescent="0.25">
      <c r="A4445">
        <v>2672.3791551749</v>
      </c>
      <c r="B4445">
        <v>2736.2458992597999</v>
      </c>
      <c r="C4445" s="1">
        <f t="shared" si="1317"/>
        <v>2.3898833352754556E-2</v>
      </c>
      <c r="D4445">
        <v>20.772847487511001</v>
      </c>
      <c r="E4445">
        <v>0.18172955757199</v>
      </c>
      <c r="F4445">
        <v>47</v>
      </c>
    </row>
    <row r="4446" spans="1:9" x14ac:dyDescent="0.25">
      <c r="A4446">
        <v>2663.5558136159002</v>
      </c>
      <c r="B4446">
        <v>2726.9606619248998</v>
      </c>
      <c r="C4446" s="1">
        <f t="shared" si="1317"/>
        <v>2.3804587831378843E-2</v>
      </c>
      <c r="D4446">
        <v>20.550690567147001</v>
      </c>
      <c r="E4446">
        <v>0.18006276145040001</v>
      </c>
      <c r="F4446">
        <v>44</v>
      </c>
    </row>
    <row r="4447" spans="1:9" x14ac:dyDescent="0.25">
      <c r="A4447">
        <v>2663.7430686602002</v>
      </c>
      <c r="B4447">
        <v>2708.7437944550002</v>
      </c>
      <c r="C4447" s="1">
        <f t="shared" si="1317"/>
        <v>1.689379367111199E-2</v>
      </c>
      <c r="D4447">
        <v>20.639435791947999</v>
      </c>
      <c r="E4447">
        <v>0.18091603454631</v>
      </c>
      <c r="F4447">
        <v>45</v>
      </c>
      <c r="H4447" t="s">
        <v>17</v>
      </c>
      <c r="I4447">
        <f t="shared" ref="I4447" si="1324">STDEVP(A4433:A4452)</f>
        <v>8.5606290275204842</v>
      </c>
    </row>
    <row r="4448" spans="1:9" x14ac:dyDescent="0.25">
      <c r="A4448">
        <v>2668.1596748440002</v>
      </c>
      <c r="B4448">
        <v>2731.2591087240999</v>
      </c>
      <c r="C4448" s="1">
        <f t="shared" si="1317"/>
        <v>2.3649047122259903E-2</v>
      </c>
      <c r="D4448">
        <v>20.727593300029</v>
      </c>
      <c r="E4448">
        <v>0.18157009328557999</v>
      </c>
      <c r="F4448">
        <v>47</v>
      </c>
      <c r="H4448" t="s">
        <v>18</v>
      </c>
      <c r="I4448">
        <f t="shared" ref="I4448" si="1325">STDEVP(B4433:B4452)</f>
        <v>9.8644080426547589</v>
      </c>
    </row>
    <row r="4449" spans="1:9" x14ac:dyDescent="0.25">
      <c r="A4449">
        <v>2659.2053999128998</v>
      </c>
      <c r="B4449">
        <v>2716.7199883874</v>
      </c>
      <c r="C4449" s="1">
        <f t="shared" si="1317"/>
        <v>2.1628486643560541E-2</v>
      </c>
      <c r="D4449">
        <v>20.812224507787001</v>
      </c>
      <c r="E4449">
        <v>0.18310049911708001</v>
      </c>
      <c r="F4449">
        <v>48</v>
      </c>
      <c r="H4449" t="s">
        <v>19</v>
      </c>
      <c r="I4449">
        <f t="shared" ref="I4449" si="1326">STDEVP(C4433:C4452)</f>
        <v>2.6986954547956596E-3</v>
      </c>
    </row>
    <row r="4450" spans="1:9" x14ac:dyDescent="0.25">
      <c r="A4450">
        <v>2665.4748149223001</v>
      </c>
      <c r="B4450">
        <v>2712.9293075918999</v>
      </c>
      <c r="C4450" s="1">
        <f t="shared" si="1317"/>
        <v>1.7803391877474262E-2</v>
      </c>
      <c r="D4450">
        <v>20.806347340582001</v>
      </c>
      <c r="E4450">
        <v>0.18248515067759999</v>
      </c>
      <c r="F4450">
        <v>46</v>
      </c>
      <c r="H4450" t="s">
        <v>20</v>
      </c>
      <c r="I4450">
        <f t="shared" ref="I4450" si="1327">STDEVP(D4433:D4452)</f>
        <v>0.15971904475981341</v>
      </c>
    </row>
    <row r="4451" spans="1:9" x14ac:dyDescent="0.25">
      <c r="A4451">
        <v>2669.3592683989</v>
      </c>
      <c r="B4451">
        <v>2720.1402235449</v>
      </c>
      <c r="C4451" s="1">
        <f t="shared" si="1317"/>
        <v>1.9023649512888152E-2</v>
      </c>
      <c r="D4451">
        <v>20.685865412870999</v>
      </c>
      <c r="E4451">
        <v>0.18098403344065001</v>
      </c>
      <c r="F4451">
        <v>43</v>
      </c>
      <c r="H4451" t="s">
        <v>21</v>
      </c>
      <c r="I4451">
        <f t="shared" ref="I4451" si="1328">STDEVP(E4433:E4452)</f>
        <v>1.5282255798754235E-3</v>
      </c>
    </row>
    <row r="4452" spans="1:9" x14ac:dyDescent="0.25">
      <c r="A4452">
        <v>2655.7384235738</v>
      </c>
      <c r="B4452">
        <v>2702.5080563217998</v>
      </c>
      <c r="C4452" s="1">
        <f t="shared" si="1317"/>
        <v>1.7610782874113884E-2</v>
      </c>
      <c r="D4452">
        <v>21.019688510138</v>
      </c>
      <c r="E4452">
        <v>0.18550801072546</v>
      </c>
      <c r="F4452">
        <v>47</v>
      </c>
      <c r="H4452" t="s">
        <v>22</v>
      </c>
      <c r="I4452">
        <f t="shared" ref="I4452" si="1329">STDEVP(F4433:F4452)</f>
        <v>1.3518505834595775</v>
      </c>
    </row>
    <row r="4453" spans="1:9" x14ac:dyDescent="0.25">
      <c r="C4453" s="1" t="str">
        <f t="shared" si="1317"/>
        <v/>
      </c>
    </row>
    <row r="4454" spans="1:9" x14ac:dyDescent="0.25">
      <c r="A4454">
        <v>859.74489795917998</v>
      </c>
      <c r="B4454">
        <v>896.08163265304995</v>
      </c>
      <c r="C4454" s="1">
        <f t="shared" si="1317"/>
        <v>4.2264554032392931E-2</v>
      </c>
      <c r="D4454">
        <v>8.0423280423280001</v>
      </c>
      <c r="E4454">
        <v>0.22035790917067999</v>
      </c>
      <c r="F4454">
        <v>6</v>
      </c>
    </row>
    <row r="4455" spans="1:9" x14ac:dyDescent="0.25">
      <c r="A4455">
        <v>856.94897959184004</v>
      </c>
      <c r="B4455">
        <v>898.59183673468999</v>
      </c>
      <c r="C4455" s="1">
        <f t="shared" si="1317"/>
        <v>4.8594324906815478E-2</v>
      </c>
      <c r="D4455">
        <v>8.0529100529101001</v>
      </c>
      <c r="E4455">
        <v>0.22162309455351001</v>
      </c>
      <c r="F4455">
        <v>6</v>
      </c>
    </row>
    <row r="4456" spans="1:9" x14ac:dyDescent="0.25">
      <c r="A4456">
        <v>863.37755102041001</v>
      </c>
      <c r="B4456">
        <v>890.04081632652003</v>
      </c>
      <c r="C4456" s="1">
        <f t="shared" si="1317"/>
        <v>3.088250936638004E-2</v>
      </c>
      <c r="D4456">
        <v>7.9788359788359999</v>
      </c>
      <c r="E4456">
        <v>0.21764425496711001</v>
      </c>
      <c r="F4456">
        <v>6</v>
      </c>
    </row>
    <row r="4457" spans="1:9" x14ac:dyDescent="0.25">
      <c r="A4457">
        <v>868.17346938774995</v>
      </c>
      <c r="B4457">
        <v>895.68367346937998</v>
      </c>
      <c r="C4457" s="1">
        <f t="shared" si="1317"/>
        <v>3.1687450782192927E-2</v>
      </c>
      <c r="D4457">
        <v>8.0793650793651004</v>
      </c>
      <c r="E4457">
        <v>0.21903259048553</v>
      </c>
      <c r="F4457">
        <v>6</v>
      </c>
    </row>
    <row r="4458" spans="1:9" x14ac:dyDescent="0.25">
      <c r="A4458">
        <v>862.74489795917998</v>
      </c>
      <c r="B4458">
        <v>889.28571428571001</v>
      </c>
      <c r="C4458" s="1">
        <f t="shared" si="1317"/>
        <v>3.0763226058261539E-2</v>
      </c>
      <c r="D4458">
        <v>8.1904761904762005</v>
      </c>
      <c r="E4458">
        <v>0.22453639137924</v>
      </c>
      <c r="F4458">
        <v>6</v>
      </c>
    </row>
    <row r="4459" spans="1:9" x14ac:dyDescent="0.25">
      <c r="A4459">
        <v>869.05102040815996</v>
      </c>
      <c r="B4459">
        <v>896.72448979591002</v>
      </c>
      <c r="C4459" s="1">
        <f t="shared" si="1317"/>
        <v>3.1843319595612263E-2</v>
      </c>
      <c r="D4459">
        <v>8.2063492063492003</v>
      </c>
      <c r="E4459">
        <v>0.22302388355846001</v>
      </c>
      <c r="F4459">
        <v>7</v>
      </c>
    </row>
    <row r="4460" spans="1:9" x14ac:dyDescent="0.25">
      <c r="A4460">
        <v>859.23469387754994</v>
      </c>
      <c r="B4460">
        <v>894.09183673468999</v>
      </c>
      <c r="C4460" s="1">
        <f t="shared" si="1317"/>
        <v>4.0567662252832148E-2</v>
      </c>
      <c r="D4460">
        <v>8.2010582010581992</v>
      </c>
      <c r="E4460">
        <v>0.22609768177358</v>
      </c>
      <c r="F4460">
        <v>6</v>
      </c>
    </row>
    <row r="4461" spans="1:9" x14ac:dyDescent="0.25">
      <c r="A4461">
        <v>845.69387755102002</v>
      </c>
      <c r="B4461">
        <v>897.24489795916998</v>
      </c>
      <c r="C4461" s="1">
        <f t="shared" si="1317"/>
        <v>6.0957069427335364E-2</v>
      </c>
      <c r="D4461">
        <v>8.0582010582010994</v>
      </c>
      <c r="E4461">
        <v>0.22528265659533001</v>
      </c>
      <c r="F4461">
        <v>6</v>
      </c>
    </row>
    <row r="4462" spans="1:9" x14ac:dyDescent="0.25">
      <c r="A4462">
        <v>851.27551020407998</v>
      </c>
      <c r="B4462">
        <v>889.23469387754005</v>
      </c>
      <c r="C4462" s="1">
        <f t="shared" si="1317"/>
        <v>4.4590949955038539E-2</v>
      </c>
      <c r="D4462">
        <v>8.1216931216931005</v>
      </c>
      <c r="E4462">
        <v>0.22579569143690001</v>
      </c>
      <c r="F4462">
        <v>6</v>
      </c>
    </row>
    <row r="4463" spans="1:9" x14ac:dyDescent="0.25">
      <c r="A4463">
        <v>873.05102040815996</v>
      </c>
      <c r="B4463">
        <v>901.78571428571001</v>
      </c>
      <c r="C4463" s="1">
        <f t="shared" si="1317"/>
        <v>3.291296064703797E-2</v>
      </c>
      <c r="D4463">
        <v>8.2063492063492003</v>
      </c>
      <c r="E4463">
        <v>0.22187517783217001</v>
      </c>
      <c r="F4463">
        <v>6</v>
      </c>
    </row>
    <row r="4464" spans="1:9" x14ac:dyDescent="0.25">
      <c r="A4464">
        <v>862.52040816325996</v>
      </c>
      <c r="B4464">
        <v>888.16326530612002</v>
      </c>
      <c r="C4464" s="1">
        <f t="shared" si="1317"/>
        <v>2.9730145397332208E-2</v>
      </c>
      <c r="D4464">
        <v>8.1269841269840999</v>
      </c>
      <c r="E4464">
        <v>0.22236357535144999</v>
      </c>
      <c r="F4464">
        <v>7</v>
      </c>
    </row>
    <row r="4465" spans="1:9" x14ac:dyDescent="0.25">
      <c r="A4465">
        <v>867.28571428571001</v>
      </c>
      <c r="B4465">
        <v>896.25510204081002</v>
      </c>
      <c r="C4465" s="1">
        <f t="shared" si="1317"/>
        <v>3.3402357813490546E-2</v>
      </c>
      <c r="D4465">
        <v>8.2962962962962994</v>
      </c>
      <c r="E4465">
        <v>0.22668694781384</v>
      </c>
      <c r="F4465">
        <v>6</v>
      </c>
    </row>
    <row r="4466" spans="1:9" x14ac:dyDescent="0.25">
      <c r="A4466">
        <v>861.45918367346997</v>
      </c>
      <c r="B4466">
        <v>896.76530612244005</v>
      </c>
      <c r="C4466" s="1">
        <f t="shared" si="1317"/>
        <v>4.0984092012829043E-2</v>
      </c>
      <c r="D4466">
        <v>8.2275132275131995</v>
      </c>
      <c r="E4466">
        <v>0.22625158672470999</v>
      </c>
      <c r="F4466">
        <v>6</v>
      </c>
    </row>
    <row r="4467" spans="1:9" x14ac:dyDescent="0.25">
      <c r="A4467">
        <v>853.13265306122003</v>
      </c>
      <c r="B4467">
        <v>888.95918367345996</v>
      </c>
      <c r="C4467" s="1">
        <f t="shared" si="1317"/>
        <v>4.1994091403824152E-2</v>
      </c>
      <c r="D4467">
        <v>8.1957671957671998</v>
      </c>
      <c r="E4467">
        <v>0.22759563434846</v>
      </c>
      <c r="F4467">
        <v>6</v>
      </c>
    </row>
    <row r="4468" spans="1:9" x14ac:dyDescent="0.25">
      <c r="A4468">
        <v>859.78571428571001</v>
      </c>
      <c r="B4468">
        <v>896.59183673468999</v>
      </c>
      <c r="C4468" s="1">
        <f t="shared" si="1317"/>
        <v>4.2808483366762573E-2</v>
      </c>
      <c r="D4468">
        <v>8.0370370370370008</v>
      </c>
      <c r="E4468">
        <v>0.22045428167389</v>
      </c>
      <c r="F4468">
        <v>6</v>
      </c>
      <c r="H4468" t="s">
        <v>17</v>
      </c>
      <c r="I4468">
        <f t="shared" ref="I4468" si="1330">STDEVP(A4454:A4473)</f>
        <v>7.7362256170023045</v>
      </c>
    </row>
    <row r="4469" spans="1:9" x14ac:dyDescent="0.25">
      <c r="A4469">
        <v>861.09183673468999</v>
      </c>
      <c r="B4469">
        <v>891.08163265304995</v>
      </c>
      <c r="C4469" s="1">
        <f t="shared" si="1317"/>
        <v>3.4827639328324222E-2</v>
      </c>
      <c r="D4469">
        <v>8.0529100529101001</v>
      </c>
      <c r="E4469">
        <v>0.22022911890898</v>
      </c>
      <c r="F4469">
        <v>6</v>
      </c>
      <c r="H4469" t="s">
        <v>18</v>
      </c>
      <c r="I4469">
        <f t="shared" ref="I4469" si="1331">STDEVP(B4454:B4473)</f>
        <v>4.2102211461076982</v>
      </c>
    </row>
    <row r="4470" spans="1:9" x14ac:dyDescent="0.25">
      <c r="A4470">
        <v>855.5</v>
      </c>
      <c r="B4470">
        <v>891.80612244896997</v>
      </c>
      <c r="C4470" s="1">
        <f t="shared" si="1317"/>
        <v>4.243848328342481E-2</v>
      </c>
      <c r="D4470">
        <v>7.9629629629630001</v>
      </c>
      <c r="E4470">
        <v>0.21909845484653001</v>
      </c>
      <c r="F4470">
        <v>7</v>
      </c>
      <c r="H4470" t="s">
        <v>19</v>
      </c>
      <c r="I4470">
        <f t="shared" ref="I4470" si="1332">STDEVP(C4454:C4473)</f>
        <v>8.8004658586993828E-3</v>
      </c>
    </row>
    <row r="4471" spans="1:9" x14ac:dyDescent="0.25">
      <c r="A4471">
        <v>866.0612244898</v>
      </c>
      <c r="B4471">
        <v>888.26530612244005</v>
      </c>
      <c r="C4471" s="1">
        <f t="shared" si="1317"/>
        <v>2.5638004571467254E-2</v>
      </c>
      <c r="D4471">
        <v>8.3439153439153007</v>
      </c>
      <c r="E4471">
        <v>0.22849673560759001</v>
      </c>
      <c r="F4471">
        <v>6</v>
      </c>
      <c r="H4471" t="s">
        <v>20</v>
      </c>
      <c r="I4471">
        <f t="shared" ref="I4471" si="1333">STDEVP(D4454:D4473)</f>
        <v>0.11659915982352077</v>
      </c>
    </row>
    <row r="4472" spans="1:9" x14ac:dyDescent="0.25">
      <c r="A4472">
        <v>841.09183673468999</v>
      </c>
      <c r="B4472">
        <v>885.74489795916998</v>
      </c>
      <c r="C4472" s="1">
        <f t="shared" si="1317"/>
        <v>5.3089400317845703E-2</v>
      </c>
      <c r="D4472">
        <v>7.8677248677248999</v>
      </c>
      <c r="E4472">
        <v>0.22045080900774999</v>
      </c>
      <c r="F4472">
        <v>6</v>
      </c>
      <c r="H4472" t="s">
        <v>21</v>
      </c>
      <c r="I4472">
        <f t="shared" ref="I4472" si="1334">STDEVP(E4454:E4473)</f>
        <v>3.1100485877517867E-3</v>
      </c>
    </row>
    <row r="4473" spans="1:9" x14ac:dyDescent="0.25">
      <c r="A4473">
        <v>866.67346938774995</v>
      </c>
      <c r="B4473">
        <v>891.35714285714005</v>
      </c>
      <c r="C4473" s="1">
        <f t="shared" si="1317"/>
        <v>2.8480938140205803E-2</v>
      </c>
      <c r="D4473">
        <v>8.2275132275131995</v>
      </c>
      <c r="E4473">
        <v>0.22448668074761</v>
      </c>
      <c r="F4473">
        <v>6</v>
      </c>
      <c r="H4473" t="s">
        <v>22</v>
      </c>
      <c r="I4473">
        <f t="shared" ref="I4473" si="1335">STDEVP(F4454:F4473)</f>
        <v>0.35707142142714249</v>
      </c>
    </row>
    <row r="4474" spans="1:9" x14ac:dyDescent="0.25">
      <c r="C4474" s="1" t="str">
        <f t="shared" si="1317"/>
        <v/>
      </c>
    </row>
    <row r="4475" spans="1:9" x14ac:dyDescent="0.25">
      <c r="A4475">
        <v>616.43195266272005</v>
      </c>
      <c r="B4475">
        <v>658.55621301775</v>
      </c>
      <c r="C4475" s="1">
        <f t="shared" si="1317"/>
        <v>6.8335621106387023E-2</v>
      </c>
      <c r="D4475">
        <v>11.298461538462</v>
      </c>
      <c r="E4475">
        <v>0.55024392926896004</v>
      </c>
      <c r="F4475">
        <v>14</v>
      </c>
    </row>
    <row r="4476" spans="1:9" x14ac:dyDescent="0.25">
      <c r="A4476">
        <v>607.42011834319999</v>
      </c>
      <c r="B4476">
        <v>646.39053254436999</v>
      </c>
      <c r="C4476" s="1">
        <f t="shared" si="1317"/>
        <v>6.415726615619155E-2</v>
      </c>
      <c r="D4476">
        <v>10.873846153845999</v>
      </c>
      <c r="E4476">
        <v>0.52820478373788005</v>
      </c>
      <c r="F4476">
        <v>14</v>
      </c>
    </row>
    <row r="4477" spans="1:9" x14ac:dyDescent="0.25">
      <c r="A4477">
        <v>610.89940828401996</v>
      </c>
      <c r="B4477">
        <v>651.53254437868998</v>
      </c>
      <c r="C4477" s="1">
        <f t="shared" si="1317"/>
        <v>6.651362817457307E-2</v>
      </c>
      <c r="D4477">
        <v>11.070769230769001</v>
      </c>
      <c r="E4477">
        <v>0.53719520982871005</v>
      </c>
      <c r="F4477">
        <v>14</v>
      </c>
    </row>
    <row r="4478" spans="1:9" x14ac:dyDescent="0.25">
      <c r="A4478">
        <v>610</v>
      </c>
      <c r="B4478">
        <v>653.21301775147003</v>
      </c>
      <c r="C4478" s="1">
        <f t="shared" si="1317"/>
        <v>7.084101270732801E-2</v>
      </c>
      <c r="D4478">
        <v>11.2</v>
      </c>
      <c r="E4478">
        <v>0.54730774402096005</v>
      </c>
      <c r="F4478">
        <v>14</v>
      </c>
    </row>
    <row r="4479" spans="1:9" x14ac:dyDescent="0.25">
      <c r="A4479">
        <v>611.94082840237002</v>
      </c>
      <c r="B4479">
        <v>653.26035502957996</v>
      </c>
      <c r="C4479" s="1">
        <f t="shared" si="1317"/>
        <v>6.7522094799729704E-2</v>
      </c>
      <c r="D4479">
        <v>11.396923076923001</v>
      </c>
      <c r="E4479">
        <v>0.56134481173293005</v>
      </c>
      <c r="F4479">
        <v>14</v>
      </c>
    </row>
    <row r="4480" spans="1:9" x14ac:dyDescent="0.25">
      <c r="A4480">
        <v>619.23668639053005</v>
      </c>
      <c r="B4480">
        <v>665.04142011834006</v>
      </c>
      <c r="C4480" s="1">
        <f t="shared" si="1317"/>
        <v>7.3969670619486783E-2</v>
      </c>
      <c r="D4480">
        <v>11.292307692308</v>
      </c>
      <c r="E4480">
        <v>0.54180296706500997</v>
      </c>
      <c r="F4480">
        <v>14</v>
      </c>
    </row>
    <row r="4481" spans="1:9" x14ac:dyDescent="0.25">
      <c r="A4481">
        <v>614.57988165681002</v>
      </c>
      <c r="B4481">
        <v>660.02366863905002</v>
      </c>
      <c r="C4481" s="1">
        <f t="shared" si="1317"/>
        <v>7.3942848340122547E-2</v>
      </c>
      <c r="D4481">
        <v>11.046153846154001</v>
      </c>
      <c r="E4481">
        <v>0.53071316682559999</v>
      </c>
      <c r="F4481">
        <v>14</v>
      </c>
    </row>
    <row r="4482" spans="1:9" x14ac:dyDescent="0.25">
      <c r="A4482">
        <v>628.57396449704004</v>
      </c>
      <c r="B4482">
        <v>660.73964497041004</v>
      </c>
      <c r="C4482" s="1">
        <f t="shared" ref="C4482:C4545" si="1336">IFERROR((B4482/A4482)-1,"")</f>
        <v>5.1172467028773205E-2</v>
      </c>
      <c r="D4482">
        <v>11.433846153846</v>
      </c>
      <c r="E4482">
        <v>0.54049504015326999</v>
      </c>
      <c r="F4482">
        <v>14</v>
      </c>
    </row>
    <row r="4483" spans="1:9" x14ac:dyDescent="0.25">
      <c r="A4483">
        <v>620.84023668638997</v>
      </c>
      <c r="B4483">
        <v>660.28402366862997</v>
      </c>
      <c r="C4483" s="1">
        <f t="shared" si="1336"/>
        <v>6.3532910161820944E-2</v>
      </c>
      <c r="D4483">
        <v>11.347692307692</v>
      </c>
      <c r="E4483">
        <v>0.54548423232034005</v>
      </c>
      <c r="F4483">
        <v>14</v>
      </c>
    </row>
    <row r="4484" spans="1:9" x14ac:dyDescent="0.25">
      <c r="A4484">
        <v>629.87573964497005</v>
      </c>
      <c r="B4484">
        <v>665.04142011834006</v>
      </c>
      <c r="C4484" s="1">
        <f t="shared" si="1336"/>
        <v>5.5829552179912811E-2</v>
      </c>
      <c r="D4484">
        <v>11.341538461538001</v>
      </c>
      <c r="E4484">
        <v>0.53248180646109</v>
      </c>
      <c r="F4484">
        <v>14</v>
      </c>
    </row>
    <row r="4485" spans="1:9" x14ac:dyDescent="0.25">
      <c r="A4485">
        <v>611.97041420118001</v>
      </c>
      <c r="B4485">
        <v>651.16568047337</v>
      </c>
      <c r="C4485" s="1">
        <f t="shared" si="1336"/>
        <v>6.4047648975567695E-2</v>
      </c>
      <c r="D4485">
        <v>10.978461538462</v>
      </c>
      <c r="E4485">
        <v>0.52883267273488999</v>
      </c>
      <c r="F4485">
        <v>15</v>
      </c>
    </row>
    <row r="4486" spans="1:9" x14ac:dyDescent="0.25">
      <c r="A4486">
        <v>624.02366863905002</v>
      </c>
      <c r="B4486">
        <v>667.65680473372004</v>
      </c>
      <c r="C4486" s="1">
        <f t="shared" si="1336"/>
        <v>6.9922245401093042E-2</v>
      </c>
      <c r="D4486">
        <v>11.409230769231</v>
      </c>
      <c r="E4486">
        <v>0.54492432633443999</v>
      </c>
      <c r="F4486">
        <v>14</v>
      </c>
    </row>
    <row r="4487" spans="1:9" x14ac:dyDescent="0.25">
      <c r="A4487">
        <v>618.39053254437999</v>
      </c>
      <c r="B4487">
        <v>661.88757396449</v>
      </c>
      <c r="C4487" s="1">
        <f t="shared" si="1336"/>
        <v>7.0339112795179126E-2</v>
      </c>
      <c r="D4487">
        <v>11.452307692308</v>
      </c>
      <c r="E4487">
        <v>0.55558337540455005</v>
      </c>
      <c r="F4487">
        <v>14</v>
      </c>
    </row>
    <row r="4488" spans="1:9" x14ac:dyDescent="0.25">
      <c r="A4488">
        <v>607.95266272188996</v>
      </c>
      <c r="B4488">
        <v>659.57988165680001</v>
      </c>
      <c r="C4488" s="1">
        <f t="shared" si="1336"/>
        <v>8.4919800669623902E-2</v>
      </c>
      <c r="D4488">
        <v>11.181538461538</v>
      </c>
      <c r="E4488">
        <v>0.54874861686676002</v>
      </c>
      <c r="F4488">
        <v>14</v>
      </c>
    </row>
    <row r="4489" spans="1:9" x14ac:dyDescent="0.25">
      <c r="A4489">
        <v>614.72781065088998</v>
      </c>
      <c r="B4489">
        <v>652.75739644969997</v>
      </c>
      <c r="C4489" s="1">
        <f t="shared" si="1336"/>
        <v>6.1864104958165633E-2</v>
      </c>
      <c r="D4489">
        <v>11.193846153846</v>
      </c>
      <c r="E4489">
        <v>0.54154520179247001</v>
      </c>
      <c r="F4489">
        <v>14</v>
      </c>
      <c r="H4489" t="s">
        <v>17</v>
      </c>
      <c r="I4489">
        <f t="shared" ref="I4489" si="1337">STDEVP(A4475:A4494)</f>
        <v>8.068841324850748</v>
      </c>
    </row>
    <row r="4490" spans="1:9" x14ac:dyDescent="0.25">
      <c r="A4490">
        <v>612.13609467456001</v>
      </c>
      <c r="B4490">
        <v>649.46153846153004</v>
      </c>
      <c r="C4490" s="1">
        <f t="shared" si="1336"/>
        <v>6.0975727639151822E-2</v>
      </c>
      <c r="D4490">
        <v>11.323076923077</v>
      </c>
      <c r="E4490">
        <v>0.55398147113659002</v>
      </c>
      <c r="F4490">
        <v>14</v>
      </c>
      <c r="H4490" t="s">
        <v>18</v>
      </c>
      <c r="I4490">
        <f t="shared" ref="I4490" si="1338">STDEVP(B4475:B4494)</f>
        <v>6.5489918349952898</v>
      </c>
    </row>
    <row r="4491" spans="1:9" x14ac:dyDescent="0.25">
      <c r="A4491">
        <v>614.20118343194997</v>
      </c>
      <c r="B4491">
        <v>665.69230769230001</v>
      </c>
      <c r="C4491" s="1">
        <f t="shared" si="1336"/>
        <v>8.3834296724462298E-2</v>
      </c>
      <c r="D4491">
        <v>11.218461538462</v>
      </c>
      <c r="E4491">
        <v>0.54398083167153</v>
      </c>
      <c r="F4491">
        <v>14</v>
      </c>
      <c r="H4491" t="s">
        <v>19</v>
      </c>
      <c r="I4491">
        <f t="shared" ref="I4491" si="1339">STDEVP(C4475:C4494)</f>
        <v>9.0333799896992265E-3</v>
      </c>
    </row>
    <row r="4492" spans="1:9" x14ac:dyDescent="0.25">
      <c r="A4492">
        <v>609.02958579881999</v>
      </c>
      <c r="B4492">
        <v>652.10059171597004</v>
      </c>
      <c r="C4492" s="1">
        <f t="shared" si="1336"/>
        <v>7.0720711967805272E-2</v>
      </c>
      <c r="D4492">
        <v>10.941538461538</v>
      </c>
      <c r="E4492">
        <v>0.53000605695022995</v>
      </c>
      <c r="F4492">
        <v>14</v>
      </c>
      <c r="H4492" t="s">
        <v>20</v>
      </c>
      <c r="I4492">
        <f t="shared" ref="I4492" si="1340">STDEVP(D4475:D4494)</f>
        <v>0.1841684333275995</v>
      </c>
    </row>
    <row r="4493" spans="1:9" x14ac:dyDescent="0.25">
      <c r="A4493">
        <v>621.08875739644998</v>
      </c>
      <c r="B4493">
        <v>656.27810650887</v>
      </c>
      <c r="C4493" s="1">
        <f t="shared" si="1336"/>
        <v>5.6657520673745188E-2</v>
      </c>
      <c r="D4493">
        <v>11.304615384614999</v>
      </c>
      <c r="E4493">
        <v>0.54142487998365996</v>
      </c>
      <c r="F4493">
        <v>14</v>
      </c>
      <c r="H4493" t="s">
        <v>21</v>
      </c>
      <c r="I4493">
        <f t="shared" ref="I4493" si="1341">STDEVP(E4475:E4494)</f>
        <v>8.9972702647517847E-3</v>
      </c>
    </row>
    <row r="4494" spans="1:9" x14ac:dyDescent="0.25">
      <c r="A4494">
        <v>639.31360946745997</v>
      </c>
      <c r="B4494">
        <v>670.83431952661999</v>
      </c>
      <c r="C4494" s="1">
        <f t="shared" si="1336"/>
        <v>4.9303987264429416E-2</v>
      </c>
      <c r="D4494">
        <v>11.612307692308001</v>
      </c>
      <c r="E4494">
        <v>0.54126989203784004</v>
      </c>
      <c r="F4494">
        <v>14</v>
      </c>
      <c r="H4494" t="s">
        <v>22</v>
      </c>
      <c r="I4494">
        <f t="shared" ref="I4494" si="1342">STDEVP(F4475:F4494)</f>
        <v>0.21794494717703367</v>
      </c>
    </row>
    <row r="4495" spans="1:9" x14ac:dyDescent="0.25">
      <c r="C4495" s="1" t="str">
        <f t="shared" si="1336"/>
        <v/>
      </c>
    </row>
    <row r="4496" spans="1:9" x14ac:dyDescent="0.25">
      <c r="A4496">
        <v>1722.1345636294</v>
      </c>
      <c r="B4496">
        <v>1772.9611687813001</v>
      </c>
      <c r="C4496" s="1">
        <f t="shared" si="1336"/>
        <v>2.9513724551688325E-2</v>
      </c>
      <c r="D4496">
        <v>18.156862745098</v>
      </c>
      <c r="E4496">
        <v>0.26119738486909</v>
      </c>
      <c r="F4496">
        <v>43</v>
      </c>
    </row>
    <row r="4497" spans="1:9" x14ac:dyDescent="0.25">
      <c r="A4497">
        <v>1723.7547097270001</v>
      </c>
      <c r="B4497">
        <v>1774.2898885044999</v>
      </c>
      <c r="C4497" s="1">
        <f t="shared" si="1336"/>
        <v>2.9316919914610828E-2</v>
      </c>
      <c r="D4497">
        <v>18.045490196077999</v>
      </c>
      <c r="E4497">
        <v>0.25879258215423001</v>
      </c>
      <c r="F4497">
        <v>43</v>
      </c>
    </row>
    <row r="4498" spans="1:9" x14ac:dyDescent="0.25">
      <c r="A4498">
        <v>1719.2995001922</v>
      </c>
      <c r="B4498">
        <v>1771.2110726644</v>
      </c>
      <c r="C4498" s="1">
        <f t="shared" si="1336"/>
        <v>3.0193443589320523E-2</v>
      </c>
      <c r="D4498">
        <v>18.006274509804001</v>
      </c>
      <c r="E4498">
        <v>0.25923259474537003</v>
      </c>
      <c r="F4498">
        <v>43</v>
      </c>
    </row>
    <row r="4499" spans="1:9" x14ac:dyDescent="0.25">
      <c r="A4499">
        <v>1709.4548250672999</v>
      </c>
      <c r="B4499">
        <v>1761.4432910420001</v>
      </c>
      <c r="C4499" s="1">
        <f t="shared" si="1336"/>
        <v>3.0412307603772781E-2</v>
      </c>
      <c r="D4499">
        <v>17.810196078431002</v>
      </c>
      <c r="E4499">
        <v>0.25737172001434</v>
      </c>
      <c r="F4499">
        <v>44</v>
      </c>
    </row>
    <row r="4500" spans="1:9" x14ac:dyDescent="0.25">
      <c r="A4500">
        <v>1704.7212610534</v>
      </c>
      <c r="B4500">
        <v>1767.5609381008001</v>
      </c>
      <c r="C4500" s="1">
        <f t="shared" si="1336"/>
        <v>3.6862141913200253E-2</v>
      </c>
      <c r="D4500">
        <v>17.880784313725002</v>
      </c>
      <c r="E4500">
        <v>0.25944103018654002</v>
      </c>
      <c r="F4500">
        <v>42</v>
      </c>
    </row>
    <row r="4501" spans="1:9" x14ac:dyDescent="0.25">
      <c r="A4501">
        <v>1711.1987697039999</v>
      </c>
      <c r="B4501">
        <v>1777.4486735871001</v>
      </c>
      <c r="C4501" s="1">
        <f t="shared" si="1336"/>
        <v>3.8715492937480223E-2</v>
      </c>
      <c r="D4501">
        <v>18.003137254902001</v>
      </c>
      <c r="E4501">
        <v>0.26036396968129</v>
      </c>
      <c r="F4501">
        <v>46</v>
      </c>
    </row>
    <row r="4502" spans="1:9" x14ac:dyDescent="0.25">
      <c r="A4502">
        <v>1722.2222222221999</v>
      </c>
      <c r="B4502">
        <v>1765.1234140716001</v>
      </c>
      <c r="C4502" s="1">
        <f t="shared" si="1336"/>
        <v>2.4910369460942494E-2</v>
      </c>
      <c r="D4502">
        <v>18.373333333333001</v>
      </c>
      <c r="E4502">
        <v>0.26495262881046</v>
      </c>
      <c r="F4502">
        <v>44</v>
      </c>
    </row>
    <row r="4503" spans="1:9" x14ac:dyDescent="0.25">
      <c r="A4503">
        <v>1718.7766243752001</v>
      </c>
      <c r="B4503">
        <v>1772.8650519032001</v>
      </c>
      <c r="C4503" s="1">
        <f t="shared" si="1336"/>
        <v>3.1469143087550444E-2</v>
      </c>
      <c r="D4503">
        <v>18.779607843137001</v>
      </c>
      <c r="E4503">
        <v>0.27327883049082002</v>
      </c>
      <c r="F4503">
        <v>44</v>
      </c>
    </row>
    <row r="4504" spans="1:9" x14ac:dyDescent="0.25">
      <c r="A4504">
        <v>1725.2802768166</v>
      </c>
      <c r="B4504">
        <v>1771.0841983852999</v>
      </c>
      <c r="C4504" s="1">
        <f t="shared" si="1336"/>
        <v>2.6548684398812528E-2</v>
      </c>
      <c r="D4504">
        <v>18.235294117647001</v>
      </c>
      <c r="E4504">
        <v>0.26191350327169</v>
      </c>
      <c r="F4504">
        <v>44</v>
      </c>
    </row>
    <row r="4505" spans="1:9" x14ac:dyDescent="0.25">
      <c r="A4505">
        <v>1740.6720492118</v>
      </c>
      <c r="B4505">
        <v>1789.4009996156001</v>
      </c>
      <c r="C4505" s="1">
        <f t="shared" si="1336"/>
        <v>2.7994331514580972E-2</v>
      </c>
      <c r="D4505">
        <v>18.566274509804</v>
      </c>
      <c r="E4505">
        <v>0.26500668859687998</v>
      </c>
      <c r="F4505">
        <v>44</v>
      </c>
    </row>
    <row r="4506" spans="1:9" x14ac:dyDescent="0.25">
      <c r="A4506">
        <v>1726.3575547866001</v>
      </c>
      <c r="B4506">
        <v>1780.5036524413999</v>
      </c>
      <c r="C4506" s="1">
        <f t="shared" si="1336"/>
        <v>3.1364358735924247E-2</v>
      </c>
      <c r="D4506">
        <v>18.028235294118002</v>
      </c>
      <c r="E4506">
        <v>0.25836090706588999</v>
      </c>
      <c r="F4506">
        <v>42</v>
      </c>
    </row>
    <row r="4507" spans="1:9" x14ac:dyDescent="0.25">
      <c r="A4507">
        <v>1716.6489811611</v>
      </c>
      <c r="B4507">
        <v>1761.5278738947</v>
      </c>
      <c r="C4507" s="1">
        <f t="shared" si="1336"/>
        <v>2.6143313645428545E-2</v>
      </c>
      <c r="D4507">
        <v>18.425098039216</v>
      </c>
      <c r="E4507">
        <v>0.26738682652873003</v>
      </c>
      <c r="F4507">
        <v>44</v>
      </c>
    </row>
    <row r="4508" spans="1:9" x14ac:dyDescent="0.25">
      <c r="A4508">
        <v>1731.6324490581001</v>
      </c>
      <c r="B4508">
        <v>1794.5428681277001</v>
      </c>
      <c r="C4508" s="1">
        <f t="shared" si="1336"/>
        <v>3.6330122540623178E-2</v>
      </c>
      <c r="D4508">
        <v>18.097254901961001</v>
      </c>
      <c r="E4508">
        <v>0.25845017992537</v>
      </c>
      <c r="F4508">
        <v>43</v>
      </c>
    </row>
    <row r="4509" spans="1:9" x14ac:dyDescent="0.25">
      <c r="A4509">
        <v>1722.6435986158999</v>
      </c>
      <c r="B4509">
        <v>1781.1126489812</v>
      </c>
      <c r="C4509" s="1">
        <f t="shared" si="1336"/>
        <v>3.3941466715621482E-2</v>
      </c>
      <c r="D4509">
        <v>18.338823529412</v>
      </c>
      <c r="E4509">
        <v>0.26426324532685003</v>
      </c>
      <c r="F4509">
        <v>45</v>
      </c>
    </row>
    <row r="4510" spans="1:9" x14ac:dyDescent="0.25">
      <c r="A4510">
        <v>1707.3879277200999</v>
      </c>
      <c r="B4510">
        <v>1765.0603613994999</v>
      </c>
      <c r="C4510" s="1">
        <f t="shared" si="1336"/>
        <v>3.3778166486400529E-2</v>
      </c>
      <c r="D4510">
        <v>17.880784313725002</v>
      </c>
      <c r="E4510">
        <v>0.25891977947347</v>
      </c>
      <c r="F4510">
        <v>41</v>
      </c>
      <c r="H4510" t="s">
        <v>17</v>
      </c>
      <c r="I4510">
        <f t="shared" ref="I4510" si="1343">STDEVP(A4496:A4515)</f>
        <v>9.2380352085531197</v>
      </c>
    </row>
    <row r="4511" spans="1:9" x14ac:dyDescent="0.25">
      <c r="A4511">
        <v>1724.3006535948</v>
      </c>
      <c r="B4511">
        <v>1777.1580161477</v>
      </c>
      <c r="C4511" s="1">
        <f t="shared" si="1336"/>
        <v>3.0654377148615852E-2</v>
      </c>
      <c r="D4511">
        <v>18.053333333333001</v>
      </c>
      <c r="E4511">
        <v>0.25916248545794002</v>
      </c>
      <c r="F4511">
        <v>45</v>
      </c>
      <c r="H4511" t="s">
        <v>18</v>
      </c>
      <c r="I4511">
        <f t="shared" ref="I4511" si="1344">STDEVP(B4496:B4515)</f>
        <v>9.4928597463443012</v>
      </c>
    </row>
    <row r="4512" spans="1:9" x14ac:dyDescent="0.25">
      <c r="A4512">
        <v>1730.4728950404001</v>
      </c>
      <c r="B4512">
        <v>1777.6178392925999</v>
      </c>
      <c r="C4512" s="1">
        <f t="shared" si="1336"/>
        <v>2.7243965731748254E-2</v>
      </c>
      <c r="D4512">
        <v>18.414117647059001</v>
      </c>
      <c r="E4512">
        <v>0.26435738906597001</v>
      </c>
      <c r="F4512">
        <v>41</v>
      </c>
      <c r="H4512" t="s">
        <v>19</v>
      </c>
      <c r="I4512">
        <f t="shared" ref="I4512" si="1345">STDEVP(C4496:C4515)</f>
        <v>3.5505136779679846E-3</v>
      </c>
    </row>
    <row r="4513" spans="1:9" x14ac:dyDescent="0.25">
      <c r="A4513">
        <v>1719.99846213</v>
      </c>
      <c r="B4513">
        <v>1773.2710495964</v>
      </c>
      <c r="C4513" s="1">
        <f t="shared" si="1336"/>
        <v>3.0972462266291023E-2</v>
      </c>
      <c r="D4513">
        <v>18.443921568627001</v>
      </c>
      <c r="E4513">
        <v>0.26680168060425002</v>
      </c>
      <c r="F4513">
        <v>43</v>
      </c>
      <c r="H4513" t="s">
        <v>20</v>
      </c>
      <c r="I4513">
        <f t="shared" ref="I4513" si="1346">STDEVP(D4496:D4515)</f>
        <v>0.28766543641260972</v>
      </c>
    </row>
    <row r="4514" spans="1:9" x14ac:dyDescent="0.25">
      <c r="A4514">
        <v>1711.8093041138</v>
      </c>
      <c r="B4514">
        <v>1762.275278739</v>
      </c>
      <c r="C4514" s="1">
        <f t="shared" si="1336"/>
        <v>2.9481072747951975E-2</v>
      </c>
      <c r="D4514">
        <v>18.086274509803999</v>
      </c>
      <c r="E4514">
        <v>0.26226017289164</v>
      </c>
      <c r="F4514">
        <v>43</v>
      </c>
      <c r="H4514" t="s">
        <v>21</v>
      </c>
      <c r="I4514">
        <f t="shared" ref="I4514" si="1347">STDEVP(E4496:E4515)</f>
        <v>4.3952660112027897E-3</v>
      </c>
    </row>
    <row r="4515" spans="1:9" x14ac:dyDescent="0.25">
      <c r="A4515">
        <v>1703.9277201076</v>
      </c>
      <c r="B4515">
        <v>1754.3060361400001</v>
      </c>
      <c r="C4515" s="1">
        <f t="shared" si="1336"/>
        <v>2.956599357936307E-2</v>
      </c>
      <c r="D4515">
        <v>17.50431372549</v>
      </c>
      <c r="E4515">
        <v>0.25263734873725002</v>
      </c>
      <c r="F4515">
        <v>43</v>
      </c>
      <c r="H4515" t="s">
        <v>22</v>
      </c>
      <c r="I4515">
        <f t="shared" ref="I4515" si="1348">STDEVP(F4496:F4515)</f>
        <v>1.2359207094308275</v>
      </c>
    </row>
    <row r="4516" spans="1:9" x14ac:dyDescent="0.25">
      <c r="C4516" s="1" t="str">
        <f t="shared" si="1336"/>
        <v/>
      </c>
    </row>
    <row r="4517" spans="1:9" x14ac:dyDescent="0.25">
      <c r="A4517">
        <v>718.42689942471998</v>
      </c>
      <c r="B4517">
        <v>740.92124578456003</v>
      </c>
      <c r="C4517" s="1">
        <f t="shared" si="1336"/>
        <v>3.1310556965297831E-2</v>
      </c>
      <c r="D4517">
        <v>10.370221327968</v>
      </c>
      <c r="E4517">
        <v>0.39939338760254001</v>
      </c>
      <c r="F4517">
        <v>12</v>
      </c>
    </row>
    <row r="4518" spans="1:9" x14ac:dyDescent="0.25">
      <c r="A4518">
        <v>712.44038881174004</v>
      </c>
      <c r="B4518">
        <v>740.33168022217001</v>
      </c>
      <c r="C4518" s="1">
        <f t="shared" si="1336"/>
        <v>3.9148947544859203E-2</v>
      </c>
      <c r="D4518">
        <v>10.465191146881001</v>
      </c>
      <c r="E4518">
        <v>0.40966557762425998</v>
      </c>
      <c r="F4518">
        <v>12</v>
      </c>
    </row>
    <row r="4519" spans="1:9" x14ac:dyDescent="0.25">
      <c r="A4519">
        <v>721.75639754017004</v>
      </c>
      <c r="B4519">
        <v>750.17179131123999</v>
      </c>
      <c r="C4519" s="1">
        <f t="shared" si="1336"/>
        <v>3.9369784414676312E-2</v>
      </c>
      <c r="D4519">
        <v>10.436217303823</v>
      </c>
      <c r="E4519">
        <v>0.40063176965919001</v>
      </c>
      <c r="F4519">
        <v>12</v>
      </c>
    </row>
    <row r="4520" spans="1:9" x14ac:dyDescent="0.25">
      <c r="A4520">
        <v>721.60285657607994</v>
      </c>
      <c r="B4520">
        <v>741.16326125768001</v>
      </c>
      <c r="C4520" s="1">
        <f t="shared" si="1336"/>
        <v>2.7106883659540726E-2</v>
      </c>
      <c r="D4520">
        <v>10.652716297787</v>
      </c>
      <c r="E4520">
        <v>0.41241422685680001</v>
      </c>
      <c r="F4520">
        <v>12</v>
      </c>
    </row>
    <row r="4521" spans="1:9" x14ac:dyDescent="0.25">
      <c r="A4521">
        <v>713.16921245784999</v>
      </c>
      <c r="B4521">
        <v>742.89268002380004</v>
      </c>
      <c r="C4521" s="1">
        <f t="shared" si="1336"/>
        <v>4.1678001583259183E-2</v>
      </c>
      <c r="D4521">
        <v>10.463581488934</v>
      </c>
      <c r="E4521">
        <v>0.40930006947747999</v>
      </c>
      <c r="F4521">
        <v>12</v>
      </c>
    </row>
    <row r="4522" spans="1:9" x14ac:dyDescent="0.25">
      <c r="A4522">
        <v>708.11505653639995</v>
      </c>
      <c r="B4522">
        <v>738.66494743106</v>
      </c>
      <c r="C4522" s="1">
        <f t="shared" si="1336"/>
        <v>4.3142552347479546E-2</v>
      </c>
      <c r="D4522">
        <v>10.420120724346001</v>
      </c>
      <c r="E4522">
        <v>0.41031179508743998</v>
      </c>
      <c r="F4522">
        <v>12</v>
      </c>
    </row>
    <row r="4523" spans="1:9" x14ac:dyDescent="0.25">
      <c r="A4523">
        <v>718.12180122991003</v>
      </c>
      <c r="B4523">
        <v>741.43225550486</v>
      </c>
      <c r="C4523" s="1">
        <f t="shared" si="1336"/>
        <v>3.2460307200013583E-2</v>
      </c>
      <c r="D4523">
        <v>10.410462776659999</v>
      </c>
      <c r="E4523">
        <v>0.40207094377364</v>
      </c>
      <c r="F4523">
        <v>13</v>
      </c>
    </row>
    <row r="4524" spans="1:9" x14ac:dyDescent="0.25">
      <c r="A4524">
        <v>713.58857369570001</v>
      </c>
      <c r="B4524">
        <v>740.21979765919002</v>
      </c>
      <c r="C4524" s="1">
        <f t="shared" si="1336"/>
        <v>3.732013788500832E-2</v>
      </c>
      <c r="D4524">
        <v>10.360563380282001</v>
      </c>
      <c r="E4524">
        <v>0.40313650826786002</v>
      </c>
      <c r="F4524">
        <v>12</v>
      </c>
    </row>
    <row r="4525" spans="1:9" x14ac:dyDescent="0.25">
      <c r="A4525">
        <v>720.87323943662</v>
      </c>
      <c r="B4525">
        <v>744.67446935130999</v>
      </c>
      <c r="C4525" s="1">
        <f t="shared" si="1336"/>
        <v>3.3017219411961118E-2</v>
      </c>
      <c r="D4525">
        <v>10.457142857142999</v>
      </c>
      <c r="E4525">
        <v>0.40263255493312</v>
      </c>
      <c r="F4525">
        <v>12</v>
      </c>
    </row>
    <row r="4526" spans="1:9" x14ac:dyDescent="0.25">
      <c r="A4526">
        <v>720.79587383455998</v>
      </c>
      <c r="B4526">
        <v>742.00119024003004</v>
      </c>
      <c r="C4526" s="1">
        <f t="shared" si="1336"/>
        <v>2.9419308815767709E-2</v>
      </c>
      <c r="D4526">
        <v>10.517505030181001</v>
      </c>
      <c r="E4526">
        <v>0.40574052995936999</v>
      </c>
      <c r="F4526">
        <v>12</v>
      </c>
    </row>
    <row r="4527" spans="1:9" x14ac:dyDescent="0.25">
      <c r="A4527">
        <v>721.17913112478004</v>
      </c>
      <c r="B4527">
        <v>745.59293790914001</v>
      </c>
      <c r="C4527" s="1">
        <f t="shared" si="1336"/>
        <v>3.3852625139447978E-2</v>
      </c>
      <c r="D4527">
        <v>10.442655935614001</v>
      </c>
      <c r="E4527">
        <v>0.40196141297756999</v>
      </c>
      <c r="F4527">
        <v>12</v>
      </c>
    </row>
    <row r="4528" spans="1:9" x14ac:dyDescent="0.25">
      <c r="A4528">
        <v>717.84011108906998</v>
      </c>
      <c r="B4528">
        <v>746.73596508628998</v>
      </c>
      <c r="C4528" s="1">
        <f t="shared" si="1336"/>
        <v>4.0253885998903893E-2</v>
      </c>
      <c r="D4528">
        <v>10.581891348089</v>
      </c>
      <c r="E4528">
        <v>0.41166369252177998</v>
      </c>
      <c r="F4528">
        <v>12</v>
      </c>
    </row>
    <row r="4529" spans="1:9" x14ac:dyDescent="0.25">
      <c r="A4529">
        <v>718.07379488197</v>
      </c>
      <c r="B4529">
        <v>743.08073794882</v>
      </c>
      <c r="C4529" s="1">
        <f t="shared" si="1336"/>
        <v>3.4825032253071431E-2</v>
      </c>
      <c r="D4529">
        <v>10.4523138833</v>
      </c>
      <c r="E4529">
        <v>0.40446105746515998</v>
      </c>
      <c r="F4529">
        <v>12</v>
      </c>
    </row>
    <row r="4530" spans="1:9" x14ac:dyDescent="0.25">
      <c r="A4530">
        <v>722.70144812537001</v>
      </c>
      <c r="B4530">
        <v>749.77028367387004</v>
      </c>
      <c r="C4530" s="1">
        <f t="shared" si="1336"/>
        <v>3.7455073071618106E-2</v>
      </c>
      <c r="D4530">
        <v>10.595573440643999</v>
      </c>
      <c r="E4530">
        <v>0.40848348900921</v>
      </c>
      <c r="F4530">
        <v>13</v>
      </c>
    </row>
    <row r="4531" spans="1:9" x14ac:dyDescent="0.25">
      <c r="A4531">
        <v>714.58282086887004</v>
      </c>
      <c r="B4531">
        <v>741.90398730410004</v>
      </c>
      <c r="C4531" s="1">
        <f t="shared" si="1336"/>
        <v>3.8233729719404419E-2</v>
      </c>
      <c r="D4531">
        <v>10.402414486922</v>
      </c>
      <c r="E4531">
        <v>0.40408062958745</v>
      </c>
      <c r="F4531">
        <v>12</v>
      </c>
      <c r="H4531" t="s">
        <v>17</v>
      </c>
      <c r="I4531">
        <f t="shared" ref="I4531" si="1349">STDEVP(A4517:A4536)</f>
        <v>4.5708098223511344</v>
      </c>
    </row>
    <row r="4532" spans="1:9" x14ac:dyDescent="0.25">
      <c r="A4532">
        <v>722.22416187264002</v>
      </c>
      <c r="B4532">
        <v>745.39972227732005</v>
      </c>
      <c r="C4532" s="1">
        <f t="shared" si="1336"/>
        <v>3.208915130253831E-2</v>
      </c>
      <c r="D4532">
        <v>10.418511066398001</v>
      </c>
      <c r="E4532">
        <v>0.39927291754685001</v>
      </c>
      <c r="F4532">
        <v>12</v>
      </c>
      <c r="H4532" t="s">
        <v>18</v>
      </c>
      <c r="I4532">
        <f t="shared" ref="I4532" si="1350">STDEVP(B4517:B4536)</f>
        <v>3.6166908942750418</v>
      </c>
    </row>
    <row r="4533" spans="1:9" x14ac:dyDescent="0.25">
      <c r="A4533">
        <v>710.85657607616997</v>
      </c>
      <c r="B4533">
        <v>747.95239039873002</v>
      </c>
      <c r="C4533" s="1">
        <f t="shared" si="1336"/>
        <v>5.2184667865526224E-2</v>
      </c>
      <c r="D4533">
        <v>10.430583501006</v>
      </c>
      <c r="E4533">
        <v>0.40888817952433998</v>
      </c>
      <c r="F4533">
        <v>12</v>
      </c>
      <c r="H4533" t="s">
        <v>19</v>
      </c>
      <c r="I4533">
        <f t="shared" ref="I4533" si="1351">STDEVP(C4517:C4536)</f>
        <v>5.4266921225083692E-3</v>
      </c>
    </row>
    <row r="4534" spans="1:9" x14ac:dyDescent="0.25">
      <c r="A4534">
        <v>710.76373735369998</v>
      </c>
      <c r="B4534">
        <v>739.22753421940001</v>
      </c>
      <c r="C4534" s="1">
        <f t="shared" si="1336"/>
        <v>4.0046776966528697E-2</v>
      </c>
      <c r="D4534">
        <v>10.560160965794999</v>
      </c>
      <c r="E4534">
        <v>0.41617044533356001</v>
      </c>
      <c r="F4534">
        <v>12</v>
      </c>
      <c r="H4534" t="s">
        <v>20</v>
      </c>
      <c r="I4534">
        <f t="shared" ref="I4534" si="1352">STDEVP(D4517:D4536)</f>
        <v>8.0695333318051773E-2</v>
      </c>
    </row>
    <row r="4535" spans="1:9" x14ac:dyDescent="0.25">
      <c r="A4535">
        <v>724.15671493750995</v>
      </c>
      <c r="B4535">
        <v>750.92719698472001</v>
      </c>
      <c r="C4535" s="1">
        <f t="shared" si="1336"/>
        <v>3.6967801989546079E-2</v>
      </c>
      <c r="D4535">
        <v>10.572233400402</v>
      </c>
      <c r="E4535">
        <v>0.40628406908916997</v>
      </c>
      <c r="F4535">
        <v>12</v>
      </c>
      <c r="H4535" t="s">
        <v>21</v>
      </c>
      <c r="I4535">
        <f t="shared" ref="I4535" si="1353">STDEVP(E4517:E4536)</f>
        <v>4.6064643149240116E-3</v>
      </c>
    </row>
    <row r="4536" spans="1:9" x14ac:dyDescent="0.25">
      <c r="A4536">
        <v>714.90775639753997</v>
      </c>
      <c r="B4536">
        <v>742.78595516762005</v>
      </c>
      <c r="C4536" s="1">
        <f t="shared" si="1336"/>
        <v>3.899551868140283E-2</v>
      </c>
      <c r="D4536">
        <v>10.377464788732</v>
      </c>
      <c r="E4536">
        <v>0.40210287144842999</v>
      </c>
      <c r="F4536">
        <v>13</v>
      </c>
      <c r="H4536" t="s">
        <v>22</v>
      </c>
      <c r="I4536">
        <f t="shared" ref="I4536" si="1354">STDEVP(F4517:F4536)</f>
        <v>0.35707142142714249</v>
      </c>
    </row>
    <row r="4537" spans="1:9" x14ac:dyDescent="0.25">
      <c r="C4537" s="1" t="str">
        <f t="shared" si="1336"/>
        <v/>
      </c>
    </row>
    <row r="4538" spans="1:9" x14ac:dyDescent="0.25">
      <c r="A4538">
        <v>1134.6225393051</v>
      </c>
      <c r="B4538">
        <v>1172.6576826528999</v>
      </c>
      <c r="C4538" s="1">
        <f t="shared" si="1336"/>
        <v>3.3522287836001086E-2</v>
      </c>
      <c r="D4538">
        <v>16.091954022989</v>
      </c>
      <c r="E4538">
        <v>0.39070723833992999</v>
      </c>
      <c r="F4538">
        <v>31</v>
      </c>
    </row>
    <row r="4539" spans="1:9" x14ac:dyDescent="0.25">
      <c r="A4539">
        <v>1147.1967234773001</v>
      </c>
      <c r="B4539">
        <v>1177.6062888096001</v>
      </c>
      <c r="C4539" s="1">
        <f t="shared" si="1336"/>
        <v>2.6507716340162357E-2</v>
      </c>
      <c r="D4539">
        <v>16.424485431703001</v>
      </c>
      <c r="E4539">
        <v>0.39589692491959</v>
      </c>
      <c r="F4539">
        <v>31</v>
      </c>
    </row>
    <row r="4540" spans="1:9" x14ac:dyDescent="0.25">
      <c r="A4540">
        <v>1148.3477341789001</v>
      </c>
      <c r="B4540">
        <v>1180.5543664949</v>
      </c>
      <c r="C4540" s="1">
        <f t="shared" si="1336"/>
        <v>2.8046062492585122E-2</v>
      </c>
      <c r="D4540">
        <v>16.124565624165001</v>
      </c>
      <c r="E4540">
        <v>0.38505469741378001</v>
      </c>
      <c r="F4540">
        <v>31</v>
      </c>
    </row>
    <row r="4541" spans="1:9" x14ac:dyDescent="0.25">
      <c r="A4541">
        <v>1147.1676575505001</v>
      </c>
      <c r="B4541">
        <v>1173.1518034086</v>
      </c>
      <c r="C4541" s="1">
        <f t="shared" si="1336"/>
        <v>2.265069598770153E-2</v>
      </c>
      <c r="D4541">
        <v>16.388131515638001</v>
      </c>
      <c r="E4541">
        <v>0.39436261297706998</v>
      </c>
      <c r="F4541">
        <v>31</v>
      </c>
    </row>
    <row r="4542" spans="1:9" x14ac:dyDescent="0.25">
      <c r="A4542">
        <v>1151.3164222486</v>
      </c>
      <c r="B4542">
        <v>1181.9437177963</v>
      </c>
      <c r="C4542" s="1">
        <f t="shared" si="1336"/>
        <v>2.6601979226425598E-2</v>
      </c>
      <c r="D4542">
        <v>16.408446939320999</v>
      </c>
      <c r="E4542">
        <v>0.39379861330936</v>
      </c>
      <c r="F4542">
        <v>32</v>
      </c>
    </row>
    <row r="4543" spans="1:9" x14ac:dyDescent="0.25">
      <c r="A4543">
        <v>1145.7550535077</v>
      </c>
      <c r="B4543">
        <v>1172.5160523186</v>
      </c>
      <c r="C4543" s="1">
        <f t="shared" si="1336"/>
        <v>2.3356649162464382E-2</v>
      </c>
      <c r="D4543">
        <v>16.081796311146999</v>
      </c>
      <c r="E4543">
        <v>0.38483600634415999</v>
      </c>
      <c r="F4543">
        <v>31</v>
      </c>
    </row>
    <row r="4544" spans="1:9" x14ac:dyDescent="0.25">
      <c r="A4544">
        <v>1140.0750429382999</v>
      </c>
      <c r="B4544">
        <v>1169.7550535077</v>
      </c>
      <c r="C4544" s="1">
        <f t="shared" si="1336"/>
        <v>2.6033383287565215E-2</v>
      </c>
      <c r="D4544">
        <v>16.315423683506999</v>
      </c>
      <c r="E4544">
        <v>0.39579166247200998</v>
      </c>
      <c r="F4544">
        <v>32</v>
      </c>
    </row>
    <row r="4545" spans="1:9" x14ac:dyDescent="0.25">
      <c r="A4545">
        <v>1147.0653983353</v>
      </c>
      <c r="B4545">
        <v>1172.5773550005999</v>
      </c>
      <c r="C4545" s="1">
        <f t="shared" si="1336"/>
        <v>2.2241065507097257E-2</v>
      </c>
      <c r="D4545">
        <v>16.314354450682</v>
      </c>
      <c r="E4545">
        <v>0.39240254031694999</v>
      </c>
      <c r="F4545">
        <v>31</v>
      </c>
    </row>
    <row r="4546" spans="1:9" x14ac:dyDescent="0.25">
      <c r="A4546">
        <v>1148.5406262386</v>
      </c>
      <c r="B4546">
        <v>1172.6177830624999</v>
      </c>
      <c r="C4546" s="1">
        <f t="shared" ref="C4546:C4609" si="1355">IFERROR((B4546/A4546)-1,"")</f>
        <v>2.0963260918990034E-2</v>
      </c>
      <c r="D4546">
        <v>16.285485164394998</v>
      </c>
      <c r="E4546">
        <v>0.39056101926559</v>
      </c>
      <c r="F4546">
        <v>31</v>
      </c>
    </row>
    <row r="4547" spans="1:9" x14ac:dyDescent="0.25">
      <c r="A4547">
        <v>1143.8821508786</v>
      </c>
      <c r="B4547">
        <v>1172.6922975294001</v>
      </c>
      <c r="C4547" s="1">
        <f t="shared" si="1355"/>
        <v>2.5186289189556232E-2</v>
      </c>
      <c r="D4547">
        <v>16.433573910719002</v>
      </c>
      <c r="E4547">
        <v>0.39762853704142997</v>
      </c>
      <c r="F4547">
        <v>31</v>
      </c>
    </row>
    <row r="4548" spans="1:9" x14ac:dyDescent="0.25">
      <c r="A4548">
        <v>1145.3351829832</v>
      </c>
      <c r="B4548">
        <v>1175.0675122209</v>
      </c>
      <c r="C4548" s="1">
        <f t="shared" si="1355"/>
        <v>2.5959500484615816E-2</v>
      </c>
      <c r="D4548">
        <v>16.278000534616002</v>
      </c>
      <c r="E4548">
        <v>0.39185528487442001</v>
      </c>
      <c r="F4548">
        <v>31</v>
      </c>
    </row>
    <row r="4549" spans="1:9" x14ac:dyDescent="0.25">
      <c r="A4549">
        <v>1154.1810014533</v>
      </c>
      <c r="B4549">
        <v>1184.5895098428</v>
      </c>
      <c r="C4549" s="1">
        <f t="shared" si="1355"/>
        <v>2.6346394847264643E-2</v>
      </c>
      <c r="D4549">
        <v>16.201015771184</v>
      </c>
      <c r="E4549">
        <v>0.38516408216901998</v>
      </c>
      <c r="F4549">
        <v>32</v>
      </c>
    </row>
    <row r="4550" spans="1:9" x14ac:dyDescent="0.25">
      <c r="A4550">
        <v>1139.9112168054</v>
      </c>
      <c r="B4550">
        <v>1171.0077949531001</v>
      </c>
      <c r="C4550" s="1">
        <f t="shared" si="1355"/>
        <v>2.7279824682178377E-2</v>
      </c>
      <c r="D4550">
        <v>16.237369687249</v>
      </c>
      <c r="E4550">
        <v>0.39300968427763999</v>
      </c>
      <c r="F4550">
        <v>31</v>
      </c>
    </row>
    <row r="4551" spans="1:9" x14ac:dyDescent="0.25">
      <c r="A4551">
        <v>1153.5550270842</v>
      </c>
      <c r="B4551">
        <v>1179.6076099881</v>
      </c>
      <c r="C4551" s="1">
        <f t="shared" si="1355"/>
        <v>2.2584603501535794E-2</v>
      </c>
      <c r="D4551">
        <v>16.317027532745001</v>
      </c>
      <c r="E4551">
        <v>0.38919099713548999</v>
      </c>
      <c r="F4551">
        <v>31</v>
      </c>
    </row>
    <row r="4552" spans="1:9" x14ac:dyDescent="0.25">
      <c r="A4552">
        <v>1148.3437706433999</v>
      </c>
      <c r="B4552">
        <v>1182.8159598361001</v>
      </c>
      <c r="C4552" s="1">
        <f t="shared" si="1355"/>
        <v>3.0019050108475609E-2</v>
      </c>
      <c r="D4552">
        <v>16.339481422079999</v>
      </c>
      <c r="E4552">
        <v>0.39231445122984998</v>
      </c>
      <c r="F4552">
        <v>32</v>
      </c>
      <c r="H4552" t="s">
        <v>17</v>
      </c>
      <c r="I4552">
        <f t="shared" ref="I4552" si="1356">STDEVP(A4538:A4557)</f>
        <v>5.1507247608608342</v>
      </c>
    </row>
    <row r="4553" spans="1:9" x14ac:dyDescent="0.25">
      <c r="A4553">
        <v>1148.94041485</v>
      </c>
      <c r="B4553">
        <v>1182.3007002246</v>
      </c>
      <c r="C4553" s="1">
        <f t="shared" si="1355"/>
        <v>2.9035696667485844E-2</v>
      </c>
      <c r="D4553">
        <v>16.399893076716999</v>
      </c>
      <c r="E4553">
        <v>0.39410716880590002</v>
      </c>
      <c r="F4553">
        <v>31</v>
      </c>
      <c r="H4553" t="s">
        <v>18</v>
      </c>
      <c r="I4553">
        <f t="shared" ref="I4553" si="1357">STDEVP(B4538:B4557)</f>
        <v>4.939914256871579</v>
      </c>
    </row>
    <row r="4554" spans="1:9" x14ac:dyDescent="0.25">
      <c r="A4554">
        <v>1144.9076496235</v>
      </c>
      <c r="B4554">
        <v>1176.9272030651</v>
      </c>
      <c r="C4554" s="1">
        <f t="shared" si="1355"/>
        <v>2.7966931177487941E-2</v>
      </c>
      <c r="D4554">
        <v>16.319165998395999</v>
      </c>
      <c r="E4554">
        <v>0.39329589588079</v>
      </c>
      <c r="F4554">
        <v>32</v>
      </c>
      <c r="H4554" t="s">
        <v>19</v>
      </c>
      <c r="I4554">
        <f t="shared" ref="I4554" si="1358">STDEVP(C4538:C4557)</f>
        <v>2.9237650705874426E-3</v>
      </c>
    </row>
    <row r="4555" spans="1:9" x14ac:dyDescent="0.25">
      <c r="A4555">
        <v>1150.9589113489001</v>
      </c>
      <c r="B4555">
        <v>1181.4673008323</v>
      </c>
      <c r="C4555" s="1">
        <f t="shared" si="1355"/>
        <v>2.6506931900500907E-2</v>
      </c>
      <c r="D4555">
        <v>16.249665864741999</v>
      </c>
      <c r="E4555">
        <v>0.38824729040352002</v>
      </c>
      <c r="F4555">
        <v>31</v>
      </c>
      <c r="H4555" t="s">
        <v>20</v>
      </c>
      <c r="I4555">
        <f t="shared" ref="I4555" si="1359">STDEVP(D4538:D4557)</f>
        <v>0.10140436075129339</v>
      </c>
    </row>
    <row r="4556" spans="1:9" x14ac:dyDescent="0.25">
      <c r="A4556">
        <v>1135.4482758621</v>
      </c>
      <c r="B4556">
        <v>1166.2700488836001</v>
      </c>
      <c r="C4556" s="1">
        <f t="shared" si="1355"/>
        <v>2.7145026045416687E-2</v>
      </c>
      <c r="D4556">
        <v>16.232558139535001</v>
      </c>
      <c r="E4556">
        <v>0.39513897430228001</v>
      </c>
      <c r="F4556">
        <v>32</v>
      </c>
      <c r="H4556" t="s">
        <v>21</v>
      </c>
      <c r="I4556">
        <f t="shared" ref="I4556" si="1360">STDEVP(E4538:E4557)</f>
        <v>3.6147748321950206E-3</v>
      </c>
    </row>
    <row r="4557" spans="1:9" x14ac:dyDescent="0.25">
      <c r="A4557">
        <v>1148.3017571674</v>
      </c>
      <c r="B4557">
        <v>1175.1055621614</v>
      </c>
      <c r="C4557" s="1">
        <f t="shared" si="1355"/>
        <v>2.3342126602783342E-2</v>
      </c>
      <c r="D4557">
        <v>16.264100507885999</v>
      </c>
      <c r="E4557">
        <v>0.38994253805013002</v>
      </c>
      <c r="F4557">
        <v>31</v>
      </c>
      <c r="H4557" t="s">
        <v>22</v>
      </c>
      <c r="I4557">
        <f t="shared" ref="I4557" si="1361">STDEVP(F4538:F4557)</f>
        <v>0.45825756949558405</v>
      </c>
    </row>
    <row r="4558" spans="1:9" x14ac:dyDescent="0.25">
      <c r="C4558" s="1" t="str">
        <f t="shared" si="1355"/>
        <v/>
      </c>
    </row>
    <row r="4559" spans="1:9" x14ac:dyDescent="0.25">
      <c r="A4559">
        <v>645.24260355030003</v>
      </c>
      <c r="B4559">
        <v>671.71005917159005</v>
      </c>
      <c r="C4559" s="1">
        <f t="shared" si="1355"/>
        <v>4.1019386314014028E-2</v>
      </c>
      <c r="D4559">
        <v>8.6711915535444994</v>
      </c>
      <c r="E4559">
        <v>0.35992695752905002</v>
      </c>
      <c r="F4559">
        <v>12</v>
      </c>
    </row>
    <row r="4560" spans="1:9" x14ac:dyDescent="0.25">
      <c r="A4560">
        <v>632.71597633136003</v>
      </c>
      <c r="B4560">
        <v>665.66863905324999</v>
      </c>
      <c r="C4560" s="1">
        <f t="shared" si="1355"/>
        <v>5.2081287583344293E-2</v>
      </c>
      <c r="D4560">
        <v>8.3227752639516996</v>
      </c>
      <c r="E4560">
        <v>0.34912579627506002</v>
      </c>
      <c r="F4560">
        <v>12</v>
      </c>
    </row>
    <row r="4561" spans="1:9" x14ac:dyDescent="0.25">
      <c r="A4561">
        <v>647.04142011834006</v>
      </c>
      <c r="B4561">
        <v>676.84615384614995</v>
      </c>
      <c r="C4561" s="1">
        <f t="shared" si="1355"/>
        <v>4.6063100137173185E-2</v>
      </c>
      <c r="D4561">
        <v>8.5158371040723999</v>
      </c>
      <c r="E4561">
        <v>0.35004655398848</v>
      </c>
      <c r="F4561">
        <v>12</v>
      </c>
    </row>
    <row r="4562" spans="1:9" x14ac:dyDescent="0.25">
      <c r="A4562">
        <v>644.81065088756998</v>
      </c>
      <c r="B4562">
        <v>668.30177514792001</v>
      </c>
      <c r="C4562" s="1">
        <f t="shared" si="1355"/>
        <v>3.6431042551817283E-2</v>
      </c>
      <c r="D4562">
        <v>8.4570135746605999</v>
      </c>
      <c r="E4562">
        <v>0.34820909480181</v>
      </c>
      <c r="F4562">
        <v>13</v>
      </c>
    </row>
    <row r="4563" spans="1:9" x14ac:dyDescent="0.25">
      <c r="A4563">
        <v>635.09467455620995</v>
      </c>
      <c r="B4563">
        <v>664.45562130176995</v>
      </c>
      <c r="C4563" s="1">
        <f t="shared" si="1355"/>
        <v>4.623081868239054E-2</v>
      </c>
      <c r="D4563">
        <v>8.2911010558068998</v>
      </c>
      <c r="E4563">
        <v>0.3452375522569</v>
      </c>
      <c r="F4563">
        <v>12</v>
      </c>
    </row>
    <row r="4564" spans="1:9" x14ac:dyDescent="0.25">
      <c r="A4564">
        <v>641.27218934911002</v>
      </c>
      <c r="B4564">
        <v>671.35502958579002</v>
      </c>
      <c r="C4564" s="1">
        <f t="shared" si="1355"/>
        <v>4.691118800460381E-2</v>
      </c>
      <c r="D4564">
        <v>8.4177978883861009</v>
      </c>
      <c r="E4564">
        <v>0.34862993206338999</v>
      </c>
      <c r="F4564">
        <v>12</v>
      </c>
    </row>
    <row r="4565" spans="1:9" x14ac:dyDescent="0.25">
      <c r="A4565">
        <v>649.84319526626996</v>
      </c>
      <c r="B4565">
        <v>673.64497041419997</v>
      </c>
      <c r="C4565" s="1">
        <f t="shared" si="1355"/>
        <v>3.6626951426608878E-2</v>
      </c>
      <c r="D4565">
        <v>8.4841628959276001</v>
      </c>
      <c r="E4565">
        <v>0.34627932628090002</v>
      </c>
      <c r="F4565">
        <v>13</v>
      </c>
    </row>
    <row r="4566" spans="1:9" x14ac:dyDescent="0.25">
      <c r="A4566">
        <v>632.77514792899001</v>
      </c>
      <c r="B4566">
        <v>658.47633136093998</v>
      </c>
      <c r="C4566" s="1">
        <f t="shared" si="1355"/>
        <v>4.0616613209395691E-2</v>
      </c>
      <c r="D4566">
        <v>8.5218702865762008</v>
      </c>
      <c r="E4566">
        <v>0.36013777171429001</v>
      </c>
      <c r="F4566">
        <v>12</v>
      </c>
    </row>
    <row r="4567" spans="1:9" x14ac:dyDescent="0.25">
      <c r="A4567">
        <v>627.91715976331</v>
      </c>
      <c r="B4567">
        <v>666.79585798816004</v>
      </c>
      <c r="C4567" s="1">
        <f t="shared" si="1355"/>
        <v>6.1916922670985919E-2</v>
      </c>
      <c r="D4567">
        <v>8.5565610859729002</v>
      </c>
      <c r="E4567">
        <v>0.36577821329858001</v>
      </c>
      <c r="F4567">
        <v>12</v>
      </c>
    </row>
    <row r="4568" spans="1:9" x14ac:dyDescent="0.25">
      <c r="A4568">
        <v>642.86390532543999</v>
      </c>
      <c r="B4568">
        <v>671.21301775147003</v>
      </c>
      <c r="C4568" s="1">
        <f t="shared" si="1355"/>
        <v>4.409815544345852E-2</v>
      </c>
      <c r="D4568">
        <v>8.3107088989442008</v>
      </c>
      <c r="E4568">
        <v>0.34196174002667001</v>
      </c>
      <c r="F4568">
        <v>12</v>
      </c>
    </row>
    <row r="4569" spans="1:9" x14ac:dyDescent="0.25">
      <c r="A4569">
        <v>636.33136094675001</v>
      </c>
      <c r="B4569">
        <v>666.66568047337</v>
      </c>
      <c r="C4569" s="1">
        <f t="shared" si="1355"/>
        <v>4.7670634182618077E-2</v>
      </c>
      <c r="D4569">
        <v>8.3815987933634997</v>
      </c>
      <c r="E4569">
        <v>0.34987543271054999</v>
      </c>
      <c r="F4569">
        <v>13</v>
      </c>
    </row>
    <row r="4570" spans="1:9" x14ac:dyDescent="0.25">
      <c r="A4570">
        <v>643.29289940828005</v>
      </c>
      <c r="B4570">
        <v>675.90828402366003</v>
      </c>
      <c r="C4570" s="1">
        <f t="shared" si="1355"/>
        <v>5.0700675610411139E-2</v>
      </c>
      <c r="D4570">
        <v>8.5188536953242995</v>
      </c>
      <c r="E4570">
        <v>0.35292248649373997</v>
      </c>
      <c r="F4570">
        <v>12</v>
      </c>
    </row>
    <row r="4571" spans="1:9" x14ac:dyDescent="0.25">
      <c r="A4571">
        <v>630.10650887574002</v>
      </c>
      <c r="B4571">
        <v>669.19230769230001</v>
      </c>
      <c r="C4571" s="1">
        <f t="shared" si="1355"/>
        <v>6.2030463526393964E-2</v>
      </c>
      <c r="D4571">
        <v>8.4328808446456005</v>
      </c>
      <c r="E4571">
        <v>0.35715464918593998</v>
      </c>
      <c r="F4571">
        <v>12</v>
      </c>
    </row>
    <row r="4572" spans="1:9" x14ac:dyDescent="0.25">
      <c r="A4572">
        <v>643.10650887574002</v>
      </c>
      <c r="B4572">
        <v>670.61242603549999</v>
      </c>
      <c r="C4572" s="1">
        <f t="shared" si="1355"/>
        <v>4.2770391498361704E-2</v>
      </c>
      <c r="D4572">
        <v>8.5701357466063008</v>
      </c>
      <c r="E4572">
        <v>0.35634864611884998</v>
      </c>
      <c r="F4572">
        <v>13</v>
      </c>
    </row>
    <row r="4573" spans="1:9" x14ac:dyDescent="0.25">
      <c r="A4573">
        <v>638.68639053254003</v>
      </c>
      <c r="B4573">
        <v>665.85798816567001</v>
      </c>
      <c r="C4573" s="1">
        <f t="shared" si="1355"/>
        <v>4.2542941318154837E-2</v>
      </c>
      <c r="D4573">
        <v>8.5565610859728007</v>
      </c>
      <c r="E4573">
        <v>0.35757219108011001</v>
      </c>
      <c r="F4573">
        <v>12</v>
      </c>
      <c r="H4573" t="s">
        <v>17</v>
      </c>
      <c r="I4573">
        <f t="shared" ref="I4573" si="1362">STDEVP(A4559:A4578)</f>
        <v>5.6839924996713016</v>
      </c>
    </row>
    <row r="4574" spans="1:9" x14ac:dyDescent="0.25">
      <c r="A4574">
        <v>637.62721893491005</v>
      </c>
      <c r="B4574">
        <v>664.79881656804002</v>
      </c>
      <c r="C4574" s="1">
        <f t="shared" si="1355"/>
        <v>4.2613610000083346E-2</v>
      </c>
      <c r="D4574">
        <v>8.5731523378582004</v>
      </c>
      <c r="E4574">
        <v>0.35967262292333002</v>
      </c>
      <c r="F4574">
        <v>12</v>
      </c>
      <c r="H4574" t="s">
        <v>18</v>
      </c>
      <c r="I4574">
        <f t="shared" ref="I4574" si="1363">STDEVP(B4559:B4578)</f>
        <v>4.7553881657093697</v>
      </c>
    </row>
    <row r="4575" spans="1:9" x14ac:dyDescent="0.25">
      <c r="A4575">
        <v>641.72781065088998</v>
      </c>
      <c r="B4575">
        <v>669.13905325443</v>
      </c>
      <c r="C4575" s="1">
        <f t="shared" si="1355"/>
        <v>4.2714749382199102E-2</v>
      </c>
      <c r="D4575">
        <v>8.5625942684765999</v>
      </c>
      <c r="E4575">
        <v>0.35660585728175997</v>
      </c>
      <c r="F4575">
        <v>12</v>
      </c>
      <c r="H4575" t="s">
        <v>19</v>
      </c>
      <c r="I4575">
        <f t="shared" ref="I4575" si="1364">STDEVP(C4559:C4578)</f>
        <v>7.1641975637590938E-3</v>
      </c>
    </row>
    <row r="4576" spans="1:9" x14ac:dyDescent="0.25">
      <c r="A4576">
        <v>636.67159763313998</v>
      </c>
      <c r="B4576">
        <v>670.33431952661999</v>
      </c>
      <c r="C4576" s="1">
        <f t="shared" si="1355"/>
        <v>5.2872975673208922E-2</v>
      </c>
      <c r="D4576">
        <v>8.4479638009050007</v>
      </c>
      <c r="E4576">
        <v>0.35309847491217</v>
      </c>
      <c r="F4576">
        <v>13</v>
      </c>
      <c r="H4576" t="s">
        <v>20</v>
      </c>
      <c r="I4576">
        <f t="shared" ref="I4576" si="1365">STDEVP(D4559:D4578)</f>
        <v>9.6768185032637635E-2</v>
      </c>
    </row>
    <row r="4577" spans="1:9" x14ac:dyDescent="0.25">
      <c r="A4577">
        <v>637.28994082839995</v>
      </c>
      <c r="B4577">
        <v>659.78698224850996</v>
      </c>
      <c r="C4577" s="1">
        <f t="shared" si="1355"/>
        <v>3.5301108614497423E-2</v>
      </c>
      <c r="D4577">
        <v>8.4343891402715006</v>
      </c>
      <c r="E4577">
        <v>0.35195069139645002</v>
      </c>
      <c r="F4577">
        <v>12</v>
      </c>
      <c r="H4577" t="s">
        <v>21</v>
      </c>
      <c r="I4577">
        <f t="shared" ref="I4577" si="1366">STDEVP(E4559:E4578)</f>
        <v>5.7982324393626404E-3</v>
      </c>
    </row>
    <row r="4578" spans="1:9" x14ac:dyDescent="0.25">
      <c r="A4578">
        <v>635.06213017750997</v>
      </c>
      <c r="B4578">
        <v>662.05325443786001</v>
      </c>
      <c r="C4578" s="1">
        <f t="shared" si="1355"/>
        <v>4.250154902608605E-2</v>
      </c>
      <c r="D4578">
        <v>8.4208144796380004</v>
      </c>
      <c r="E4578">
        <v>0.35318572552714</v>
      </c>
      <c r="F4578">
        <v>12</v>
      </c>
      <c r="H4578" t="s">
        <v>22</v>
      </c>
      <c r="I4578">
        <f t="shared" ref="I4578" si="1367">STDEVP(F4559:F4578)</f>
        <v>0.4330127018922193</v>
      </c>
    </row>
    <row r="4579" spans="1:9" x14ac:dyDescent="0.25">
      <c r="C4579" s="1" t="str">
        <f t="shared" si="1355"/>
        <v/>
      </c>
    </row>
    <row r="4580" spans="1:9" x14ac:dyDescent="0.25">
      <c r="A4580">
        <v>1354.2830385016</v>
      </c>
      <c r="B4580">
        <v>1390.178980229</v>
      </c>
      <c r="C4580" s="1">
        <f t="shared" si="1355"/>
        <v>2.6505494573066279E-2</v>
      </c>
      <c r="D4580">
        <v>12.494623655913999</v>
      </c>
      <c r="E4580">
        <v>0.21774527890796</v>
      </c>
      <c r="F4580">
        <v>21</v>
      </c>
    </row>
    <row r="4581" spans="1:9" x14ac:dyDescent="0.25">
      <c r="A4581">
        <v>1351.1155046826</v>
      </c>
      <c r="B4581">
        <v>1386.7637877211</v>
      </c>
      <c r="C4581" s="1">
        <f t="shared" si="1355"/>
        <v>2.6384334214915484E-2</v>
      </c>
      <c r="D4581">
        <v>12.404301075269</v>
      </c>
      <c r="E4581">
        <v>0.21643235771656999</v>
      </c>
      <c r="F4581">
        <v>21</v>
      </c>
    </row>
    <row r="4582" spans="1:9" x14ac:dyDescent="0.25">
      <c r="A4582">
        <v>1351.9479708637</v>
      </c>
      <c r="B4582">
        <v>1408.5390218523</v>
      </c>
      <c r="C4582" s="1">
        <f t="shared" si="1355"/>
        <v>4.1858897093833169E-2</v>
      </c>
      <c r="D4582">
        <v>11.913978494624001</v>
      </c>
      <c r="E4582">
        <v>0.20589289366128</v>
      </c>
      <c r="F4582">
        <v>21</v>
      </c>
    </row>
    <row r="4583" spans="1:9" x14ac:dyDescent="0.25">
      <c r="A4583">
        <v>1350.9698231008999</v>
      </c>
      <c r="B4583">
        <v>1397.8210197711001</v>
      </c>
      <c r="C4583" s="1">
        <f t="shared" si="1355"/>
        <v>3.4679676680462013E-2</v>
      </c>
      <c r="D4583">
        <v>12.163440860214999</v>
      </c>
      <c r="E4583">
        <v>0.21136972743179</v>
      </c>
      <c r="F4583">
        <v>21</v>
      </c>
    </row>
    <row r="4584" spans="1:9" x14ac:dyDescent="0.25">
      <c r="A4584">
        <v>1353.6462018730001</v>
      </c>
      <c r="B4584">
        <v>1379.9479708637</v>
      </c>
      <c r="C4584" s="1">
        <f t="shared" si="1355"/>
        <v>1.9430312702319874E-2</v>
      </c>
      <c r="D4584">
        <v>12.348387096773999</v>
      </c>
      <c r="E4584">
        <v>0.21466243678659</v>
      </c>
      <c r="F4584">
        <v>20</v>
      </c>
    </row>
    <row r="4585" spans="1:9" x14ac:dyDescent="0.25">
      <c r="A4585">
        <v>1346.1331945889999</v>
      </c>
      <c r="B4585">
        <v>1392.3662851197</v>
      </c>
      <c r="C4585" s="1">
        <f t="shared" si="1355"/>
        <v>3.4345108430979598E-2</v>
      </c>
      <c r="D4585">
        <v>12.193548387097</v>
      </c>
      <c r="E4585">
        <v>0.21289625402828999</v>
      </c>
      <c r="F4585">
        <v>21</v>
      </c>
    </row>
    <row r="4586" spans="1:9" x14ac:dyDescent="0.25">
      <c r="A4586">
        <v>1350.6847034339</v>
      </c>
      <c r="B4586">
        <v>1391.8501560873999</v>
      </c>
      <c r="C4586" s="1">
        <f t="shared" si="1355"/>
        <v>3.047747009264512E-2</v>
      </c>
      <c r="D4586">
        <v>12.305376344086</v>
      </c>
      <c r="E4586">
        <v>0.21441669007326</v>
      </c>
      <c r="F4586">
        <v>21</v>
      </c>
    </row>
    <row r="4587" spans="1:9" x14ac:dyDescent="0.25">
      <c r="A4587">
        <v>1354.3517169615</v>
      </c>
      <c r="B4587">
        <v>1396.8012486993</v>
      </c>
      <c r="C4587" s="1">
        <f t="shared" si="1355"/>
        <v>3.1343063405299132E-2</v>
      </c>
      <c r="D4587">
        <v>12.288172043011</v>
      </c>
      <c r="E4587">
        <v>0.21337797381236001</v>
      </c>
      <c r="F4587">
        <v>22</v>
      </c>
    </row>
    <row r="4588" spans="1:9" x14ac:dyDescent="0.25">
      <c r="A4588">
        <v>1349.6420395421001</v>
      </c>
      <c r="B4588">
        <v>1396.0520291363</v>
      </c>
      <c r="C4588" s="1">
        <f t="shared" si="1355"/>
        <v>3.43868879558209E-2</v>
      </c>
      <c r="D4588">
        <v>12.421505376343999</v>
      </c>
      <c r="E4588">
        <v>0.21705137729533999</v>
      </c>
      <c r="F4588">
        <v>21</v>
      </c>
    </row>
    <row r="4589" spans="1:9" x14ac:dyDescent="0.25">
      <c r="A4589">
        <v>1335.0343392299999</v>
      </c>
      <c r="B4589">
        <v>1397.9396462018999</v>
      </c>
      <c r="C4589" s="1">
        <f t="shared" si="1355"/>
        <v>4.7118868124532032E-2</v>
      </c>
      <c r="D4589">
        <v>12.296774193548</v>
      </c>
      <c r="E4589">
        <v>0.21710908225978001</v>
      </c>
      <c r="F4589">
        <v>21</v>
      </c>
    </row>
    <row r="4590" spans="1:9" x14ac:dyDescent="0.25">
      <c r="A4590">
        <v>1347.3152965661</v>
      </c>
      <c r="B4590">
        <v>1395.6628511967001</v>
      </c>
      <c r="C4590" s="1">
        <f t="shared" si="1355"/>
        <v>3.5884365563000342E-2</v>
      </c>
      <c r="D4590">
        <v>12.361290322581</v>
      </c>
      <c r="E4590">
        <v>0.21610333122468001</v>
      </c>
      <c r="F4590">
        <v>21</v>
      </c>
    </row>
    <row r="4591" spans="1:9" x14ac:dyDescent="0.25">
      <c r="A4591">
        <v>1347.1196670135</v>
      </c>
      <c r="B4591">
        <v>1389.2112382934999</v>
      </c>
      <c r="C4591" s="1">
        <f t="shared" si="1355"/>
        <v>3.1245606690098127E-2</v>
      </c>
      <c r="D4591">
        <v>12.064516129032</v>
      </c>
      <c r="E4591">
        <v>0.20990545011285</v>
      </c>
      <c r="F4591">
        <v>21</v>
      </c>
    </row>
    <row r="4592" spans="1:9" x14ac:dyDescent="0.25">
      <c r="A4592">
        <v>1346.3017689906001</v>
      </c>
      <c r="B4592">
        <v>1379.2674297607</v>
      </c>
      <c r="C4592" s="1">
        <f t="shared" si="1355"/>
        <v>2.4486085905403021E-2</v>
      </c>
      <c r="D4592">
        <v>12.098924731183001</v>
      </c>
      <c r="E4592">
        <v>0.21075279454531001</v>
      </c>
      <c r="F4592">
        <v>21</v>
      </c>
    </row>
    <row r="4593" spans="1:9" x14ac:dyDescent="0.25">
      <c r="A4593">
        <v>1354.8949011446</v>
      </c>
      <c r="B4593">
        <v>1389.5900104058001</v>
      </c>
      <c r="C4593" s="1">
        <f t="shared" si="1355"/>
        <v>2.5607232879753195E-2</v>
      </c>
      <c r="D4593">
        <v>12.14623655914</v>
      </c>
      <c r="E4593">
        <v>0.21017205891057</v>
      </c>
      <c r="F4593">
        <v>21</v>
      </c>
    </row>
    <row r="4594" spans="1:9" x14ac:dyDescent="0.25">
      <c r="A4594">
        <v>1347.4693028096001</v>
      </c>
      <c r="B4594">
        <v>1390.6742976067001</v>
      </c>
      <c r="C4594" s="1">
        <f t="shared" si="1355"/>
        <v>3.2063806356859903E-2</v>
      </c>
      <c r="D4594">
        <v>12.322580645161</v>
      </c>
      <c r="E4594">
        <v>0.21534760332941</v>
      </c>
      <c r="F4594">
        <v>21</v>
      </c>
      <c r="H4594" t="s">
        <v>17</v>
      </c>
      <c r="I4594">
        <f t="shared" ref="I4594" si="1368">STDEVP(A4580:A4599)</f>
        <v>6.3120954476545696</v>
      </c>
    </row>
    <row r="4595" spans="1:9" x14ac:dyDescent="0.25">
      <c r="A4595">
        <v>1342.6826222684999</v>
      </c>
      <c r="B4595">
        <v>1382.0041623309</v>
      </c>
      <c r="C4595" s="1">
        <f t="shared" si="1355"/>
        <v>2.9285803964577584E-2</v>
      </c>
      <c r="D4595">
        <v>12.141935483871</v>
      </c>
      <c r="E4595">
        <v>0.21235458888344</v>
      </c>
      <c r="F4595">
        <v>21</v>
      </c>
      <c r="H4595" t="s">
        <v>18</v>
      </c>
      <c r="I4595">
        <f t="shared" ref="I4595" si="1369">STDEVP(B4580:B4599)</f>
        <v>7.6905531847405788</v>
      </c>
    </row>
    <row r="4596" spans="1:9" x14ac:dyDescent="0.25">
      <c r="A4596">
        <v>1363.9583766909</v>
      </c>
      <c r="B4596">
        <v>1402.0457856400001</v>
      </c>
      <c r="C4596" s="1">
        <f t="shared" si="1355"/>
        <v>2.7924172467420849E-2</v>
      </c>
      <c r="D4596">
        <v>12.597849462366</v>
      </c>
      <c r="E4596">
        <v>0.21805927540134001</v>
      </c>
      <c r="F4596">
        <v>21</v>
      </c>
      <c r="H4596" t="s">
        <v>19</v>
      </c>
      <c r="I4596">
        <f t="shared" ref="I4596" si="1370">STDEVP(C4580:C4599)</f>
        <v>6.0912332384151216E-3</v>
      </c>
    </row>
    <row r="4597" spans="1:9" x14ac:dyDescent="0.25">
      <c r="A4597">
        <v>1351.0655567117999</v>
      </c>
      <c r="B4597">
        <v>1396.4578563995999</v>
      </c>
      <c r="C4597" s="1">
        <f t="shared" si="1355"/>
        <v>3.3597407218547648E-2</v>
      </c>
      <c r="D4597">
        <v>12.348387096773999</v>
      </c>
      <c r="E4597">
        <v>0.21528672746520999</v>
      </c>
      <c r="F4597">
        <v>21</v>
      </c>
      <c r="H4597" t="s">
        <v>20</v>
      </c>
      <c r="I4597">
        <f t="shared" ref="I4597" si="1371">STDEVP(D4580:D4599)</f>
        <v>0.16879446460094746</v>
      </c>
    </row>
    <row r="4598" spans="1:9" x14ac:dyDescent="0.25">
      <c r="A4598">
        <v>1360.4620187304999</v>
      </c>
      <c r="B4598">
        <v>1395.8439125911</v>
      </c>
      <c r="C4598" s="1">
        <f t="shared" si="1355"/>
        <v>2.6007263248419177E-2</v>
      </c>
      <c r="D4598">
        <v>12.550537634409</v>
      </c>
      <c r="E4598">
        <v>0.21759344665114999</v>
      </c>
      <c r="F4598">
        <v>21</v>
      </c>
      <c r="H4598" t="s">
        <v>21</v>
      </c>
      <c r="I4598">
        <f t="shared" ref="I4598" si="1372">STDEVP(E4580:E4599)</f>
        <v>3.148741219728178E-3</v>
      </c>
    </row>
    <row r="4599" spans="1:9" x14ac:dyDescent="0.25">
      <c r="A4599">
        <v>1340.9302809573001</v>
      </c>
      <c r="B4599">
        <v>1377.9042663892001</v>
      </c>
      <c r="C4599" s="1">
        <f t="shared" si="1355"/>
        <v>2.757338390889652E-2</v>
      </c>
      <c r="D4599">
        <v>12.124731182795999</v>
      </c>
      <c r="E4599">
        <v>0.21238379794314999</v>
      </c>
      <c r="F4599">
        <v>21</v>
      </c>
      <c r="H4599" t="s">
        <v>22</v>
      </c>
      <c r="I4599">
        <f t="shared" ref="I4599" si="1373">STDEVP(F4580:F4599)</f>
        <v>0.31622776601683794</v>
      </c>
    </row>
    <row r="4600" spans="1:9" x14ac:dyDescent="0.25">
      <c r="C4600" s="1" t="str">
        <f t="shared" si="1355"/>
        <v/>
      </c>
    </row>
    <row r="4601" spans="1:9" x14ac:dyDescent="0.25">
      <c r="A4601">
        <v>1733.1385459533999</v>
      </c>
      <c r="B4601">
        <v>1769.7489711933999</v>
      </c>
      <c r="C4601" s="1">
        <f t="shared" si="1355"/>
        <v>2.1123773010230273E-2</v>
      </c>
      <c r="D4601">
        <v>14.076869322152</v>
      </c>
      <c r="E4601">
        <v>0.18984470979304999</v>
      </c>
      <c r="F4601">
        <v>42</v>
      </c>
    </row>
    <row r="4602" spans="1:9" x14ac:dyDescent="0.25">
      <c r="A4602">
        <v>1734.9670781893001</v>
      </c>
      <c r="B4602">
        <v>1780.2304526749001</v>
      </c>
      <c r="C4602" s="1">
        <f t="shared" si="1355"/>
        <v>2.6088895319465788E-2</v>
      </c>
      <c r="D4602">
        <v>13.870020964361</v>
      </c>
      <c r="E4602">
        <v>0.18629107281848001</v>
      </c>
      <c r="F4602">
        <v>39</v>
      </c>
    </row>
    <row r="4603" spans="1:9" x14ac:dyDescent="0.25">
      <c r="A4603">
        <v>1736.0809327846</v>
      </c>
      <c r="B4603">
        <v>1772.4115226337999</v>
      </c>
      <c r="C4603" s="1">
        <f t="shared" si="1355"/>
        <v>2.0926783517475345E-2</v>
      </c>
      <c r="D4603">
        <v>14.009783368274</v>
      </c>
      <c r="E4603">
        <v>0.18847311037472</v>
      </c>
      <c r="F4603">
        <v>48</v>
      </c>
    </row>
    <row r="4604" spans="1:9" x14ac:dyDescent="0.25">
      <c r="A4604">
        <v>1721.5898491083999</v>
      </c>
      <c r="B4604">
        <v>1770.1028806585</v>
      </c>
      <c r="C4604" s="1">
        <f t="shared" si="1355"/>
        <v>2.8179203992881652E-2</v>
      </c>
      <c r="D4604">
        <v>13.973445143256001</v>
      </c>
      <c r="E4604">
        <v>0.18977250011794999</v>
      </c>
      <c r="F4604">
        <v>41</v>
      </c>
    </row>
    <row r="4605" spans="1:9" x14ac:dyDescent="0.25">
      <c r="A4605">
        <v>1739.3017832646999</v>
      </c>
      <c r="B4605">
        <v>1775.2469135803001</v>
      </c>
      <c r="C4605" s="1">
        <f t="shared" si="1355"/>
        <v>2.0666413765258351E-2</v>
      </c>
      <c r="D4605">
        <v>13.939902166316999</v>
      </c>
      <c r="E4605">
        <v>0.18685799460251001</v>
      </c>
      <c r="F4605">
        <v>43</v>
      </c>
    </row>
    <row r="4606" spans="1:9" x14ac:dyDescent="0.25">
      <c r="A4606">
        <v>1728.8971193416</v>
      </c>
      <c r="B4606">
        <v>1771.646090535</v>
      </c>
      <c r="C4606" s="1">
        <f t="shared" si="1355"/>
        <v>2.472615097518327E-2</v>
      </c>
      <c r="D4606">
        <v>13.589098532495001</v>
      </c>
      <c r="E4606">
        <v>0.18272805609418999</v>
      </c>
      <c r="F4606">
        <v>43</v>
      </c>
    </row>
    <row r="4607" spans="1:9" x14ac:dyDescent="0.25">
      <c r="A4607">
        <v>1729.0466392318001</v>
      </c>
      <c r="B4607">
        <v>1771.7613168724999</v>
      </c>
      <c r="C4607" s="1">
        <f t="shared" si="1355"/>
        <v>2.4704178980202496E-2</v>
      </c>
      <c r="D4607">
        <v>13.508036338225001</v>
      </c>
      <c r="E4607">
        <v>0.18127899463645</v>
      </c>
      <c r="F4607">
        <v>49</v>
      </c>
    </row>
    <row r="4608" spans="1:9" x14ac:dyDescent="0.25">
      <c r="A4608">
        <v>1726.9465020575999</v>
      </c>
      <c r="B4608">
        <v>1766.5418381345</v>
      </c>
      <c r="C4608" s="1">
        <f t="shared" si="1355"/>
        <v>2.2927945961107365E-2</v>
      </c>
      <c r="D4608">
        <v>13.689727463312</v>
      </c>
      <c r="E4608">
        <v>0.18441583206761</v>
      </c>
      <c r="F4608">
        <v>43</v>
      </c>
    </row>
    <row r="4609" spans="1:9" x14ac:dyDescent="0.25">
      <c r="A4609">
        <v>1742.4348422497001</v>
      </c>
      <c r="B4609">
        <v>1773.8943758574001</v>
      </c>
      <c r="C4609" s="1">
        <f t="shared" si="1355"/>
        <v>1.8054926844255359E-2</v>
      </c>
      <c r="D4609">
        <v>14.039133473095999</v>
      </c>
      <c r="E4609">
        <v>0.18811422248466</v>
      </c>
      <c r="F4609">
        <v>48</v>
      </c>
    </row>
    <row r="4610" spans="1:9" x14ac:dyDescent="0.25">
      <c r="A4610">
        <v>1711.0740740741001</v>
      </c>
      <c r="B4610">
        <v>1761.182441701</v>
      </c>
      <c r="C4610" s="1">
        <f t="shared" ref="C4610:C4673" si="1374">IFERROR((B4610/A4610)-1,"")</f>
        <v>2.9284744819720654E-2</v>
      </c>
      <c r="D4610">
        <v>13.698113207546999</v>
      </c>
      <c r="E4610">
        <v>0.18652202153745001</v>
      </c>
      <c r="F4610">
        <v>43</v>
      </c>
    </row>
    <row r="4611" spans="1:9" x14ac:dyDescent="0.25">
      <c r="A4611">
        <v>1730.5336076818</v>
      </c>
      <c r="B4611">
        <v>1766.6515775035</v>
      </c>
      <c r="C4611" s="1">
        <f t="shared" si="1374"/>
        <v>2.0871001673341105E-2</v>
      </c>
      <c r="D4611">
        <v>13.900768693222</v>
      </c>
      <c r="E4611">
        <v>0.18735803541366</v>
      </c>
      <c r="F4611">
        <v>45</v>
      </c>
    </row>
    <row r="4612" spans="1:9" x14ac:dyDescent="0.25">
      <c r="A4612">
        <v>1732.3703703704</v>
      </c>
      <c r="B4612">
        <v>1771.8312757202</v>
      </c>
      <c r="C4612" s="1">
        <f t="shared" si="1374"/>
        <v>2.2778561689070553E-2</v>
      </c>
      <c r="D4612">
        <v>14</v>
      </c>
      <c r="E4612">
        <v>0.18866823116303999</v>
      </c>
      <c r="F4612">
        <v>44</v>
      </c>
    </row>
    <row r="4613" spans="1:9" x14ac:dyDescent="0.25">
      <c r="A4613">
        <v>1741.3031550068999</v>
      </c>
      <c r="B4613">
        <v>1783.8861454047001</v>
      </c>
      <c r="C4613" s="1">
        <f t="shared" si="1374"/>
        <v>2.4454667916587569E-2</v>
      </c>
      <c r="D4613">
        <v>14.122990915443999</v>
      </c>
      <c r="E4613">
        <v>0.18954949928859999</v>
      </c>
      <c r="F4613">
        <v>41</v>
      </c>
    </row>
    <row r="4614" spans="1:9" x14ac:dyDescent="0.25">
      <c r="A4614">
        <v>1720.9245541838</v>
      </c>
      <c r="B4614">
        <v>1779.2537722908</v>
      </c>
      <c r="C4614" s="1">
        <f t="shared" si="1374"/>
        <v>3.3894116953119058E-2</v>
      </c>
      <c r="D4614">
        <v>13.590496156534</v>
      </c>
      <c r="E4614">
        <v>0.18364708485442999</v>
      </c>
      <c r="F4614">
        <v>42</v>
      </c>
    </row>
    <row r="4615" spans="1:9" x14ac:dyDescent="0.25">
      <c r="A4615">
        <v>1737.7009602195001</v>
      </c>
      <c r="B4615">
        <v>1777.3786008231</v>
      </c>
      <c r="C4615" s="1">
        <f t="shared" si="1374"/>
        <v>2.2833411220874344E-2</v>
      </c>
      <c r="D4615">
        <v>13.70929419986</v>
      </c>
      <c r="E4615">
        <v>0.18350539836422999</v>
      </c>
      <c r="F4615">
        <v>39</v>
      </c>
      <c r="H4615" t="s">
        <v>17</v>
      </c>
      <c r="I4615">
        <f t="shared" ref="I4615" si="1375">STDEVP(A4601:A4620)</f>
        <v>7.2527401224844166</v>
      </c>
    </row>
    <row r="4616" spans="1:9" x14ac:dyDescent="0.25">
      <c r="A4616">
        <v>1732.1536351166001</v>
      </c>
      <c r="B4616">
        <v>1777.7914951989001</v>
      </c>
      <c r="C4616" s="1">
        <f t="shared" si="1374"/>
        <v>2.6347466620204152E-2</v>
      </c>
      <c r="D4616">
        <v>14.01537386443</v>
      </c>
      <c r="E4616">
        <v>0.18907164056862999</v>
      </c>
      <c r="F4616">
        <v>46</v>
      </c>
      <c r="H4616" t="s">
        <v>18</v>
      </c>
      <c r="I4616">
        <f t="shared" ref="I4616" si="1376">STDEVP(B4601:B4620)</f>
        <v>5.718468471073245</v>
      </c>
    </row>
    <row r="4617" spans="1:9" x14ac:dyDescent="0.25">
      <c r="A4617">
        <v>1733.7407407406999</v>
      </c>
      <c r="B4617">
        <v>1777.6131687243001</v>
      </c>
      <c r="C4617" s="1">
        <f t="shared" si="1374"/>
        <v>2.5305068371904715E-2</v>
      </c>
      <c r="D4617">
        <v>13.735849056604</v>
      </c>
      <c r="E4617">
        <v>0.18437055531815</v>
      </c>
      <c r="F4617">
        <v>39</v>
      </c>
      <c r="H4617" t="s">
        <v>19</v>
      </c>
      <c r="I4617">
        <f t="shared" ref="I4617" si="1377">STDEVP(C4601:C4620)</f>
        <v>3.672723347462329E-3</v>
      </c>
    </row>
    <row r="4618" spans="1:9" x14ac:dyDescent="0.25">
      <c r="A4618">
        <v>1728.4307270233001</v>
      </c>
      <c r="B4618">
        <v>1775.6598079560999</v>
      </c>
      <c r="C4618" s="1">
        <f t="shared" si="1374"/>
        <v>2.7324832979646052E-2</v>
      </c>
      <c r="D4618">
        <v>13.942697414395999</v>
      </c>
      <c r="E4618">
        <v>0.18832868353230001</v>
      </c>
      <c r="F4618">
        <v>42</v>
      </c>
      <c r="H4618" t="s">
        <v>20</v>
      </c>
      <c r="I4618">
        <f t="shared" ref="I4618" si="1378">STDEVP(D4601:D4620)</f>
        <v>0.17843072607576668</v>
      </c>
    </row>
    <row r="4619" spans="1:9" x14ac:dyDescent="0.25">
      <c r="A4619">
        <v>1735.7846364883001</v>
      </c>
      <c r="B4619">
        <v>1783.7969821674001</v>
      </c>
      <c r="C4619" s="1">
        <f t="shared" si="1374"/>
        <v>2.7660312615875426E-2</v>
      </c>
      <c r="D4619">
        <v>13.858839972047999</v>
      </c>
      <c r="E4619">
        <v>0.18606477401915</v>
      </c>
      <c r="F4619">
        <v>44</v>
      </c>
      <c r="H4619" t="s">
        <v>21</v>
      </c>
      <c r="I4619">
        <f t="shared" ref="I4619" si="1379">STDEVP(E4601:E4620)</f>
        <v>2.5205633746077055E-3</v>
      </c>
    </row>
    <row r="4620" spans="1:9" x14ac:dyDescent="0.25">
      <c r="A4620">
        <v>1728.9039780521</v>
      </c>
      <c r="B4620">
        <v>1779.2427983539001</v>
      </c>
      <c r="C4620" s="1">
        <f t="shared" si="1374"/>
        <v>2.9116030121299818E-2</v>
      </c>
      <c r="D4620">
        <v>13.674353598882</v>
      </c>
      <c r="E4620">
        <v>0.18400886983719</v>
      </c>
      <c r="F4620">
        <v>45</v>
      </c>
      <c r="H4620" t="s">
        <v>22</v>
      </c>
      <c r="I4620">
        <f t="shared" ref="I4620" si="1380">STDEVP(F4601:F4620)</f>
        <v>2.8478061731796291</v>
      </c>
    </row>
    <row r="4621" spans="1:9" x14ac:dyDescent="0.25">
      <c r="C4621" s="1" t="str">
        <f t="shared" si="1374"/>
        <v/>
      </c>
    </row>
    <row r="4622" spans="1:9" x14ac:dyDescent="0.25">
      <c r="A4622">
        <v>1055.3396787626</v>
      </c>
      <c r="B4622">
        <v>1104.0237953599001</v>
      </c>
      <c r="C4622" s="1">
        <f t="shared" si="1374"/>
        <v>4.6131229192844181E-2</v>
      </c>
      <c r="D4622">
        <v>10.153658536585001</v>
      </c>
      <c r="E4622">
        <v>0.23156080352667999</v>
      </c>
      <c r="F4622">
        <v>16</v>
      </c>
    </row>
    <row r="4623" spans="1:9" x14ac:dyDescent="0.25">
      <c r="A4623">
        <v>1055.2897085068</v>
      </c>
      <c r="B4623">
        <v>1100.1439619273999</v>
      </c>
      <c r="C4623" s="1">
        <f t="shared" si="1374"/>
        <v>4.2504208142110311E-2</v>
      </c>
      <c r="D4623">
        <v>10.456097560976</v>
      </c>
      <c r="E4623">
        <v>0.24036729532326001</v>
      </c>
      <c r="F4623">
        <v>16</v>
      </c>
    </row>
    <row r="4624" spans="1:9" x14ac:dyDescent="0.25">
      <c r="A4624">
        <v>1063.3825104104999</v>
      </c>
      <c r="B4624">
        <v>1098.1558596074001</v>
      </c>
      <c r="C4624" s="1">
        <f t="shared" si="1374"/>
        <v>3.2700696933106954E-2</v>
      </c>
      <c r="D4624">
        <v>10.265853658537001</v>
      </c>
      <c r="E4624">
        <v>0.23246028997241</v>
      </c>
      <c r="F4624">
        <v>17</v>
      </c>
    </row>
    <row r="4625" spans="1:9" x14ac:dyDescent="0.25">
      <c r="A4625">
        <v>1062.3486020226001</v>
      </c>
      <c r="B4625">
        <v>1099.1576442594001</v>
      </c>
      <c r="C4625" s="1">
        <f t="shared" si="1374"/>
        <v>3.4648741634073277E-2</v>
      </c>
      <c r="D4625">
        <v>10.185365853659</v>
      </c>
      <c r="E4625">
        <v>0.23088162311763</v>
      </c>
      <c r="F4625">
        <v>16</v>
      </c>
    </row>
    <row r="4626" spans="1:9" x14ac:dyDescent="0.25">
      <c r="A4626">
        <v>1063.0612730518001</v>
      </c>
      <c r="B4626">
        <v>1099.7727543128999</v>
      </c>
      <c r="C4626" s="1">
        <f t="shared" si="1374"/>
        <v>3.453373967401685E-2</v>
      </c>
      <c r="D4626">
        <v>10.324390243902</v>
      </c>
      <c r="E4626">
        <v>0.23446999854169001</v>
      </c>
      <c r="F4626">
        <v>17</v>
      </c>
    </row>
    <row r="4627" spans="1:9" x14ac:dyDescent="0.25">
      <c r="A4627">
        <v>1063.5704937537</v>
      </c>
      <c r="B4627">
        <v>1105.4384295062</v>
      </c>
      <c r="C4627" s="1">
        <f t="shared" si="1374"/>
        <v>3.9365454380681397E-2</v>
      </c>
      <c r="D4627">
        <v>10.480487804878001</v>
      </c>
      <c r="E4627">
        <v>0.23865041403248</v>
      </c>
      <c r="F4627">
        <v>16</v>
      </c>
    </row>
    <row r="4628" spans="1:9" x14ac:dyDescent="0.25">
      <c r="A4628">
        <v>1057.5240928019</v>
      </c>
      <c r="B4628">
        <v>1107.2088042831999</v>
      </c>
      <c r="C4628" s="1">
        <f t="shared" si="1374"/>
        <v>4.6982108322147775E-2</v>
      </c>
      <c r="D4628">
        <v>10.375609756097999</v>
      </c>
      <c r="E4628">
        <v>0.23739324381581001</v>
      </c>
      <c r="F4628">
        <v>17</v>
      </c>
    </row>
    <row r="4629" spans="1:9" x14ac:dyDescent="0.25">
      <c r="A4629">
        <v>1068.0487804878001</v>
      </c>
      <c r="B4629">
        <v>1110.3676383105001</v>
      </c>
      <c r="C4629" s="1">
        <f t="shared" si="1374"/>
        <v>3.9622588963934779E-2</v>
      </c>
      <c r="D4629">
        <v>10.5</v>
      </c>
      <c r="E4629">
        <v>0.23794949853069999</v>
      </c>
      <c r="F4629">
        <v>16</v>
      </c>
    </row>
    <row r="4630" spans="1:9" x14ac:dyDescent="0.25">
      <c r="A4630">
        <v>1049.7810826888999</v>
      </c>
      <c r="B4630">
        <v>1097.6228435455</v>
      </c>
      <c r="C4630" s="1">
        <f t="shared" si="1374"/>
        <v>4.5573083422363325E-2</v>
      </c>
      <c r="D4630">
        <v>10.448780487804999</v>
      </c>
      <c r="E4630">
        <v>0.24157479122610001</v>
      </c>
      <c r="F4630">
        <v>17</v>
      </c>
    </row>
    <row r="4631" spans="1:9" x14ac:dyDescent="0.25">
      <c r="A4631">
        <v>1065.0731707317</v>
      </c>
      <c r="B4631">
        <v>1109.7965496728</v>
      </c>
      <c r="C4631" s="1">
        <f t="shared" si="1374"/>
        <v>4.1990898062313597E-2</v>
      </c>
      <c r="D4631">
        <v>10.4</v>
      </c>
      <c r="E4631">
        <v>0.23628934210781</v>
      </c>
      <c r="F4631">
        <v>16</v>
      </c>
    </row>
    <row r="4632" spans="1:9" x14ac:dyDescent="0.25">
      <c r="A4632">
        <v>1065.7085068412</v>
      </c>
      <c r="B4632">
        <v>1106.8602022606001</v>
      </c>
      <c r="C4632" s="1">
        <f t="shared" si="1374"/>
        <v>3.861440080024825E-2</v>
      </c>
      <c r="D4632">
        <v>10.59756097561</v>
      </c>
      <c r="E4632">
        <v>0.24113489769245</v>
      </c>
      <c r="F4632">
        <v>17</v>
      </c>
    </row>
    <row r="4633" spans="1:9" x14ac:dyDescent="0.25">
      <c r="A4633">
        <v>1070.7281380131001</v>
      </c>
      <c r="B4633">
        <v>1109.8905413443999</v>
      </c>
      <c r="C4633" s="1">
        <f t="shared" si="1374"/>
        <v>3.6575487223088787E-2</v>
      </c>
      <c r="D4633">
        <v>10.107317073171</v>
      </c>
      <c r="E4633">
        <v>0.22665926617078</v>
      </c>
      <c r="F4633">
        <v>16</v>
      </c>
    </row>
    <row r="4634" spans="1:9" x14ac:dyDescent="0.25">
      <c r="A4634">
        <v>1065.8013087448001</v>
      </c>
      <c r="B4634">
        <v>1109.2647233789</v>
      </c>
      <c r="C4634" s="1">
        <f t="shared" si="1374"/>
        <v>4.0780034962883516E-2</v>
      </c>
      <c r="D4634">
        <v>10.307317073170999</v>
      </c>
      <c r="E4634">
        <v>0.23333643732192999</v>
      </c>
      <c r="F4634">
        <v>17</v>
      </c>
    </row>
    <row r="4635" spans="1:9" x14ac:dyDescent="0.25">
      <c r="A4635">
        <v>1065.1195716835</v>
      </c>
      <c r="B4635">
        <v>1110.6258179654999</v>
      </c>
      <c r="C4635" s="1">
        <f t="shared" si="1374"/>
        <v>4.2724072950864889E-2</v>
      </c>
      <c r="D4635">
        <v>10.50487804878</v>
      </c>
      <c r="E4635">
        <v>0.23893517543532</v>
      </c>
      <c r="F4635">
        <v>16</v>
      </c>
    </row>
    <row r="4636" spans="1:9" x14ac:dyDescent="0.25">
      <c r="A4636">
        <v>1058.9922665080001</v>
      </c>
      <c r="B4636">
        <v>1091.5264723379</v>
      </c>
      <c r="C4636" s="1">
        <f t="shared" si="1374"/>
        <v>3.0721854029378992E-2</v>
      </c>
      <c r="D4636">
        <v>10.365853658537</v>
      </c>
      <c r="E4636">
        <v>0.23644308148608001</v>
      </c>
      <c r="F4636">
        <v>17</v>
      </c>
      <c r="H4636" t="s">
        <v>17</v>
      </c>
      <c r="I4636">
        <f t="shared" ref="I4636" si="1381">STDEVP(A4622:A4641)</f>
        <v>5.5072969193820978</v>
      </c>
    </row>
    <row r="4637" spans="1:9" x14ac:dyDescent="0.25">
      <c r="A4637">
        <v>1060.8090422368</v>
      </c>
      <c r="B4637">
        <v>1109.9333729923001</v>
      </c>
      <c r="C4637" s="1">
        <f t="shared" si="1374"/>
        <v>4.630836352216372E-2</v>
      </c>
      <c r="D4637">
        <v>10.241463414634</v>
      </c>
      <c r="E4637">
        <v>0.23264429522734001</v>
      </c>
      <c r="F4637">
        <v>16</v>
      </c>
      <c r="H4637" t="s">
        <v>18</v>
      </c>
      <c r="I4637">
        <f t="shared" ref="I4637" si="1382">STDEVP(B4622:B4641)</f>
        <v>6.1082560985260015</v>
      </c>
    </row>
    <row r="4638" spans="1:9" x14ac:dyDescent="0.25">
      <c r="A4638">
        <v>1050.258179655</v>
      </c>
      <c r="B4638">
        <v>1093.4289113622999</v>
      </c>
      <c r="C4638" s="1">
        <f t="shared" si="1374"/>
        <v>4.1104875490216131E-2</v>
      </c>
      <c r="D4638">
        <v>10.370731707317001</v>
      </c>
      <c r="E4638">
        <v>0.23923102231084001</v>
      </c>
      <c r="F4638">
        <v>17</v>
      </c>
      <c r="H4638" t="s">
        <v>19</v>
      </c>
      <c r="I4638">
        <f t="shared" ref="I4638" si="1383">STDEVP(C4622:C4641)</f>
        <v>5.3898605557067799E-3</v>
      </c>
    </row>
    <row r="4639" spans="1:9" x14ac:dyDescent="0.25">
      <c r="A4639">
        <v>1063.6240333134999</v>
      </c>
      <c r="B4639">
        <v>1111.5681142177</v>
      </c>
      <c r="C4639" s="1">
        <f t="shared" si="1374"/>
        <v>4.5076154169664928E-2</v>
      </c>
      <c r="D4639">
        <v>10.370731707317001</v>
      </c>
      <c r="E4639">
        <v>0.23589539003620999</v>
      </c>
      <c r="F4639">
        <v>16</v>
      </c>
      <c r="H4639" t="s">
        <v>20</v>
      </c>
      <c r="I4639">
        <f t="shared" ref="I4639" si="1384">STDEVP(D4622:D4641)</f>
        <v>0.12538246070132153</v>
      </c>
    </row>
    <row r="4640" spans="1:9" x14ac:dyDescent="0.25">
      <c r="A4640">
        <v>1060.6519928614</v>
      </c>
      <c r="B4640">
        <v>1104.3390838785999</v>
      </c>
      <c r="C4640" s="1">
        <f t="shared" si="1374"/>
        <v>4.1188902025575791E-2</v>
      </c>
      <c r="D4640">
        <v>10.363414634146</v>
      </c>
      <c r="E4640">
        <v>0.23600026907589999</v>
      </c>
      <c r="F4640">
        <v>17</v>
      </c>
      <c r="H4640" t="s">
        <v>21</v>
      </c>
      <c r="I4640">
        <f t="shared" ref="I4640" si="1385">STDEVP(E4622:E4641)</f>
        <v>3.9050774190669728E-3</v>
      </c>
    </row>
    <row r="4641" spans="1:9" x14ac:dyDescent="0.25">
      <c r="A4641">
        <v>1067.6513979773999</v>
      </c>
      <c r="B4641">
        <v>1096.5710886377001</v>
      </c>
      <c r="C4641" s="1">
        <f t="shared" si="1374"/>
        <v>2.708720347773319E-2</v>
      </c>
      <c r="D4641">
        <v>10.214634146341</v>
      </c>
      <c r="E4641">
        <v>0.23024822532986999</v>
      </c>
      <c r="F4641">
        <v>16</v>
      </c>
      <c r="H4641" t="s">
        <v>22</v>
      </c>
      <c r="I4641">
        <f t="shared" ref="I4641" si="1386">STDEVP(F4622:F4641)</f>
        <v>0.49749371855330993</v>
      </c>
    </row>
    <row r="4642" spans="1:9" x14ac:dyDescent="0.25">
      <c r="C4642" s="1" t="str">
        <f t="shared" si="1374"/>
        <v/>
      </c>
    </row>
    <row r="4643" spans="1:9" x14ac:dyDescent="0.25">
      <c r="A4643">
        <v>1588.2770083102</v>
      </c>
      <c r="B4643">
        <v>1653.5457063711999</v>
      </c>
      <c r="C4643" s="1">
        <f t="shared" si="1374"/>
        <v>4.1094026872831479E-2</v>
      </c>
      <c r="D4643">
        <v>14.736842105262999</v>
      </c>
      <c r="E4643">
        <v>0.21366404755977</v>
      </c>
      <c r="F4643">
        <v>93</v>
      </c>
    </row>
    <row r="4644" spans="1:9" x14ac:dyDescent="0.25">
      <c r="A4644">
        <v>1600.91966759</v>
      </c>
      <c r="B4644">
        <v>1677.4903047091</v>
      </c>
      <c r="C4644" s="1">
        <f t="shared" si="1374"/>
        <v>4.7829156371330228E-2</v>
      </c>
      <c r="D4644">
        <v>14.970760233918</v>
      </c>
      <c r="E4644">
        <v>0.21565650018752999</v>
      </c>
      <c r="F4644">
        <v>99</v>
      </c>
    </row>
    <row r="4645" spans="1:9" x14ac:dyDescent="0.25">
      <c r="A4645">
        <v>1595.8060941828001</v>
      </c>
      <c r="B4645">
        <v>1659.9113573407001</v>
      </c>
      <c r="C4645" s="1">
        <f t="shared" si="1374"/>
        <v>4.0171085567089371E-2</v>
      </c>
      <c r="D4645">
        <v>15.017543859649001</v>
      </c>
      <c r="E4645">
        <v>0.21715200136172</v>
      </c>
      <c r="F4645">
        <v>103</v>
      </c>
    </row>
    <row r="4646" spans="1:9" x14ac:dyDescent="0.25">
      <c r="A4646">
        <v>1568.6814404432</v>
      </c>
      <c r="B4646">
        <v>1676.4155124654001</v>
      </c>
      <c r="C4646" s="1">
        <f t="shared" si="1374"/>
        <v>6.8678107131656896E-2</v>
      </c>
      <c r="D4646">
        <v>14.163742690057999</v>
      </c>
      <c r="E4646">
        <v>0.20683730802889</v>
      </c>
      <c r="F4646">
        <v>103</v>
      </c>
    </row>
    <row r="4647" spans="1:9" x14ac:dyDescent="0.25">
      <c r="A4647">
        <v>1589.7894736841999</v>
      </c>
      <c r="B4647">
        <v>1689.7506925207999</v>
      </c>
      <c r="C4647" s="1">
        <f t="shared" si="1374"/>
        <v>6.2877016417116183E-2</v>
      </c>
      <c r="D4647">
        <v>15.111111111111001</v>
      </c>
      <c r="E4647">
        <v>0.21972238254897999</v>
      </c>
      <c r="F4647">
        <v>93</v>
      </c>
    </row>
    <row r="4648" spans="1:9" x14ac:dyDescent="0.25">
      <c r="A4648">
        <v>1590.6592797784001</v>
      </c>
      <c r="B4648">
        <v>1682.0277008309999</v>
      </c>
      <c r="C4648" s="1">
        <f t="shared" si="1374"/>
        <v>5.7440598507889629E-2</v>
      </c>
      <c r="D4648">
        <v>14.807017543860001</v>
      </c>
      <c r="E4648">
        <v>0.21430341054311</v>
      </c>
      <c r="F4648">
        <v>113</v>
      </c>
    </row>
    <row r="4649" spans="1:9" x14ac:dyDescent="0.25">
      <c r="A4649">
        <v>1590.8365650969999</v>
      </c>
      <c r="B4649">
        <v>1648.3545706371001</v>
      </c>
      <c r="C4649" s="1">
        <f t="shared" si="1374"/>
        <v>3.6155823170052059E-2</v>
      </c>
      <c r="D4649">
        <v>14.771929824560999</v>
      </c>
      <c r="E4649">
        <v>0.21372032201628</v>
      </c>
      <c r="F4649">
        <v>98</v>
      </c>
    </row>
    <row r="4650" spans="1:9" x14ac:dyDescent="0.25">
      <c r="A4650">
        <v>1588.1385041551</v>
      </c>
      <c r="B4650">
        <v>1649.6897506925</v>
      </c>
      <c r="C4650" s="1">
        <f t="shared" si="1374"/>
        <v>3.8756850473911086E-2</v>
      </c>
      <c r="D4650">
        <v>14.479532163743</v>
      </c>
      <c r="E4650">
        <v>0.20900069022946999</v>
      </c>
      <c r="F4650">
        <v>120</v>
      </c>
    </row>
    <row r="4651" spans="1:9" x14ac:dyDescent="0.25">
      <c r="A4651">
        <v>1580.6980609417999</v>
      </c>
      <c r="B4651">
        <v>1653.9390581717</v>
      </c>
      <c r="C4651" s="1">
        <f t="shared" si="1374"/>
        <v>4.6334590419034427E-2</v>
      </c>
      <c r="D4651">
        <v>14.292397660819001</v>
      </c>
      <c r="E4651">
        <v>0.20694396937455001</v>
      </c>
      <c r="F4651">
        <v>99</v>
      </c>
    </row>
    <row r="4652" spans="1:9" x14ac:dyDescent="0.25">
      <c r="A4652">
        <v>1586.4210526316001</v>
      </c>
      <c r="B4652">
        <v>1667.6288088643</v>
      </c>
      <c r="C4652" s="1">
        <f t="shared" si="1374"/>
        <v>5.1189283007805564E-2</v>
      </c>
      <c r="D4652">
        <v>14.666666666667</v>
      </c>
      <c r="E4652">
        <v>0.21283775094578999</v>
      </c>
      <c r="F4652">
        <v>111</v>
      </c>
    </row>
    <row r="4653" spans="1:9" x14ac:dyDescent="0.25">
      <c r="A4653">
        <v>1590.3268698060999</v>
      </c>
      <c r="B4653">
        <v>1660.5484764543</v>
      </c>
      <c r="C4653" s="1">
        <f t="shared" si="1374"/>
        <v>4.4155455071171579E-2</v>
      </c>
      <c r="D4653">
        <v>14.678362573098999</v>
      </c>
      <c r="E4653">
        <v>0.21210734496048</v>
      </c>
      <c r="F4653">
        <v>110</v>
      </c>
    </row>
    <row r="4654" spans="1:9" x14ac:dyDescent="0.25">
      <c r="A4654">
        <v>1583.3795013849999</v>
      </c>
      <c r="B4654">
        <v>1673.3185595568</v>
      </c>
      <c r="C4654" s="1">
        <f t="shared" si="1374"/>
        <v>5.6801959412212444E-2</v>
      </c>
      <c r="D4654">
        <v>14.900584795322001</v>
      </c>
      <c r="E4654">
        <v>0.2169873802899</v>
      </c>
      <c r="F4654">
        <v>106</v>
      </c>
    </row>
    <row r="4655" spans="1:9" x14ac:dyDescent="0.25">
      <c r="A4655">
        <v>1603.6731301939001</v>
      </c>
      <c r="B4655">
        <v>1665.4792243766999</v>
      </c>
      <c r="C4655" s="1">
        <f t="shared" si="1374"/>
        <v>3.8540331579495213E-2</v>
      </c>
      <c r="D4655">
        <v>14.654970760234001</v>
      </c>
      <c r="E4655">
        <v>0.20970867945975999</v>
      </c>
      <c r="F4655">
        <v>91</v>
      </c>
    </row>
    <row r="4656" spans="1:9" x14ac:dyDescent="0.25">
      <c r="A4656">
        <v>1596.9473684211</v>
      </c>
      <c r="B4656">
        <v>1680.271468144</v>
      </c>
      <c r="C4656" s="1">
        <f t="shared" si="1374"/>
        <v>5.2177110761816969E-2</v>
      </c>
      <c r="D4656">
        <v>14.888888888888999</v>
      </c>
      <c r="E4656">
        <v>0.21494038510544999</v>
      </c>
      <c r="F4656">
        <v>97</v>
      </c>
    </row>
    <row r="4657" spans="1:9" x14ac:dyDescent="0.25">
      <c r="A4657">
        <v>1614.7590027701001</v>
      </c>
      <c r="B4657">
        <v>1674.4598337949999</v>
      </c>
      <c r="C4657" s="1">
        <f t="shared" si="1374"/>
        <v>3.6971975955844671E-2</v>
      </c>
      <c r="D4657">
        <v>14.690058479532</v>
      </c>
      <c r="E4657">
        <v>0.20835912920758001</v>
      </c>
      <c r="F4657">
        <v>99</v>
      </c>
      <c r="H4657" t="s">
        <v>17</v>
      </c>
      <c r="I4657">
        <f t="shared" ref="I4657" si="1387">STDEVP(A4643:A4662)</f>
        <v>13.714715880402986</v>
      </c>
    </row>
    <row r="4658" spans="1:9" x14ac:dyDescent="0.25">
      <c r="A4658">
        <v>1623.1634349030001</v>
      </c>
      <c r="B4658">
        <v>1687.4016620498001</v>
      </c>
      <c r="C4658" s="1">
        <f t="shared" si="1374"/>
        <v>3.9575945197803719E-2</v>
      </c>
      <c r="D4658">
        <v>15.005847953216</v>
      </c>
      <c r="E4658">
        <v>0.21269776900573001</v>
      </c>
      <c r="F4658">
        <v>89</v>
      </c>
      <c r="H4658" t="s">
        <v>18</v>
      </c>
      <c r="I4658">
        <f t="shared" ref="I4658" si="1388">STDEVP(B4643:B4662)</f>
        <v>12.048732777391834</v>
      </c>
    </row>
    <row r="4659" spans="1:9" x14ac:dyDescent="0.25">
      <c r="A4659">
        <v>1577.5235457064</v>
      </c>
      <c r="B4659">
        <v>1668.0110803324001</v>
      </c>
      <c r="C4659" s="1">
        <f t="shared" si="1374"/>
        <v>5.7360497009558475E-2</v>
      </c>
      <c r="D4659">
        <v>14.385964912281</v>
      </c>
      <c r="E4659">
        <v>0.20914038669938001</v>
      </c>
      <c r="F4659">
        <v>87</v>
      </c>
      <c r="H4659" t="s">
        <v>19</v>
      </c>
      <c r="I4659">
        <f t="shared" ref="I4659" si="1389">STDEVP(C4643:C4662)</f>
        <v>9.7033050267181214E-3</v>
      </c>
    </row>
    <row r="4660" spans="1:9" x14ac:dyDescent="0.25">
      <c r="A4660">
        <v>1570.5761772853</v>
      </c>
      <c r="B4660">
        <v>1672.9639889196001</v>
      </c>
      <c r="C4660" s="1">
        <f t="shared" si="1374"/>
        <v>6.5191241988194815E-2</v>
      </c>
      <c r="D4660">
        <v>14.608187134503</v>
      </c>
      <c r="E4660">
        <v>0.21433218903288001</v>
      </c>
      <c r="F4660">
        <v>105</v>
      </c>
      <c r="H4660" t="s">
        <v>20</v>
      </c>
      <c r="I4660">
        <f t="shared" ref="I4660" si="1390">STDEVP(D4643:D4662)</f>
        <v>0.303113016496242</v>
      </c>
    </row>
    <row r="4661" spans="1:9" x14ac:dyDescent="0.25">
      <c r="A4661">
        <v>1579.4238227147</v>
      </c>
      <c r="B4661">
        <v>1660.9861495845</v>
      </c>
      <c r="C4661" s="1">
        <f t="shared" si="1374"/>
        <v>5.16405575861274E-2</v>
      </c>
      <c r="D4661">
        <v>14.502923976608001</v>
      </c>
      <c r="E4661">
        <v>0.21063290012984001</v>
      </c>
      <c r="F4661">
        <v>93</v>
      </c>
      <c r="H4661" t="s">
        <v>21</v>
      </c>
      <c r="I4661">
        <f t="shared" ref="I4661" si="1391">STDEVP(E4643:E4662)</f>
        <v>4.2092014152561533E-3</v>
      </c>
    </row>
    <row r="4662" spans="1:9" x14ac:dyDescent="0.25">
      <c r="A4662">
        <v>1611.4515235457</v>
      </c>
      <c r="B4662">
        <v>1681.1855955678</v>
      </c>
      <c r="C4662" s="1">
        <f t="shared" si="1374"/>
        <v>4.327407371750347E-2</v>
      </c>
      <c r="D4662">
        <v>15.532163742690001</v>
      </c>
      <c r="E4662">
        <v>0.22380063230281999</v>
      </c>
      <c r="F4662">
        <v>117</v>
      </c>
      <c r="H4662" t="s">
        <v>22</v>
      </c>
      <c r="I4662">
        <f t="shared" ref="I4662" si="1392">STDEVP(F4643:F4662)</f>
        <v>9.1054928477265857</v>
      </c>
    </row>
    <row r="4663" spans="1:9" x14ac:dyDescent="0.25">
      <c r="C4663" s="1" t="str">
        <f t="shared" si="1374"/>
        <v/>
      </c>
    </row>
    <row r="4664" spans="1:9" x14ac:dyDescent="0.25">
      <c r="A4664">
        <v>1781.2</v>
      </c>
      <c r="B4664">
        <v>1811.1075555555001</v>
      </c>
      <c r="C4664" s="1">
        <f t="shared" si="1374"/>
        <v>1.6790677944924726E-2</v>
      </c>
      <c r="D4664">
        <v>16.194594594594999</v>
      </c>
      <c r="E4664">
        <v>0.21893929900433001</v>
      </c>
      <c r="F4664">
        <v>53</v>
      </c>
    </row>
    <row r="4665" spans="1:9" x14ac:dyDescent="0.25">
      <c r="A4665">
        <v>1764.96</v>
      </c>
      <c r="B4665">
        <v>1800.0284444444001</v>
      </c>
      <c r="C4665" s="1">
        <f t="shared" si="1374"/>
        <v>1.9869257345435543E-2</v>
      </c>
      <c r="D4665">
        <v>16.075675675675999</v>
      </c>
      <c r="E4665">
        <v>0.21940530230156999</v>
      </c>
      <c r="F4665">
        <v>59</v>
      </c>
    </row>
    <row r="4666" spans="1:9" x14ac:dyDescent="0.25">
      <c r="A4666">
        <v>1780.3804444443999</v>
      </c>
      <c r="B4666">
        <v>1813.9448888889001</v>
      </c>
      <c r="C4666" s="1">
        <f t="shared" si="1374"/>
        <v>1.885240008630551E-2</v>
      </c>
      <c r="D4666">
        <v>16.481441441441</v>
      </c>
      <c r="E4666">
        <v>0.22374484574808001</v>
      </c>
      <c r="F4666">
        <v>57</v>
      </c>
    </row>
    <row r="4667" spans="1:9" x14ac:dyDescent="0.25">
      <c r="A4667">
        <v>1767.2284444444001</v>
      </c>
      <c r="B4667">
        <v>1809.8471111111</v>
      </c>
      <c r="C4667" s="1">
        <f t="shared" si="1374"/>
        <v>2.411610496689276E-2</v>
      </c>
      <c r="D4667">
        <v>16.228468468468002</v>
      </c>
      <c r="E4667">
        <v>0.22152423938035001</v>
      </c>
      <c r="F4667">
        <v>57</v>
      </c>
    </row>
    <row r="4668" spans="1:9" x14ac:dyDescent="0.25">
      <c r="A4668">
        <v>1773.712</v>
      </c>
      <c r="B4668">
        <v>1806.0071111110999</v>
      </c>
      <c r="C4668" s="1">
        <f t="shared" si="1374"/>
        <v>1.820764087467408E-2</v>
      </c>
      <c r="D4668">
        <v>16.393513513514002</v>
      </c>
      <c r="E4668">
        <v>0.22347206849415999</v>
      </c>
      <c r="F4668">
        <v>66</v>
      </c>
    </row>
    <row r="4669" spans="1:9" x14ac:dyDescent="0.25">
      <c r="A4669">
        <v>1775.2124444444</v>
      </c>
      <c r="B4669">
        <v>1811.184</v>
      </c>
      <c r="C4669" s="1">
        <f t="shared" si="1374"/>
        <v>2.0263239855136339E-2</v>
      </c>
      <c r="D4669">
        <v>16.658738738739</v>
      </c>
      <c r="E4669">
        <v>0.22749447565624001</v>
      </c>
      <c r="F4669">
        <v>55</v>
      </c>
    </row>
    <row r="4670" spans="1:9" x14ac:dyDescent="0.25">
      <c r="A4670">
        <v>1772.1742222221999</v>
      </c>
      <c r="B4670">
        <v>1808.0888888889001</v>
      </c>
      <c r="C4670" s="1">
        <f t="shared" si="1374"/>
        <v>2.0265878047625252E-2</v>
      </c>
      <c r="D4670">
        <v>16.087207207207001</v>
      </c>
      <c r="E4670">
        <v>0.21848480648419</v>
      </c>
      <c r="F4670">
        <v>54</v>
      </c>
    </row>
    <row r="4671" spans="1:9" x14ac:dyDescent="0.25">
      <c r="A4671">
        <v>1766.5884444444</v>
      </c>
      <c r="B4671">
        <v>1793.008</v>
      </c>
      <c r="C4671" s="1">
        <f t="shared" si="1374"/>
        <v>1.4955127572969573E-2</v>
      </c>
      <c r="D4671">
        <v>16.37981981982</v>
      </c>
      <c r="E4671">
        <v>0.22415372017953</v>
      </c>
      <c r="F4671">
        <v>56</v>
      </c>
    </row>
    <row r="4672" spans="1:9" x14ac:dyDescent="0.25">
      <c r="A4672">
        <v>1788.2488888889</v>
      </c>
      <c r="B4672">
        <v>1817.1377777778</v>
      </c>
      <c r="C4672" s="1">
        <f t="shared" si="1374"/>
        <v>1.6154847945606621E-2</v>
      </c>
      <c r="D4672">
        <v>16.493693693693999</v>
      </c>
      <c r="E4672">
        <v>0.22286028851647</v>
      </c>
      <c r="F4672">
        <v>59</v>
      </c>
    </row>
    <row r="4673" spans="1:9" x14ac:dyDescent="0.25">
      <c r="A4673">
        <v>1777.9235555555999</v>
      </c>
      <c r="B4673">
        <v>1811.8862222222001</v>
      </c>
      <c r="C4673" s="1">
        <f t="shared" si="1374"/>
        <v>1.9102433600406865E-2</v>
      </c>
      <c r="D4673">
        <v>16.392072072072001</v>
      </c>
      <c r="E4673">
        <v>0.22258010393659</v>
      </c>
      <c r="F4673">
        <v>62</v>
      </c>
    </row>
    <row r="4674" spans="1:9" x14ac:dyDescent="0.25">
      <c r="A4674">
        <v>1788.4</v>
      </c>
      <c r="B4674">
        <v>1817.2195555554999</v>
      </c>
      <c r="C4674" s="1">
        <f t="shared" ref="C4674:C4737" si="1393">IFERROR((B4674/A4674)-1,"")</f>
        <v>1.6114714580351075E-2</v>
      </c>
      <c r="D4674">
        <v>16.335135135135001</v>
      </c>
      <c r="E4674">
        <v>0.22016896499550001</v>
      </c>
      <c r="F4674">
        <v>53</v>
      </c>
    </row>
    <row r="4675" spans="1:9" x14ac:dyDescent="0.25">
      <c r="A4675">
        <v>1781.3688888889001</v>
      </c>
      <c r="B4675">
        <v>1817.6355555555001</v>
      </c>
      <c r="C4675" s="1">
        <f t="shared" si="1393"/>
        <v>2.0358875072316263E-2</v>
      </c>
      <c r="D4675">
        <v>16.439639639639999</v>
      </c>
      <c r="E4675">
        <v>0.22304828693744999</v>
      </c>
      <c r="F4675">
        <v>59</v>
      </c>
    </row>
    <row r="4676" spans="1:9" x14ac:dyDescent="0.25">
      <c r="A4676">
        <v>1775.4097777777999</v>
      </c>
      <c r="B4676">
        <v>1801.9715555554999</v>
      </c>
      <c r="C4676" s="1">
        <f t="shared" si="1393"/>
        <v>1.4960927955993464E-2</v>
      </c>
      <c r="D4676">
        <v>16.559279279279</v>
      </c>
      <c r="E4676">
        <v>0.22580319509921001</v>
      </c>
      <c r="F4676">
        <v>52</v>
      </c>
    </row>
    <row r="4677" spans="1:9" x14ac:dyDescent="0.25">
      <c r="A4677">
        <v>1772.9795555556</v>
      </c>
      <c r="B4677">
        <v>1809.6533333333</v>
      </c>
      <c r="C4677" s="1">
        <f t="shared" si="1393"/>
        <v>2.0684828351676954E-2</v>
      </c>
      <c r="D4677">
        <v>16.383423423423</v>
      </c>
      <c r="E4677">
        <v>0.22340918808078999</v>
      </c>
      <c r="F4677">
        <v>58</v>
      </c>
    </row>
    <row r="4678" spans="1:9" x14ac:dyDescent="0.25">
      <c r="A4678">
        <v>1772.4871111110999</v>
      </c>
      <c r="B4678">
        <v>1807.5946666667</v>
      </c>
      <c r="C4678" s="1">
        <f t="shared" si="1393"/>
        <v>1.9806945469743154E-2</v>
      </c>
      <c r="D4678">
        <v>16.286846846846998</v>
      </c>
      <c r="E4678">
        <v>0.22173336792618001</v>
      </c>
      <c r="F4678">
        <v>53</v>
      </c>
      <c r="H4678" t="s">
        <v>17</v>
      </c>
      <c r="I4678">
        <f t="shared" ref="I4678" si="1394">STDEVP(A4664:A4683)</f>
        <v>6.0855837511432158</v>
      </c>
    </row>
    <row r="4679" spans="1:9" x14ac:dyDescent="0.25">
      <c r="A4679">
        <v>1775.8968888889001</v>
      </c>
      <c r="B4679">
        <v>1806.2417777778001</v>
      </c>
      <c r="C4679" s="1">
        <f t="shared" si="1393"/>
        <v>1.7087078128666278E-2</v>
      </c>
      <c r="D4679">
        <v>16.262342342341999</v>
      </c>
      <c r="E4679">
        <v>0.22076156759335</v>
      </c>
      <c r="F4679">
        <v>59</v>
      </c>
      <c r="H4679" t="s">
        <v>18</v>
      </c>
      <c r="I4679">
        <f t="shared" ref="I4679" si="1395">STDEVP(B4664:B4683)</f>
        <v>6.4471752307730057</v>
      </c>
    </row>
    <row r="4680" spans="1:9" x14ac:dyDescent="0.25">
      <c r="A4680">
        <v>1776.8035555556</v>
      </c>
      <c r="B4680">
        <v>1809.4151111111</v>
      </c>
      <c r="C4680" s="1">
        <f t="shared" si="1393"/>
        <v>1.8354058023765329E-2</v>
      </c>
      <c r="D4680">
        <v>16.435315315314998</v>
      </c>
      <c r="E4680">
        <v>0.22375470808726</v>
      </c>
      <c r="F4680">
        <v>61</v>
      </c>
      <c r="H4680" t="s">
        <v>19</v>
      </c>
      <c r="I4680">
        <f t="shared" ref="I4680" si="1396">STDEVP(C4664:C4683)</f>
        <v>2.4715949314368219E-3</v>
      </c>
    </row>
    <row r="4681" spans="1:9" x14ac:dyDescent="0.25">
      <c r="A4681">
        <v>1778.8444444444001</v>
      </c>
      <c r="B4681">
        <v>1810.9493333333</v>
      </c>
      <c r="C4681" s="1">
        <f t="shared" si="1393"/>
        <v>1.8048171097348353E-2</v>
      </c>
      <c r="D4681">
        <v>16.598198198197998</v>
      </c>
      <c r="E4681">
        <v>0.22589810447155001</v>
      </c>
      <c r="F4681">
        <v>62</v>
      </c>
      <c r="H4681" t="s">
        <v>20</v>
      </c>
      <c r="I4681">
        <f t="shared" ref="I4681" si="1397">STDEVP(D4664:D4683)</f>
        <v>0.15353436816430485</v>
      </c>
    </row>
    <row r="4682" spans="1:9" x14ac:dyDescent="0.25">
      <c r="A4682">
        <v>1772.1937777778001</v>
      </c>
      <c r="B4682">
        <v>1804.0462222222</v>
      </c>
      <c r="C4682" s="1">
        <f t="shared" si="1393"/>
        <v>1.7973454620939133E-2</v>
      </c>
      <c r="D4682">
        <v>16.211171171170999</v>
      </c>
      <c r="E4682">
        <v>0.22052641110702001</v>
      </c>
      <c r="F4682">
        <v>60</v>
      </c>
      <c r="H4682" t="s">
        <v>21</v>
      </c>
      <c r="I4682">
        <f t="shared" ref="I4682" si="1398">STDEVP(E4664:E4683)</f>
        <v>2.3211928283601016E-3</v>
      </c>
    </row>
    <row r="4683" spans="1:9" x14ac:dyDescent="0.25">
      <c r="A4683">
        <v>1773.5093333333</v>
      </c>
      <c r="B4683">
        <v>1796.3413333333001</v>
      </c>
      <c r="C4683" s="1">
        <f t="shared" si="1393"/>
        <v>1.2873910258531129E-2</v>
      </c>
      <c r="D4683">
        <v>16.337297297296999</v>
      </c>
      <c r="E4683">
        <v>0.22235498288721001</v>
      </c>
      <c r="F4683">
        <v>57</v>
      </c>
      <c r="H4683" t="s">
        <v>22</v>
      </c>
      <c r="I4683">
        <f t="shared" ref="I4683" si="1399">STDEVP(F4664:F4683)</f>
        <v>3.5552777669262361</v>
      </c>
    </row>
    <row r="4684" spans="1:9" x14ac:dyDescent="0.25">
      <c r="C4684" s="1" t="str">
        <f t="shared" si="1393"/>
        <v/>
      </c>
    </row>
    <row r="4685" spans="1:9" x14ac:dyDescent="0.25">
      <c r="A4685">
        <v>601.80246913580004</v>
      </c>
      <c r="B4685">
        <v>642.43209876543006</v>
      </c>
      <c r="C4685" s="1">
        <f t="shared" si="1393"/>
        <v>6.7513231854922306E-2</v>
      </c>
      <c r="D4685">
        <v>11.307189542484</v>
      </c>
      <c r="E4685">
        <v>0.55380605455908005</v>
      </c>
      <c r="F4685">
        <v>12</v>
      </c>
    </row>
    <row r="4686" spans="1:9" x14ac:dyDescent="0.25">
      <c r="A4686">
        <v>610.98765432099003</v>
      </c>
      <c r="B4686">
        <v>646.41975308641997</v>
      </c>
      <c r="C4686" s="1">
        <f t="shared" si="1393"/>
        <v>5.7991513437054332E-2</v>
      </c>
      <c r="D4686">
        <v>11.346405228758</v>
      </c>
      <c r="E4686">
        <v>0.54418353634718997</v>
      </c>
      <c r="F4686">
        <v>12</v>
      </c>
    </row>
    <row r="4687" spans="1:9" x14ac:dyDescent="0.25">
      <c r="A4687">
        <v>590.23456790122998</v>
      </c>
      <c r="B4687">
        <v>642.56790123456005</v>
      </c>
      <c r="C4687" s="1">
        <f t="shared" si="1393"/>
        <v>8.8665314062201128E-2</v>
      </c>
      <c r="D4687">
        <v>11.006535947712001</v>
      </c>
      <c r="E4687">
        <v>0.54545962737635001</v>
      </c>
      <c r="F4687">
        <v>12</v>
      </c>
    </row>
    <row r="4688" spans="1:9" x14ac:dyDescent="0.25">
      <c r="A4688">
        <v>608.17283950617002</v>
      </c>
      <c r="B4688">
        <v>649.38271604937995</v>
      </c>
      <c r="C4688" s="1">
        <f t="shared" si="1393"/>
        <v>6.7760139661402707E-2</v>
      </c>
      <c r="D4688">
        <v>11.032679738562001</v>
      </c>
      <c r="E4688">
        <v>0.52381332679876003</v>
      </c>
      <c r="F4688">
        <v>12</v>
      </c>
    </row>
    <row r="4689" spans="1:9" x14ac:dyDescent="0.25">
      <c r="A4689">
        <v>584.56790123456994</v>
      </c>
      <c r="B4689">
        <v>627.59259259258999</v>
      </c>
      <c r="C4689" s="1">
        <f t="shared" si="1393"/>
        <v>7.3600844772959029E-2</v>
      </c>
      <c r="D4689">
        <v>10.653594771242</v>
      </c>
      <c r="E4689">
        <v>0.52829828814028001</v>
      </c>
      <c r="F4689">
        <v>12</v>
      </c>
    </row>
    <row r="4690" spans="1:9" x14ac:dyDescent="0.25">
      <c r="A4690">
        <v>598.55555555555998</v>
      </c>
      <c r="B4690">
        <v>645.98765432098003</v>
      </c>
      <c r="C4690" s="1">
        <f t="shared" si="1393"/>
        <v>7.9244271187818294E-2</v>
      </c>
      <c r="D4690">
        <v>10.941176470587999</v>
      </c>
      <c r="E4690">
        <v>0.52862689934985996</v>
      </c>
      <c r="F4690">
        <v>12</v>
      </c>
    </row>
    <row r="4691" spans="1:9" x14ac:dyDescent="0.25">
      <c r="A4691">
        <v>598.46913580246996</v>
      </c>
      <c r="B4691">
        <v>638.65432098764995</v>
      </c>
      <c r="C4691" s="1">
        <f t="shared" si="1393"/>
        <v>6.7146629259831059E-2</v>
      </c>
      <c r="D4691">
        <v>10.83660130719</v>
      </c>
      <c r="E4691">
        <v>0.52138898230839004</v>
      </c>
      <c r="F4691">
        <v>12</v>
      </c>
    </row>
    <row r="4692" spans="1:9" x14ac:dyDescent="0.25">
      <c r="A4692">
        <v>583.28395061727997</v>
      </c>
      <c r="B4692">
        <v>635.29629629629005</v>
      </c>
      <c r="C4692" s="1">
        <f t="shared" si="1393"/>
        <v>8.9171570080003537E-2</v>
      </c>
      <c r="D4692">
        <v>11.150326797386001</v>
      </c>
      <c r="E4692">
        <v>0.56699509625553002</v>
      </c>
      <c r="F4692">
        <v>12</v>
      </c>
    </row>
    <row r="4693" spans="1:9" x14ac:dyDescent="0.25">
      <c r="A4693">
        <v>583.35802469136001</v>
      </c>
      <c r="B4693">
        <v>647.01234567900997</v>
      </c>
      <c r="C4693" s="1">
        <f t="shared" si="1393"/>
        <v>0.10911707440954088</v>
      </c>
      <c r="D4693">
        <v>10.601307189542</v>
      </c>
      <c r="E4693">
        <v>0.52600680386355003</v>
      </c>
      <c r="F4693">
        <v>12</v>
      </c>
    </row>
    <row r="4694" spans="1:9" x14ac:dyDescent="0.25">
      <c r="A4694">
        <v>589.61728395062005</v>
      </c>
      <c r="B4694">
        <v>647.28395061727997</v>
      </c>
      <c r="C4694" s="1">
        <f t="shared" si="1393"/>
        <v>9.7803555350812088E-2</v>
      </c>
      <c r="D4694">
        <v>10.209150326796999</v>
      </c>
      <c r="E4694">
        <v>0.48787086683450998</v>
      </c>
      <c r="F4694">
        <v>12</v>
      </c>
    </row>
    <row r="4695" spans="1:9" x14ac:dyDescent="0.25">
      <c r="A4695">
        <v>591.46913580246996</v>
      </c>
      <c r="B4695">
        <v>631.18518518517999</v>
      </c>
      <c r="C4695" s="1">
        <f t="shared" si="1393"/>
        <v>6.7148135005938414E-2</v>
      </c>
      <c r="D4695">
        <v>10.954248366012999</v>
      </c>
      <c r="E4695">
        <v>0.54023519622873994</v>
      </c>
      <c r="F4695">
        <v>12</v>
      </c>
    </row>
    <row r="4696" spans="1:9" x14ac:dyDescent="0.25">
      <c r="A4696">
        <v>594.04938271604999</v>
      </c>
      <c r="B4696">
        <v>641.87654320986996</v>
      </c>
      <c r="C4696" s="1">
        <f t="shared" si="1393"/>
        <v>8.0510411904056944E-2</v>
      </c>
      <c r="D4696">
        <v>11.084967320261001</v>
      </c>
      <c r="E4696">
        <v>0.54565386718412001</v>
      </c>
      <c r="F4696">
        <v>12</v>
      </c>
    </row>
    <row r="4697" spans="1:9" x14ac:dyDescent="0.25">
      <c r="A4697">
        <v>581.58024691358003</v>
      </c>
      <c r="B4697">
        <v>635.24691358023995</v>
      </c>
      <c r="C4697" s="1">
        <f t="shared" si="1393"/>
        <v>9.2277320200379043E-2</v>
      </c>
      <c r="D4697">
        <v>10.83660130719</v>
      </c>
      <c r="E4697">
        <v>0.54558287760155999</v>
      </c>
      <c r="F4697">
        <v>12</v>
      </c>
    </row>
    <row r="4698" spans="1:9" x14ac:dyDescent="0.25">
      <c r="A4698">
        <v>588.03703703704002</v>
      </c>
      <c r="B4698">
        <v>632.95061728395001</v>
      </c>
      <c r="C4698" s="1">
        <f t="shared" si="1393"/>
        <v>7.6378828913935992E-2</v>
      </c>
      <c r="D4698">
        <v>10.78431372549</v>
      </c>
      <c r="E4698">
        <v>0.53205035181582006</v>
      </c>
      <c r="F4698">
        <v>13</v>
      </c>
    </row>
    <row r="4699" spans="1:9" x14ac:dyDescent="0.25">
      <c r="A4699">
        <v>593.79012345678996</v>
      </c>
      <c r="B4699">
        <v>643.34567901234004</v>
      </c>
      <c r="C4699" s="1">
        <f t="shared" si="1393"/>
        <v>8.3456348628803356E-2</v>
      </c>
      <c r="D4699">
        <v>11.006535947712001</v>
      </c>
      <c r="E4699">
        <v>0.54082372557491998</v>
      </c>
      <c r="F4699">
        <v>12</v>
      </c>
      <c r="H4699" t="s">
        <v>17</v>
      </c>
      <c r="I4699">
        <f t="shared" ref="I4699" si="1400">STDEVP(A4685:A4704)</f>
        <v>8.1833349863150655</v>
      </c>
    </row>
    <row r="4700" spans="1:9" x14ac:dyDescent="0.25">
      <c r="A4700">
        <v>579.22222222222001</v>
      </c>
      <c r="B4700">
        <v>643.08641975308001</v>
      </c>
      <c r="C4700" s="1">
        <f t="shared" si="1393"/>
        <v>0.11025854167998128</v>
      </c>
      <c r="D4700">
        <v>10.117647058824</v>
      </c>
      <c r="E4700">
        <v>0.49511026360847998</v>
      </c>
      <c r="F4700">
        <v>12</v>
      </c>
      <c r="H4700" t="s">
        <v>18</v>
      </c>
      <c r="I4700">
        <f t="shared" ref="I4700" si="1401">STDEVP(B4685:B4704)</f>
        <v>6.245716593464925</v>
      </c>
    </row>
    <row r="4701" spans="1:9" x14ac:dyDescent="0.25">
      <c r="A4701">
        <v>595.41975308641997</v>
      </c>
      <c r="B4701">
        <v>644.19753086418996</v>
      </c>
      <c r="C4701" s="1">
        <f t="shared" si="1393"/>
        <v>8.1921665388031473E-2</v>
      </c>
      <c r="D4701">
        <v>11.281045751634</v>
      </c>
      <c r="E4701">
        <v>0.55998849540080997</v>
      </c>
      <c r="F4701">
        <v>12</v>
      </c>
      <c r="H4701" t="s">
        <v>19</v>
      </c>
      <c r="I4701">
        <f t="shared" ref="I4701" si="1402">STDEVP(C4685:C4704)</f>
        <v>1.437558218880643E-2</v>
      </c>
    </row>
    <row r="4702" spans="1:9" x14ac:dyDescent="0.25">
      <c r="A4702">
        <v>595.07407407407004</v>
      </c>
      <c r="B4702">
        <v>645.08641975308001</v>
      </c>
      <c r="C4702" s="1">
        <f t="shared" si="1393"/>
        <v>8.4043899504156139E-2</v>
      </c>
      <c r="D4702">
        <v>11.333333333333</v>
      </c>
      <c r="E4702">
        <v>0.56441965341980005</v>
      </c>
      <c r="F4702">
        <v>12</v>
      </c>
      <c r="H4702" t="s">
        <v>20</v>
      </c>
      <c r="I4702">
        <f t="shared" ref="I4702" si="1403">STDEVP(D4685:D4704)</f>
        <v>0.33265341395903975</v>
      </c>
    </row>
    <row r="4703" spans="1:9" x14ac:dyDescent="0.25">
      <c r="A4703">
        <v>596.17283950617002</v>
      </c>
      <c r="B4703">
        <v>634.67901234568001</v>
      </c>
      <c r="C4703" s="1">
        <f t="shared" si="1393"/>
        <v>6.4588941809905265E-2</v>
      </c>
      <c r="D4703">
        <v>11.150326797386001</v>
      </c>
      <c r="E4703">
        <v>0.54922464153947004</v>
      </c>
      <c r="F4703">
        <v>12</v>
      </c>
      <c r="H4703" t="s">
        <v>21</v>
      </c>
      <c r="I4703">
        <f t="shared" ref="I4703" si="1404">STDEVP(E4685:E4704)</f>
        <v>2.0096987327751267E-2</v>
      </c>
    </row>
    <row r="4704" spans="1:9" x14ac:dyDescent="0.25">
      <c r="A4704">
        <v>593.91358024690999</v>
      </c>
      <c r="B4704">
        <v>631.17283950617002</v>
      </c>
      <c r="C4704" s="1">
        <f t="shared" si="1393"/>
        <v>6.2735152888354628E-2</v>
      </c>
      <c r="D4704">
        <v>11.18954248366</v>
      </c>
      <c r="E4704">
        <v>0.55436493255590003</v>
      </c>
      <c r="F4704">
        <v>12</v>
      </c>
      <c r="H4704" t="s">
        <v>22</v>
      </c>
      <c r="I4704">
        <f t="shared" ref="I4704" si="1405">STDEVP(F4685:F4704)</f>
        <v>0.21794494717703367</v>
      </c>
    </row>
    <row r="4705" spans="1:9" x14ac:dyDescent="0.25">
      <c r="C4705" s="1" t="str">
        <f t="shared" si="1393"/>
        <v/>
      </c>
    </row>
    <row r="4706" spans="1:9" x14ac:dyDescent="0.25">
      <c r="A4706">
        <v>3682.7901234567998</v>
      </c>
      <c r="B4706">
        <v>3748.1543209877</v>
      </c>
      <c r="C4706" s="1">
        <f t="shared" si="1393"/>
        <v>1.7748553498766029E-2</v>
      </c>
      <c r="D4706">
        <v>21.863492063492</v>
      </c>
      <c r="E4706">
        <v>0.13053372448941</v>
      </c>
      <c r="F4706">
        <v>39</v>
      </c>
    </row>
    <row r="4707" spans="1:9" x14ac:dyDescent="0.25">
      <c r="A4707">
        <v>3673.1790123456999</v>
      </c>
      <c r="B4707">
        <v>3748.5370370371002</v>
      </c>
      <c r="C4707" s="1">
        <f t="shared" si="1393"/>
        <v>2.0515750644909847E-2</v>
      </c>
      <c r="D4707">
        <v>21.749206349205998</v>
      </c>
      <c r="E4707">
        <v>0.13017613636146999</v>
      </c>
      <c r="F4707">
        <v>41</v>
      </c>
    </row>
    <row r="4708" spans="1:9" x14ac:dyDescent="0.25">
      <c r="A4708">
        <v>3644.0432098765</v>
      </c>
      <c r="B4708">
        <v>3742.1604938271998</v>
      </c>
      <c r="C4708" s="1">
        <f t="shared" si="1393"/>
        <v>2.6925389821056855E-2</v>
      </c>
      <c r="D4708">
        <v>21.707936507936999</v>
      </c>
      <c r="E4708">
        <v>0.13111199374182</v>
      </c>
      <c r="F4708">
        <v>40</v>
      </c>
    </row>
    <row r="4709" spans="1:9" x14ac:dyDescent="0.25">
      <c r="A4709">
        <v>3673.7098765432002</v>
      </c>
      <c r="B4709">
        <v>3765.5185185186001</v>
      </c>
      <c r="C4709" s="1">
        <f t="shared" si="1393"/>
        <v>2.4990716485698172E-2</v>
      </c>
      <c r="D4709">
        <v>21.993650793651</v>
      </c>
      <c r="E4709">
        <v>0.13185727594371</v>
      </c>
      <c r="F4709">
        <v>40</v>
      </c>
    </row>
    <row r="4710" spans="1:9" x14ac:dyDescent="0.25">
      <c r="A4710">
        <v>3677.9814814814999</v>
      </c>
      <c r="B4710">
        <v>3755.4938271605001</v>
      </c>
      <c r="C4710" s="1">
        <f t="shared" si="1393"/>
        <v>2.1074697104722206E-2</v>
      </c>
      <c r="D4710">
        <v>21.533333333333001</v>
      </c>
      <c r="E4710">
        <v>0.12857393217381999</v>
      </c>
      <c r="F4710">
        <v>39</v>
      </c>
    </row>
    <row r="4711" spans="1:9" x14ac:dyDescent="0.25">
      <c r="A4711">
        <v>3661.6296296296</v>
      </c>
      <c r="B4711">
        <v>3737.1851851852002</v>
      </c>
      <c r="C4711" s="1">
        <f t="shared" si="1393"/>
        <v>2.0634406861964161E-2</v>
      </c>
      <c r="D4711">
        <v>21.409523809524</v>
      </c>
      <c r="E4711">
        <v>0.12833847870406001</v>
      </c>
      <c r="F4711">
        <v>41</v>
      </c>
    </row>
    <row r="4712" spans="1:9" x14ac:dyDescent="0.25">
      <c r="A4712">
        <v>3654.0246913579999</v>
      </c>
      <c r="B4712">
        <v>3733.0185185186001</v>
      </c>
      <c r="C4712" s="1">
        <f t="shared" si="1393"/>
        <v>2.1618306889777061E-2</v>
      </c>
      <c r="D4712">
        <v>21.641269841269999</v>
      </c>
      <c r="E4712">
        <v>0.13020874466609</v>
      </c>
      <c r="F4712">
        <v>40</v>
      </c>
    </row>
    <row r="4713" spans="1:9" x14ac:dyDescent="0.25">
      <c r="A4713">
        <v>3667.1172839505998</v>
      </c>
      <c r="B4713">
        <v>3735.6543209877</v>
      </c>
      <c r="C4713" s="1">
        <f t="shared" si="1393"/>
        <v>1.8689622319159938E-2</v>
      </c>
      <c r="D4713">
        <v>21.774603174603001</v>
      </c>
      <c r="E4713">
        <v>0.13057123813796001</v>
      </c>
      <c r="F4713">
        <v>40</v>
      </c>
    </row>
    <row r="4714" spans="1:9" x14ac:dyDescent="0.25">
      <c r="A4714">
        <v>3663.9567901235</v>
      </c>
      <c r="B4714">
        <v>3742.8395061729002</v>
      </c>
      <c r="C4714" s="1">
        <f t="shared" si="1393"/>
        <v>2.1529379457212894E-2</v>
      </c>
      <c r="D4714">
        <v>21.520634920635</v>
      </c>
      <c r="E4714">
        <v>0.12902098528386999</v>
      </c>
      <c r="F4714">
        <v>40</v>
      </c>
    </row>
    <row r="4715" spans="1:9" x14ac:dyDescent="0.25">
      <c r="A4715">
        <v>3645.3580246913998</v>
      </c>
      <c r="B4715">
        <v>3753.7962962964002</v>
      </c>
      <c r="C4715" s="1">
        <f t="shared" si="1393"/>
        <v>2.9746946903570715E-2</v>
      </c>
      <c r="D4715">
        <v>21.812698412698001</v>
      </c>
      <c r="E4715">
        <v>0.13170923682919</v>
      </c>
      <c r="F4715">
        <v>40</v>
      </c>
    </row>
    <row r="4716" spans="1:9" x14ac:dyDescent="0.25">
      <c r="A4716">
        <v>3674.8641975309001</v>
      </c>
      <c r="B4716">
        <v>3740.2901234567998</v>
      </c>
      <c r="C4716" s="1">
        <f t="shared" si="1393"/>
        <v>1.7803630939575488E-2</v>
      </c>
      <c r="D4716">
        <v>21.55873015873</v>
      </c>
      <c r="E4716">
        <v>0.12883236798066</v>
      </c>
      <c r="F4716">
        <v>39</v>
      </c>
    </row>
    <row r="4717" spans="1:9" x14ac:dyDescent="0.25">
      <c r="A4717">
        <v>3641.1358024690999</v>
      </c>
      <c r="B4717">
        <v>3724.8333333333999</v>
      </c>
      <c r="C4717" s="1">
        <f t="shared" si="1393"/>
        <v>2.298665455090787E-2</v>
      </c>
      <c r="D4717">
        <v>21.698412698413001</v>
      </c>
      <c r="E4717">
        <v>0.13114074372435999</v>
      </c>
      <c r="F4717">
        <v>40</v>
      </c>
    </row>
    <row r="4718" spans="1:9" x14ac:dyDescent="0.25">
      <c r="A4718">
        <v>3663.3024691358</v>
      </c>
      <c r="B4718">
        <v>3746.6234567902002</v>
      </c>
      <c r="C4718" s="1">
        <f t="shared" si="1393"/>
        <v>2.2744774245752053E-2</v>
      </c>
      <c r="D4718">
        <v>21.641269841269999</v>
      </c>
      <c r="E4718">
        <v>0.12985540167869999</v>
      </c>
      <c r="F4718">
        <v>40</v>
      </c>
    </row>
    <row r="4719" spans="1:9" x14ac:dyDescent="0.25">
      <c r="A4719">
        <v>3667.5802469136001</v>
      </c>
      <c r="B4719">
        <v>3741.0493827160999</v>
      </c>
      <c r="C4719" s="1">
        <f t="shared" si="1393"/>
        <v>2.0032045887564909E-2</v>
      </c>
      <c r="D4719">
        <v>21.812698412698001</v>
      </c>
      <c r="E4719">
        <v>0.13084588684941001</v>
      </c>
      <c r="F4719">
        <v>41</v>
      </c>
    </row>
    <row r="4720" spans="1:9" x14ac:dyDescent="0.25">
      <c r="A4720">
        <v>3659.6172839505998</v>
      </c>
      <c r="B4720">
        <v>3742.3395061729002</v>
      </c>
      <c r="C4720" s="1">
        <f t="shared" si="1393"/>
        <v>2.2604063704989574E-2</v>
      </c>
      <c r="D4720">
        <v>21.774603174603001</v>
      </c>
      <c r="E4720">
        <v>0.13087925353280999</v>
      </c>
      <c r="F4720">
        <v>40</v>
      </c>
      <c r="H4720" t="s">
        <v>17</v>
      </c>
      <c r="I4720">
        <f t="shared" ref="I4720" si="1406">STDEVP(A4706:A4725)</f>
        <v>11.490014132454004</v>
      </c>
    </row>
    <row r="4721" spans="1:9" x14ac:dyDescent="0.25">
      <c r="A4721">
        <v>3659.5185185185001</v>
      </c>
      <c r="B4721">
        <v>3737.4567901235</v>
      </c>
      <c r="C4721" s="1">
        <f t="shared" si="1393"/>
        <v>2.129741145197217E-2</v>
      </c>
      <c r="D4721">
        <v>21.92380952381</v>
      </c>
      <c r="E4721">
        <v>0.13193350726632</v>
      </c>
      <c r="F4721">
        <v>40</v>
      </c>
      <c r="H4721" t="s">
        <v>18</v>
      </c>
      <c r="I4721">
        <f t="shared" ref="I4721" si="1407">STDEVP(B4706:B4725)</f>
        <v>12.817135589356086</v>
      </c>
    </row>
    <row r="4722" spans="1:9" x14ac:dyDescent="0.25">
      <c r="A4722">
        <v>3662.1111111110999</v>
      </c>
      <c r="B4722">
        <v>3763.5740740740998</v>
      </c>
      <c r="C4722" s="1">
        <f t="shared" si="1393"/>
        <v>2.7706139951667375E-2</v>
      </c>
      <c r="D4722">
        <v>21.457142857143001</v>
      </c>
      <c r="E4722">
        <v>0.12865521359900001</v>
      </c>
      <c r="F4722">
        <v>40</v>
      </c>
      <c r="H4722" t="s">
        <v>19</v>
      </c>
      <c r="I4722">
        <f t="shared" ref="I4722" si="1408">STDEVP(C4706:C4725)</f>
        <v>4.104591561700446E-3</v>
      </c>
    </row>
    <row r="4723" spans="1:9" x14ac:dyDescent="0.25">
      <c r="A4723">
        <v>3649.4012345678998</v>
      </c>
      <c r="B4723">
        <v>3768.1913580248001</v>
      </c>
      <c r="C4723" s="1">
        <f t="shared" si="1393"/>
        <v>3.2550579073546526E-2</v>
      </c>
      <c r="D4723">
        <v>21.663492063492001</v>
      </c>
      <c r="E4723">
        <v>0.13053637398962001</v>
      </c>
      <c r="F4723">
        <v>40</v>
      </c>
      <c r="H4723" t="s">
        <v>20</v>
      </c>
      <c r="I4723">
        <f t="shared" ref="I4723" si="1409">STDEVP(D4706:D4725)</f>
        <v>0.15556235812791983</v>
      </c>
    </row>
    <row r="4724" spans="1:9" x14ac:dyDescent="0.25">
      <c r="A4724">
        <v>3648.4012345678998</v>
      </c>
      <c r="B4724">
        <v>3723.5246913581</v>
      </c>
      <c r="C4724" s="1">
        <f t="shared" si="1393"/>
        <v>2.0590788117935022E-2</v>
      </c>
      <c r="D4724">
        <v>21.577777777778</v>
      </c>
      <c r="E4724">
        <v>0.12997767945902</v>
      </c>
      <c r="F4724">
        <v>40</v>
      </c>
      <c r="H4724" t="s">
        <v>21</v>
      </c>
      <c r="I4724">
        <f t="shared" ref="I4724" si="1410">STDEVP(E4706:E4725)</f>
        <v>1.1012774699647404E-3</v>
      </c>
    </row>
    <row r="4725" spans="1:9" x14ac:dyDescent="0.25">
      <c r="A4725">
        <v>3658.0123456790002</v>
      </c>
      <c r="B4725">
        <v>3767.5987654321998</v>
      </c>
      <c r="C4725" s="1">
        <f t="shared" si="1393"/>
        <v>2.9957914134064678E-2</v>
      </c>
      <c r="D4725">
        <v>21.492063492063</v>
      </c>
      <c r="E4725">
        <v>0.12903973441106001</v>
      </c>
      <c r="F4725">
        <v>39</v>
      </c>
      <c r="H4725" t="s">
        <v>22</v>
      </c>
      <c r="I4725">
        <f t="shared" ref="I4725" si="1411">STDEVP(F4706:F4725)</f>
        <v>0.58949130612757961</v>
      </c>
    </row>
    <row r="4726" spans="1:9" x14ac:dyDescent="0.25">
      <c r="C4726" s="1" t="str">
        <f t="shared" si="1393"/>
        <v/>
      </c>
    </row>
    <row r="4727" spans="1:9" x14ac:dyDescent="0.25">
      <c r="A4727">
        <v>583.39508506616005</v>
      </c>
      <c r="B4727">
        <v>610.24196597353</v>
      </c>
      <c r="C4727" s="1">
        <f t="shared" si="1393"/>
        <v>4.6018352904576343E-2</v>
      </c>
      <c r="D4727">
        <v>9.5690821256039005</v>
      </c>
      <c r="E4727">
        <v>0.47553275312010002</v>
      </c>
      <c r="F4727">
        <v>15</v>
      </c>
    </row>
    <row r="4728" spans="1:9" x14ac:dyDescent="0.25">
      <c r="A4728">
        <v>585.70888468809005</v>
      </c>
      <c r="B4728">
        <v>607.85066162570001</v>
      </c>
      <c r="C4728" s="1">
        <f t="shared" si="1393"/>
        <v>3.7803382390897422E-2</v>
      </c>
      <c r="D4728">
        <v>9.5806763285024008</v>
      </c>
      <c r="E4728">
        <v>0.47459326934427998</v>
      </c>
      <c r="F4728">
        <v>15</v>
      </c>
    </row>
    <row r="4729" spans="1:9" x14ac:dyDescent="0.25">
      <c r="A4729">
        <v>591.23818525520005</v>
      </c>
      <c r="B4729">
        <v>616.10396975424999</v>
      </c>
      <c r="C4729" s="1">
        <f t="shared" si="1393"/>
        <v>4.2057135549045999E-2</v>
      </c>
      <c r="D4729">
        <v>9.6521739130434998</v>
      </c>
      <c r="E4729">
        <v>0.47168514246895998</v>
      </c>
      <c r="F4729">
        <v>15</v>
      </c>
    </row>
    <row r="4730" spans="1:9" x14ac:dyDescent="0.25">
      <c r="A4730">
        <v>587.41398865784004</v>
      </c>
      <c r="B4730">
        <v>605.80151228732996</v>
      </c>
      <c r="C4730" s="1">
        <f t="shared" si="1393"/>
        <v>3.1302495317659718E-2</v>
      </c>
      <c r="D4730">
        <v>9.5922705314010006</v>
      </c>
      <c r="E4730">
        <v>0.47313256142277998</v>
      </c>
      <c r="F4730">
        <v>15</v>
      </c>
    </row>
    <row r="4731" spans="1:9" x14ac:dyDescent="0.25">
      <c r="A4731">
        <v>591.08695652174003</v>
      </c>
      <c r="B4731">
        <v>613.88846880906999</v>
      </c>
      <c r="C4731" s="1">
        <f t="shared" si="1393"/>
        <v>3.8575563266538326E-2</v>
      </c>
      <c r="D4731">
        <v>9.6</v>
      </c>
      <c r="E4731">
        <v>0.47056979323235998</v>
      </c>
      <c r="F4731">
        <v>15</v>
      </c>
    </row>
    <row r="4732" spans="1:9" x14ac:dyDescent="0.25">
      <c r="A4732">
        <v>579.62948960302003</v>
      </c>
      <c r="B4732">
        <v>602.04725897920002</v>
      </c>
      <c r="C4732" s="1">
        <f t="shared" si="1393"/>
        <v>3.8676033187223791E-2</v>
      </c>
      <c r="D4732">
        <v>9.4743961352656996</v>
      </c>
      <c r="E4732">
        <v>0.47486584023501999</v>
      </c>
      <c r="F4732">
        <v>15</v>
      </c>
    </row>
    <row r="4733" spans="1:9" x14ac:dyDescent="0.25">
      <c r="A4733">
        <v>577.91871455576995</v>
      </c>
      <c r="B4733">
        <v>607.27599243856002</v>
      </c>
      <c r="C4733" s="1">
        <f t="shared" si="1393"/>
        <v>5.0798282082552326E-2</v>
      </c>
      <c r="D4733">
        <v>9.8647342995169005</v>
      </c>
      <c r="E4733">
        <v>0.50460203990285002</v>
      </c>
      <c r="F4733">
        <v>14</v>
      </c>
    </row>
    <row r="4734" spans="1:9" x14ac:dyDescent="0.25">
      <c r="A4734">
        <v>584.00378071833995</v>
      </c>
      <c r="B4734">
        <v>605.34971644612006</v>
      </c>
      <c r="C4734" s="1">
        <f t="shared" si="1393"/>
        <v>3.6551023182630926E-2</v>
      </c>
      <c r="D4734">
        <v>9.4357487922705001</v>
      </c>
      <c r="E4734">
        <v>0.46566024626301</v>
      </c>
      <c r="F4734">
        <v>15</v>
      </c>
    </row>
    <row r="4735" spans="1:9" x14ac:dyDescent="0.25">
      <c r="A4735">
        <v>581.82419659735001</v>
      </c>
      <c r="B4735">
        <v>611.68620037807</v>
      </c>
      <c r="C4735" s="1">
        <f t="shared" si="1393"/>
        <v>5.1324788407495436E-2</v>
      </c>
      <c r="D4735">
        <v>9.5265700483091997</v>
      </c>
      <c r="E4735">
        <v>0.47593872238264001</v>
      </c>
      <c r="F4735">
        <v>15</v>
      </c>
    </row>
    <row r="4736" spans="1:9" x14ac:dyDescent="0.25">
      <c r="A4736">
        <v>580.41587901700996</v>
      </c>
      <c r="B4736">
        <v>611.13043478259999</v>
      </c>
      <c r="C4736" s="1">
        <f t="shared" si="1393"/>
        <v>5.2918186555488633E-2</v>
      </c>
      <c r="D4736">
        <v>9.5323671497584996</v>
      </c>
      <c r="E4736">
        <v>0.47560394178235998</v>
      </c>
      <c r="F4736">
        <v>15</v>
      </c>
    </row>
    <row r="4737" spans="1:9" x14ac:dyDescent="0.25">
      <c r="A4737">
        <v>584.43289224953003</v>
      </c>
      <c r="B4737">
        <v>610.73156899809999</v>
      </c>
      <c r="C4737" s="1">
        <f t="shared" si="1393"/>
        <v>4.499862532949539E-2</v>
      </c>
      <c r="D4737">
        <v>9.4821256038647004</v>
      </c>
      <c r="E4737">
        <v>0.4681561797073</v>
      </c>
      <c r="F4737">
        <v>15</v>
      </c>
    </row>
    <row r="4738" spans="1:9" x14ac:dyDescent="0.25">
      <c r="A4738">
        <v>577.01701323250995</v>
      </c>
      <c r="B4738">
        <v>605.10018903591003</v>
      </c>
      <c r="C4738" s="1">
        <f t="shared" ref="C4738:C4801" si="1412">IFERROR((B4738/A4738)-1,"")</f>
        <v>4.8669580201934126E-2</v>
      </c>
      <c r="D4738">
        <v>9.3719806763284996</v>
      </c>
      <c r="E4738">
        <v>0.46871541712358</v>
      </c>
      <c r="F4738">
        <v>15</v>
      </c>
    </row>
    <row r="4739" spans="1:9" x14ac:dyDescent="0.25">
      <c r="A4739">
        <v>575.04725897921003</v>
      </c>
      <c r="B4739">
        <v>604.54820415877998</v>
      </c>
      <c r="C4739" s="1">
        <f t="shared" si="1412"/>
        <v>5.1301775147903905E-2</v>
      </c>
      <c r="D4739">
        <v>9.6579710144927997</v>
      </c>
      <c r="E4739">
        <v>0.49238566220954999</v>
      </c>
      <c r="F4739">
        <v>15</v>
      </c>
    </row>
    <row r="4740" spans="1:9" x14ac:dyDescent="0.25">
      <c r="A4740">
        <v>576.84877126653998</v>
      </c>
      <c r="B4740">
        <v>607.98865784498003</v>
      </c>
      <c r="C4740" s="1">
        <f t="shared" si="1412"/>
        <v>5.3982756191139458E-2</v>
      </c>
      <c r="D4740">
        <v>9.5478260869564995</v>
      </c>
      <c r="E4740">
        <v>0.48103406762158002</v>
      </c>
      <c r="F4740">
        <v>15</v>
      </c>
    </row>
    <row r="4741" spans="1:9" x14ac:dyDescent="0.25">
      <c r="A4741">
        <v>586.49905482042004</v>
      </c>
      <c r="B4741">
        <v>610.73534971644006</v>
      </c>
      <c r="C4741" s="1">
        <f t="shared" si="1412"/>
        <v>4.1323672556370816E-2</v>
      </c>
      <c r="D4741">
        <v>9.5632850241546006</v>
      </c>
      <c r="E4741">
        <v>0.47223134868153999</v>
      </c>
      <c r="F4741">
        <v>15</v>
      </c>
      <c r="H4741" t="s">
        <v>17</v>
      </c>
      <c r="I4741">
        <f t="shared" ref="I4741" si="1413">STDEVP(A4727:A4746)</f>
        <v>4.6339158704873453</v>
      </c>
    </row>
    <row r="4742" spans="1:9" x14ac:dyDescent="0.25">
      <c r="A4742">
        <v>578.16635160681005</v>
      </c>
      <c r="B4742">
        <v>607.80340264649999</v>
      </c>
      <c r="C4742" s="1">
        <f t="shared" si="1412"/>
        <v>5.1260421775366494E-2</v>
      </c>
      <c r="D4742">
        <v>9.5729468599034</v>
      </c>
      <c r="E4742">
        <v>0.48328642569673003</v>
      </c>
      <c r="F4742">
        <v>15</v>
      </c>
      <c r="H4742" t="s">
        <v>18</v>
      </c>
      <c r="I4742">
        <f t="shared" ref="I4742" si="1414">STDEVP(B4727:B4746)</f>
        <v>3.6985075377119605</v>
      </c>
    </row>
    <row r="4743" spans="1:9" x14ac:dyDescent="0.25">
      <c r="A4743">
        <v>577.02268431002005</v>
      </c>
      <c r="B4743">
        <v>602.55576559546</v>
      </c>
      <c r="C4743" s="1">
        <f t="shared" si="1412"/>
        <v>4.4249701059796864E-2</v>
      </c>
      <c r="D4743">
        <v>9.5478260869564995</v>
      </c>
      <c r="E4743">
        <v>0.48171782237576999</v>
      </c>
      <c r="F4743">
        <v>15</v>
      </c>
      <c r="H4743" t="s">
        <v>19</v>
      </c>
      <c r="I4743">
        <f t="shared" ref="I4743" si="1415">STDEVP(C4727:C4746)</f>
        <v>6.5828524956772373E-3</v>
      </c>
    </row>
    <row r="4744" spans="1:9" x14ac:dyDescent="0.25">
      <c r="A4744">
        <v>583.90359168242003</v>
      </c>
      <c r="B4744">
        <v>606.59924385632996</v>
      </c>
      <c r="C4744" s="1">
        <f t="shared" si="1412"/>
        <v>3.8868834679568032E-2</v>
      </c>
      <c r="D4744">
        <v>9.543961352657</v>
      </c>
      <c r="E4744">
        <v>0.47401434625493999</v>
      </c>
      <c r="F4744">
        <v>15</v>
      </c>
      <c r="H4744" t="s">
        <v>20</v>
      </c>
      <c r="I4744">
        <f t="shared" ref="I4744" si="1416">STDEVP(D4727:D4746)</f>
        <v>0.10386522862482923</v>
      </c>
    </row>
    <row r="4745" spans="1:9" x14ac:dyDescent="0.25">
      <c r="A4745">
        <v>577.93194706993995</v>
      </c>
      <c r="B4745">
        <v>608.36483931945997</v>
      </c>
      <c r="C4745" s="1">
        <f t="shared" si="1412"/>
        <v>5.2658262627307328E-2</v>
      </c>
      <c r="D4745">
        <v>9.4454106280192995</v>
      </c>
      <c r="E4745">
        <v>0.47339515702601997</v>
      </c>
      <c r="F4745">
        <v>15</v>
      </c>
      <c r="H4745" t="s">
        <v>21</v>
      </c>
      <c r="I4745">
        <f t="shared" ref="I4745" si="1417">STDEVP(E4727:E4746)</f>
        <v>8.9031056649040863E-3</v>
      </c>
    </row>
    <row r="4746" spans="1:9" x14ac:dyDescent="0.25">
      <c r="A4746">
        <v>583.63894139886997</v>
      </c>
      <c r="B4746">
        <v>613.88468809073004</v>
      </c>
      <c r="C4746" s="1">
        <f t="shared" si="1412"/>
        <v>5.1822701582191932E-2</v>
      </c>
      <c r="D4746">
        <v>9.7082125603864995</v>
      </c>
      <c r="E4746">
        <v>0.48643839440303999</v>
      </c>
      <c r="F4746">
        <v>15</v>
      </c>
      <c r="H4746" t="s">
        <v>22</v>
      </c>
      <c r="I4746">
        <f t="shared" ref="I4746" si="1418">STDEVP(F4727:F4746)</f>
        <v>0.21794494717703367</v>
      </c>
    </row>
    <row r="4747" spans="1:9" x14ac:dyDescent="0.25">
      <c r="C4747" s="1" t="str">
        <f t="shared" si="1412"/>
        <v/>
      </c>
    </row>
    <row r="4748" spans="1:9" x14ac:dyDescent="0.25">
      <c r="A4748">
        <v>680.20604914933995</v>
      </c>
      <c r="B4748">
        <v>709.14933837427998</v>
      </c>
      <c r="C4748" s="1">
        <f t="shared" si="1412"/>
        <v>4.2550767169942549E-2</v>
      </c>
      <c r="D4748">
        <v>10.048309178744001</v>
      </c>
      <c r="E4748">
        <v>0.40813991999985</v>
      </c>
      <c r="F4748">
        <v>20</v>
      </c>
    </row>
    <row r="4749" spans="1:9" x14ac:dyDescent="0.25">
      <c r="A4749">
        <v>681.14933837428998</v>
      </c>
      <c r="B4749">
        <v>708.45935727788003</v>
      </c>
      <c r="C4749" s="1">
        <f t="shared" si="1412"/>
        <v>4.0094025443482506E-2</v>
      </c>
      <c r="D4749">
        <v>9.9787439613527003</v>
      </c>
      <c r="E4749">
        <v>0.40343330660879001</v>
      </c>
      <c r="F4749">
        <v>20</v>
      </c>
    </row>
    <row r="4750" spans="1:9" x14ac:dyDescent="0.25">
      <c r="A4750">
        <v>673.93194706993995</v>
      </c>
      <c r="B4750">
        <v>702.27788279772994</v>
      </c>
      <c r="C4750" s="1">
        <f t="shared" si="1412"/>
        <v>4.2060531261397971E-2</v>
      </c>
      <c r="D4750">
        <v>9.9342995169081991</v>
      </c>
      <c r="E4750">
        <v>0.40678965809922002</v>
      </c>
      <c r="F4750">
        <v>21</v>
      </c>
    </row>
    <row r="4751" spans="1:9" x14ac:dyDescent="0.25">
      <c r="A4751">
        <v>665.88279773157001</v>
      </c>
      <c r="B4751">
        <v>702.65784499053996</v>
      </c>
      <c r="C4751" s="1">
        <f t="shared" si="1412"/>
        <v>5.5227507579786783E-2</v>
      </c>
      <c r="D4751">
        <v>9.8473429951691003</v>
      </c>
      <c r="E4751">
        <v>0.40839201336779002</v>
      </c>
      <c r="F4751">
        <v>22</v>
      </c>
    </row>
    <row r="4752" spans="1:9" x14ac:dyDescent="0.25">
      <c r="A4752">
        <v>671.48960302456999</v>
      </c>
      <c r="B4752">
        <v>705.13799621927001</v>
      </c>
      <c r="C4752" s="1">
        <f t="shared" si="1412"/>
        <v>5.0110073250782428E-2</v>
      </c>
      <c r="D4752">
        <v>9.9072463768115995</v>
      </c>
      <c r="E4752">
        <v>0.40673850010529999</v>
      </c>
      <c r="F4752">
        <v>21</v>
      </c>
    </row>
    <row r="4753" spans="1:9" x14ac:dyDescent="0.25">
      <c r="A4753">
        <v>673.45746691871</v>
      </c>
      <c r="B4753">
        <v>711.56332703213002</v>
      </c>
      <c r="C4753" s="1">
        <f t="shared" si="1412"/>
        <v>5.6582430198252709E-2</v>
      </c>
      <c r="D4753">
        <v>9.9922705314009992</v>
      </c>
      <c r="E4753">
        <v>0.40988504040342999</v>
      </c>
      <c r="F4753">
        <v>22</v>
      </c>
    </row>
    <row r="4754" spans="1:9" x14ac:dyDescent="0.25">
      <c r="A4754">
        <v>668.79206049149002</v>
      </c>
      <c r="B4754">
        <v>699.99810964082997</v>
      </c>
      <c r="C4754" s="1">
        <f t="shared" si="1412"/>
        <v>4.6660316401493818E-2</v>
      </c>
      <c r="D4754">
        <v>9.8338164251207996</v>
      </c>
      <c r="E4754">
        <v>0.40440697587639002</v>
      </c>
      <c r="F4754">
        <v>20</v>
      </c>
    </row>
    <row r="4755" spans="1:9" x14ac:dyDescent="0.25">
      <c r="A4755">
        <v>674.97542533081003</v>
      </c>
      <c r="B4755">
        <v>709.07750472588998</v>
      </c>
      <c r="C4755" s="1">
        <f t="shared" si="1412"/>
        <v>5.0523438506470564E-2</v>
      </c>
      <c r="D4755">
        <v>9.8898550724637992</v>
      </c>
      <c r="E4755">
        <v>0.40338009666794999</v>
      </c>
      <c r="F4755">
        <v>21</v>
      </c>
    </row>
    <row r="4756" spans="1:9" x14ac:dyDescent="0.25">
      <c r="A4756">
        <v>673.67296786388999</v>
      </c>
      <c r="B4756">
        <v>712.39508506615005</v>
      </c>
      <c r="C4756" s="1">
        <f t="shared" si="1412"/>
        <v>5.7479101952156109E-2</v>
      </c>
      <c r="D4756">
        <v>9.7855072463768007</v>
      </c>
      <c r="E4756">
        <v>0.39885942588598</v>
      </c>
      <c r="F4756">
        <v>22</v>
      </c>
    </row>
    <row r="4757" spans="1:9" x14ac:dyDescent="0.25">
      <c r="A4757">
        <v>678.80907372400998</v>
      </c>
      <c r="B4757">
        <v>715.96786389413001</v>
      </c>
      <c r="C4757" s="1">
        <f t="shared" si="1412"/>
        <v>5.4741151243402619E-2</v>
      </c>
      <c r="D4757">
        <v>10.183574879227001</v>
      </c>
      <c r="E4757">
        <v>0.41709314160069999</v>
      </c>
      <c r="F4757">
        <v>21</v>
      </c>
    </row>
    <row r="4758" spans="1:9" x14ac:dyDescent="0.25">
      <c r="A4758">
        <v>683.33837429111998</v>
      </c>
      <c r="B4758">
        <v>712.66351606804994</v>
      </c>
      <c r="C4758" s="1">
        <f t="shared" si="1412"/>
        <v>4.2914525043835194E-2</v>
      </c>
      <c r="D4758">
        <v>10.121739130435</v>
      </c>
      <c r="E4758">
        <v>0.40933463965028</v>
      </c>
      <c r="F4758">
        <v>21</v>
      </c>
    </row>
    <row r="4759" spans="1:9" x14ac:dyDescent="0.25">
      <c r="A4759">
        <v>673.36862003781005</v>
      </c>
      <c r="B4759">
        <v>701.96975425330004</v>
      </c>
      <c r="C4759" s="1">
        <f t="shared" si="1412"/>
        <v>4.2474706073894586E-2</v>
      </c>
      <c r="D4759">
        <v>9.6521739130434998</v>
      </c>
      <c r="E4759">
        <v>0.39112824414714997</v>
      </c>
      <c r="F4759">
        <v>20</v>
      </c>
    </row>
    <row r="4760" spans="1:9" x14ac:dyDescent="0.25">
      <c r="A4760">
        <v>682.10586011342002</v>
      </c>
      <c r="B4760">
        <v>706.42911153117996</v>
      </c>
      <c r="C4760" s="1">
        <f t="shared" si="1412"/>
        <v>3.5659056519050436E-2</v>
      </c>
      <c r="D4760">
        <v>9.7120772946860008</v>
      </c>
      <c r="E4760">
        <v>0.3881136999516</v>
      </c>
      <c r="F4760">
        <v>22</v>
      </c>
    </row>
    <row r="4761" spans="1:9" x14ac:dyDescent="0.25">
      <c r="A4761">
        <v>676.42344045368998</v>
      </c>
      <c r="B4761">
        <v>703.17013232514</v>
      </c>
      <c r="C4761" s="1">
        <f t="shared" si="1412"/>
        <v>3.9541343885880931E-2</v>
      </c>
      <c r="D4761">
        <v>9.9594202898550996</v>
      </c>
      <c r="E4761">
        <v>0.40636017780410999</v>
      </c>
      <c r="F4761">
        <v>20</v>
      </c>
    </row>
    <row r="4762" spans="1:9" x14ac:dyDescent="0.25">
      <c r="A4762">
        <v>670.86200378071999</v>
      </c>
      <c r="B4762">
        <v>703.94517958410995</v>
      </c>
      <c r="C4762" s="1">
        <f t="shared" si="1412"/>
        <v>4.9314427731703248E-2</v>
      </c>
      <c r="D4762">
        <v>9.8840579710144993</v>
      </c>
      <c r="E4762">
        <v>0.40567757666754001</v>
      </c>
      <c r="F4762">
        <v>22</v>
      </c>
      <c r="H4762" t="s">
        <v>17</v>
      </c>
      <c r="I4762">
        <f t="shared" ref="I4762" si="1419">STDEVP(A4748:A4767)</f>
        <v>5.2940203928777683</v>
      </c>
    </row>
    <row r="4763" spans="1:9" x14ac:dyDescent="0.25">
      <c r="A4763">
        <v>677.84120982986997</v>
      </c>
      <c r="B4763">
        <v>704.49527410206997</v>
      </c>
      <c r="C4763" s="1">
        <f t="shared" si="1412"/>
        <v>3.9321988521308526E-2</v>
      </c>
      <c r="D4763">
        <v>9.7874396135265993</v>
      </c>
      <c r="E4763">
        <v>0.39506646956898001</v>
      </c>
      <c r="F4763">
        <v>21</v>
      </c>
      <c r="H4763" t="s">
        <v>18</v>
      </c>
      <c r="I4763">
        <f t="shared" ref="I4763" si="1420">STDEVP(B4748:B4767)</f>
        <v>5.1795614607691576</v>
      </c>
    </row>
    <row r="4764" spans="1:9" x14ac:dyDescent="0.25">
      <c r="A4764">
        <v>683.53875236295005</v>
      </c>
      <c r="B4764">
        <v>707.66729678638001</v>
      </c>
      <c r="C4764" s="1">
        <f t="shared" si="1412"/>
        <v>3.5299453527717572E-2</v>
      </c>
      <c r="D4764">
        <v>10.038647342995</v>
      </c>
      <c r="E4764">
        <v>0.40471798890101002</v>
      </c>
      <c r="F4764">
        <v>22</v>
      </c>
      <c r="H4764" t="s">
        <v>19</v>
      </c>
      <c r="I4764">
        <f t="shared" ref="I4764" si="1421">STDEVP(C4748:C4767)</f>
        <v>6.5900313992671641E-3</v>
      </c>
    </row>
    <row r="4765" spans="1:9" x14ac:dyDescent="0.25">
      <c r="A4765">
        <v>679.39508506616005</v>
      </c>
      <c r="B4765">
        <v>711.40075614366003</v>
      </c>
      <c r="C4765" s="1">
        <f t="shared" si="1412"/>
        <v>4.7109070673337694E-2</v>
      </c>
      <c r="D4765">
        <v>9.9246376811593997</v>
      </c>
      <c r="E4765">
        <v>0.40154781628848002</v>
      </c>
      <c r="F4765">
        <v>21</v>
      </c>
      <c r="H4765" t="s">
        <v>20</v>
      </c>
      <c r="I4765">
        <f t="shared" ref="I4765" si="1422">STDEVP(D4748:D4767)</f>
        <v>0.14107338984820075</v>
      </c>
    </row>
    <row r="4766" spans="1:9" x14ac:dyDescent="0.25">
      <c r="A4766">
        <v>686.36483931946998</v>
      </c>
      <c r="B4766">
        <v>720.96786389413001</v>
      </c>
      <c r="C4766" s="1">
        <f t="shared" si="1412"/>
        <v>5.0414914331813554E-2</v>
      </c>
      <c r="D4766">
        <v>10.171980676328999</v>
      </c>
      <c r="E4766">
        <v>0.41029332259167001</v>
      </c>
      <c r="F4766">
        <v>20</v>
      </c>
      <c r="H4766" t="s">
        <v>21</v>
      </c>
      <c r="I4766">
        <f t="shared" ref="I4766" si="1423">STDEVP(E4748:E4767)</f>
        <v>6.6370358107016502E-3</v>
      </c>
    </row>
    <row r="4767" spans="1:9" x14ac:dyDescent="0.25">
      <c r="A4767">
        <v>681.18147448014997</v>
      </c>
      <c r="B4767">
        <v>711.52551984876004</v>
      </c>
      <c r="C4767" s="1">
        <f t="shared" si="1412"/>
        <v>4.4546198781708624E-2</v>
      </c>
      <c r="D4767">
        <v>10.071497584541</v>
      </c>
      <c r="E4767">
        <v>0.40824007436087001</v>
      </c>
      <c r="F4767">
        <v>21</v>
      </c>
      <c r="H4767" t="s">
        <v>22</v>
      </c>
      <c r="I4767">
        <f t="shared" ref="I4767" si="1424">STDEVP(F4748:F4767)</f>
        <v>0.7745966692414834</v>
      </c>
    </row>
    <row r="4768" spans="1:9" x14ac:dyDescent="0.25">
      <c r="C4768" s="1" t="str">
        <f t="shared" si="1412"/>
        <v/>
      </c>
    </row>
    <row r="4769" spans="1:9" x14ac:dyDescent="0.25">
      <c r="A4769">
        <v>1993.5224376731001</v>
      </c>
      <c r="B4769">
        <v>2028.3667590027001</v>
      </c>
      <c r="C4769" s="1">
        <f t="shared" si="1412"/>
        <v>1.7478770577707303E-2</v>
      </c>
      <c r="D4769">
        <v>15.487569988802001</v>
      </c>
      <c r="E4769">
        <v>0.18193694995622001</v>
      </c>
      <c r="F4769">
        <v>29</v>
      </c>
    </row>
    <row r="4770" spans="1:9" x14ac:dyDescent="0.25">
      <c r="A4770">
        <v>1987.8781163435001</v>
      </c>
      <c r="B4770">
        <v>2031.375069252</v>
      </c>
      <c r="C4770" s="1">
        <f t="shared" si="1412"/>
        <v>2.1881096507319064E-2</v>
      </c>
      <c r="D4770">
        <v>15.442777155655</v>
      </c>
      <c r="E4770">
        <v>0.18191832589959001</v>
      </c>
      <c r="F4770">
        <v>30</v>
      </c>
    </row>
    <row r="4771" spans="1:9" x14ac:dyDescent="0.25">
      <c r="A4771">
        <v>1994.4387811634001</v>
      </c>
      <c r="B4771">
        <v>2026.1318559556</v>
      </c>
      <c r="C4771" s="1">
        <f t="shared" si="1412"/>
        <v>1.5890723290946429E-2</v>
      </c>
      <c r="D4771">
        <v>15.498768197087999</v>
      </c>
      <c r="E4771">
        <v>0.18190639741737999</v>
      </c>
      <c r="F4771">
        <v>30</v>
      </c>
    </row>
    <row r="4772" spans="1:9" x14ac:dyDescent="0.25">
      <c r="A4772">
        <v>1990.3711911357</v>
      </c>
      <c r="B4772">
        <v>2019.8714681439999</v>
      </c>
      <c r="C4772" s="1">
        <f t="shared" si="1412"/>
        <v>1.4821495176217336E-2</v>
      </c>
      <c r="D4772">
        <v>15.409182530795</v>
      </c>
      <c r="E4772">
        <v>0.18114992792136</v>
      </c>
      <c r="F4772">
        <v>30</v>
      </c>
    </row>
    <row r="4773" spans="1:9" x14ac:dyDescent="0.25">
      <c r="A4773">
        <v>1986.2947368421001</v>
      </c>
      <c r="B4773">
        <v>2029.4282548476001</v>
      </c>
      <c r="C4773" s="1">
        <f t="shared" si="1412"/>
        <v>2.1715567788331169E-2</v>
      </c>
      <c r="D4773">
        <v>15.43829787234</v>
      </c>
      <c r="E4773">
        <v>0.18199227273481999</v>
      </c>
      <c r="F4773">
        <v>29</v>
      </c>
    </row>
    <row r="4774" spans="1:9" x14ac:dyDescent="0.25">
      <c r="A4774">
        <v>1986.4299168975001</v>
      </c>
      <c r="B4774">
        <v>2025.1734072022</v>
      </c>
      <c r="C4774" s="1">
        <f t="shared" si="1412"/>
        <v>1.9504081153394637E-2</v>
      </c>
      <c r="D4774">
        <v>15.583426651736</v>
      </c>
      <c r="E4774">
        <v>0.18394749709614</v>
      </c>
      <c r="F4774">
        <v>30</v>
      </c>
    </row>
    <row r="4775" spans="1:9" x14ac:dyDescent="0.25">
      <c r="A4775">
        <v>1992.7379501385001</v>
      </c>
      <c r="B4775">
        <v>2042.5728531855</v>
      </c>
      <c r="C4775" s="1">
        <f t="shared" si="1412"/>
        <v>2.5008257128608546E-2</v>
      </c>
      <c r="D4775">
        <v>15.571332586785999</v>
      </c>
      <c r="E4775">
        <v>0.18317560689910001</v>
      </c>
      <c r="F4775">
        <v>30</v>
      </c>
    </row>
    <row r="4776" spans="1:9" x14ac:dyDescent="0.25">
      <c r="A4776">
        <v>2005.1534626038999</v>
      </c>
      <c r="B4776">
        <v>2031.4470914127</v>
      </c>
      <c r="C4776" s="1">
        <f t="shared" si="1412"/>
        <v>1.3113025660716815E-2</v>
      </c>
      <c r="D4776">
        <v>15.518924972003999</v>
      </c>
      <c r="E4776">
        <v>0.18105472565531</v>
      </c>
      <c r="F4776">
        <v>30</v>
      </c>
    </row>
    <row r="4777" spans="1:9" x14ac:dyDescent="0.25">
      <c r="A4777">
        <v>1996.8155124653999</v>
      </c>
      <c r="B4777">
        <v>2031.83933518</v>
      </c>
      <c r="C4777" s="1">
        <f t="shared" si="1412"/>
        <v>1.7539839056717632E-2</v>
      </c>
      <c r="D4777">
        <v>15.683762597984</v>
      </c>
      <c r="E4777">
        <v>0.18429268583172001</v>
      </c>
      <c r="F4777">
        <v>30</v>
      </c>
    </row>
    <row r="4778" spans="1:9" x14ac:dyDescent="0.25">
      <c r="A4778">
        <v>1984.6437673129999</v>
      </c>
      <c r="B4778">
        <v>2018.8088642659</v>
      </c>
      <c r="C4778" s="1">
        <f t="shared" si="1412"/>
        <v>1.7214725138887887E-2</v>
      </c>
      <c r="D4778">
        <v>15.471892497200001</v>
      </c>
      <c r="E4778">
        <v>0.18264613771555999</v>
      </c>
      <c r="F4778">
        <v>30</v>
      </c>
    </row>
    <row r="4779" spans="1:9" x14ac:dyDescent="0.25">
      <c r="A4779">
        <v>1986.5728531856</v>
      </c>
      <c r="B4779">
        <v>2021.4736842105001</v>
      </c>
      <c r="C4779" s="1">
        <f t="shared" si="1412"/>
        <v>1.7568362000383919E-2</v>
      </c>
      <c r="D4779">
        <v>15.340649496080999</v>
      </c>
      <c r="E4779">
        <v>0.18061200321070001</v>
      </c>
      <c r="F4779">
        <v>29</v>
      </c>
    </row>
    <row r="4780" spans="1:9" x14ac:dyDescent="0.25">
      <c r="A4780">
        <v>1986.4321329639999</v>
      </c>
      <c r="B4780">
        <v>2024.6747922437</v>
      </c>
      <c r="C4780" s="1">
        <f t="shared" si="1412"/>
        <v>1.9251933476648553E-2</v>
      </c>
      <c r="D4780">
        <v>15.577155655095</v>
      </c>
      <c r="E4780">
        <v>0.18387816607388999</v>
      </c>
      <c r="F4780">
        <v>30</v>
      </c>
    </row>
    <row r="4781" spans="1:9" x14ac:dyDescent="0.25">
      <c r="A4781">
        <v>1996.7379501385001</v>
      </c>
      <c r="B4781">
        <v>2026.147368421</v>
      </c>
      <c r="C4781" s="1">
        <f t="shared" si="1412"/>
        <v>1.4728732070455219E-2</v>
      </c>
      <c r="D4781">
        <v>15.520268756999</v>
      </c>
      <c r="E4781">
        <v>0.18191177467742001</v>
      </c>
      <c r="F4781">
        <v>30</v>
      </c>
    </row>
    <row r="4782" spans="1:9" x14ac:dyDescent="0.25">
      <c r="A4782">
        <v>1993.9346260387999</v>
      </c>
      <c r="B4782">
        <v>2038.2271468143001</v>
      </c>
      <c r="C4782" s="1">
        <f t="shared" si="1412"/>
        <v>2.221362736625565E-2</v>
      </c>
      <c r="D4782">
        <v>15.410526315788999</v>
      </c>
      <c r="E4782">
        <v>0.18077599694089</v>
      </c>
      <c r="F4782">
        <v>30</v>
      </c>
    </row>
    <row r="4783" spans="1:9" x14ac:dyDescent="0.25">
      <c r="A4783">
        <v>1996.7512465374</v>
      </c>
      <c r="B4783">
        <v>2038.9883656509001</v>
      </c>
      <c r="C4783" s="1">
        <f t="shared" si="1412"/>
        <v>2.1152919867581943E-2</v>
      </c>
      <c r="D4783">
        <v>15.542217245241</v>
      </c>
      <c r="E4783">
        <v>0.18229203617691001</v>
      </c>
      <c r="F4783">
        <v>30</v>
      </c>
      <c r="H4783" t="s">
        <v>17</v>
      </c>
      <c r="I4783">
        <f t="shared" ref="I4783" si="1425">STDEVP(A4769:A4788)</f>
        <v>5.088217064740193</v>
      </c>
    </row>
    <row r="4784" spans="1:9" x14ac:dyDescent="0.25">
      <c r="A4784">
        <v>1991.3473684211001</v>
      </c>
      <c r="B4784">
        <v>2035.2642659278999</v>
      </c>
      <c r="C4784" s="1">
        <f t="shared" si="1412"/>
        <v>2.2053860719247975E-2</v>
      </c>
      <c r="D4784">
        <v>15.429787234042999</v>
      </c>
      <c r="E4784">
        <v>0.18135303593475</v>
      </c>
      <c r="F4784">
        <v>29</v>
      </c>
      <c r="H4784" t="s">
        <v>18</v>
      </c>
      <c r="I4784">
        <f t="shared" ref="I4784" si="1426">STDEVP(B4769:B4788)</f>
        <v>6.4644922417872737</v>
      </c>
    </row>
    <row r="4785" spans="1:9" x14ac:dyDescent="0.25">
      <c r="A4785">
        <v>1997.728531856</v>
      </c>
      <c r="B4785">
        <v>2036.1462603878001</v>
      </c>
      <c r="C4785" s="1">
        <f t="shared" si="1412"/>
        <v>1.9230705233061807E-2</v>
      </c>
      <c r="D4785">
        <v>15.449048152295999</v>
      </c>
      <c r="E4785">
        <v>0.18087930105351999</v>
      </c>
      <c r="F4785">
        <v>30</v>
      </c>
      <c r="H4785" t="s">
        <v>19</v>
      </c>
      <c r="I4785">
        <f t="shared" ref="I4785" si="1427">STDEVP(C4769:C4788)</f>
        <v>2.9480665174679331E-3</v>
      </c>
    </row>
    <row r="4786" spans="1:9" x14ac:dyDescent="0.25">
      <c r="A4786">
        <v>1992.9495844875</v>
      </c>
      <c r="B4786">
        <v>2032.2692520774999</v>
      </c>
      <c r="C4786" s="1">
        <f t="shared" si="1412"/>
        <v>1.9729383972405534E-2</v>
      </c>
      <c r="D4786">
        <v>15.517133258678999</v>
      </c>
      <c r="E4786">
        <v>0.18233592894518</v>
      </c>
      <c r="F4786">
        <v>30</v>
      </c>
      <c r="H4786" t="s">
        <v>20</v>
      </c>
      <c r="I4786">
        <f t="shared" ref="I4786" si="1428">STDEVP(D4769:D4788)</f>
        <v>7.8186692187551879E-2</v>
      </c>
    </row>
    <row r="4787" spans="1:9" x14ac:dyDescent="0.25">
      <c r="A4787">
        <v>1989.140166205</v>
      </c>
      <c r="B4787">
        <v>2031.2963988919</v>
      </c>
      <c r="C4787" s="1">
        <f t="shared" si="1412"/>
        <v>2.1193193623618933E-2</v>
      </c>
      <c r="D4787">
        <v>15.386338185890001</v>
      </c>
      <c r="E4787">
        <v>0.18089920452280001</v>
      </c>
      <c r="F4787">
        <v>29</v>
      </c>
      <c r="H4787" t="s">
        <v>21</v>
      </c>
      <c r="I4787">
        <f t="shared" ref="I4787" si="1429">STDEVP(E4769:E4788)</f>
        <v>1.0636389751397847E-3</v>
      </c>
    </row>
    <row r="4788" spans="1:9" x14ac:dyDescent="0.25">
      <c r="A4788">
        <v>1987.0626038780999</v>
      </c>
      <c r="B4788">
        <v>2021.7285318559</v>
      </c>
      <c r="C4788" s="1">
        <f t="shared" si="1412"/>
        <v>1.7445815703110323E-2</v>
      </c>
      <c r="D4788">
        <v>15.478163493841</v>
      </c>
      <c r="E4788">
        <v>0.18244258426882001</v>
      </c>
      <c r="F4788">
        <v>30</v>
      </c>
      <c r="H4788" t="s">
        <v>22</v>
      </c>
      <c r="I4788">
        <f t="shared" ref="I4788" si="1430">STDEVP(F4769:F4788)</f>
        <v>0.4330127018922193</v>
      </c>
    </row>
    <row r="4789" spans="1:9" x14ac:dyDescent="0.25">
      <c r="C4789" s="1" t="str">
        <f t="shared" si="1412"/>
        <v/>
      </c>
    </row>
    <row r="4790" spans="1:9" x14ac:dyDescent="0.25">
      <c r="A4790">
        <v>861.55134773891996</v>
      </c>
      <c r="B4790">
        <v>893.19759411893995</v>
      </c>
      <c r="C4790" s="1">
        <f t="shared" si="1412"/>
        <v>3.6731700859238714E-2</v>
      </c>
      <c r="D4790">
        <v>12.615106286748</v>
      </c>
      <c r="E4790">
        <v>0.40675134654931</v>
      </c>
      <c r="F4790">
        <v>24</v>
      </c>
    </row>
    <row r="4791" spans="1:9" x14ac:dyDescent="0.25">
      <c r="A4791">
        <v>856.89552238806004</v>
      </c>
      <c r="B4791">
        <v>882.27712185339999</v>
      </c>
      <c r="C4791" s="1">
        <f t="shared" si="1412"/>
        <v>2.9620413226812747E-2</v>
      </c>
      <c r="D4791">
        <v>12.666666666667</v>
      </c>
      <c r="E4791">
        <v>0.41209431830257998</v>
      </c>
      <c r="F4791">
        <v>25</v>
      </c>
    </row>
    <row r="4792" spans="1:9" x14ac:dyDescent="0.25">
      <c r="A4792">
        <v>867.06126085988001</v>
      </c>
      <c r="B4792">
        <v>896.27266651814</v>
      </c>
      <c r="C4792" s="1">
        <f t="shared" si="1412"/>
        <v>3.3690128918100415E-2</v>
      </c>
      <c r="D4792">
        <v>12.923563998191</v>
      </c>
      <c r="E4792">
        <v>0.41693801448077</v>
      </c>
      <c r="F4792">
        <v>25</v>
      </c>
    </row>
    <row r="4793" spans="1:9" x14ac:dyDescent="0.25">
      <c r="A4793">
        <v>856.92537313433002</v>
      </c>
      <c r="B4793">
        <v>894.43038538648</v>
      </c>
      <c r="C4793" s="1">
        <f t="shared" si="1412"/>
        <v>4.3766952675202031E-2</v>
      </c>
      <c r="D4793">
        <v>12.666666666667</v>
      </c>
      <c r="E4793">
        <v>0.41207433434089002</v>
      </c>
      <c r="F4793">
        <v>26</v>
      </c>
    </row>
    <row r="4794" spans="1:9" x14ac:dyDescent="0.25">
      <c r="A4794">
        <v>862.51592782357</v>
      </c>
      <c r="B4794">
        <v>897.27244375138002</v>
      </c>
      <c r="C4794" s="1">
        <f t="shared" si="1412"/>
        <v>4.0296665611164961E-2</v>
      </c>
      <c r="D4794">
        <v>12.823156942560001</v>
      </c>
      <c r="E4794">
        <v>0.41494426808223001</v>
      </c>
      <c r="F4794">
        <v>26</v>
      </c>
    </row>
    <row r="4795" spans="1:9" x14ac:dyDescent="0.25">
      <c r="A4795">
        <v>864.00311873469002</v>
      </c>
      <c r="B4795">
        <v>888.44820672753997</v>
      </c>
      <c r="C4795" s="1">
        <f t="shared" si="1412"/>
        <v>2.82928237905542E-2</v>
      </c>
      <c r="D4795">
        <v>12.453188602441999</v>
      </c>
      <c r="E4795">
        <v>0.39778372851410998</v>
      </c>
      <c r="F4795">
        <v>25</v>
      </c>
    </row>
    <row r="4796" spans="1:9" x14ac:dyDescent="0.25">
      <c r="A4796">
        <v>856.84072176431005</v>
      </c>
      <c r="B4796">
        <v>884.48117620849996</v>
      </c>
      <c r="C4796" s="1">
        <f t="shared" si="1412"/>
        <v>3.2258567715217623E-2</v>
      </c>
      <c r="D4796">
        <v>12.374491180461</v>
      </c>
      <c r="E4796">
        <v>0.39903904369629001</v>
      </c>
      <c r="F4796">
        <v>25</v>
      </c>
    </row>
    <row r="4797" spans="1:9" x14ac:dyDescent="0.25">
      <c r="A4797">
        <v>858.68656716418002</v>
      </c>
      <c r="B4797">
        <v>893.35620405433997</v>
      </c>
      <c r="C4797" s="1">
        <f t="shared" si="1412"/>
        <v>4.0375194181337504E-2</v>
      </c>
      <c r="D4797">
        <v>12.787878787879</v>
      </c>
      <c r="E4797">
        <v>0.41642110875042998</v>
      </c>
      <c r="F4797">
        <v>26</v>
      </c>
    </row>
    <row r="4798" spans="1:9" x14ac:dyDescent="0.25">
      <c r="A4798">
        <v>869.24125640453997</v>
      </c>
      <c r="B4798">
        <v>899.28714635774998</v>
      </c>
      <c r="C4798" s="1">
        <f t="shared" si="1412"/>
        <v>3.456565105697984E-2</v>
      </c>
      <c r="D4798">
        <v>12.793306196291001</v>
      </c>
      <c r="E4798">
        <v>0.40961758648472002</v>
      </c>
      <c r="F4798">
        <v>24</v>
      </c>
    </row>
    <row r="4799" spans="1:9" x14ac:dyDescent="0.25">
      <c r="A4799">
        <v>862.06192916017005</v>
      </c>
      <c r="B4799">
        <v>898.36801069278999</v>
      </c>
      <c r="C4799" s="1">
        <f t="shared" si="1412"/>
        <v>4.211539833105693E-2</v>
      </c>
      <c r="D4799">
        <v>12.704658525554001</v>
      </c>
      <c r="E4799">
        <v>0.41015494236819</v>
      </c>
      <c r="F4799">
        <v>26</v>
      </c>
    </row>
    <row r="4800" spans="1:9" x14ac:dyDescent="0.25">
      <c r="A4800">
        <v>865.46224103364</v>
      </c>
      <c r="B4800">
        <v>892.65315214967995</v>
      </c>
      <c r="C4800" s="1">
        <f t="shared" si="1412"/>
        <v>3.1417790201413442E-2</v>
      </c>
      <c r="D4800">
        <v>12.610583446404</v>
      </c>
      <c r="E4800">
        <v>0.40361177009472998</v>
      </c>
      <c r="F4800">
        <v>25</v>
      </c>
    </row>
    <row r="4801" spans="1:9" x14ac:dyDescent="0.25">
      <c r="A4801">
        <v>866.87146357764004</v>
      </c>
      <c r="B4801">
        <v>900.60904433056999</v>
      </c>
      <c r="C4801" s="1">
        <f t="shared" si="1412"/>
        <v>3.8918781123204349E-2</v>
      </c>
      <c r="D4801">
        <v>12.850293984622001</v>
      </c>
      <c r="E4801">
        <v>0.41363088741339998</v>
      </c>
      <c r="F4801">
        <v>25</v>
      </c>
    </row>
    <row r="4802" spans="1:9" x14ac:dyDescent="0.25">
      <c r="A4802">
        <v>868.63800400980006</v>
      </c>
      <c r="B4802">
        <v>894.92893740251998</v>
      </c>
      <c r="C4802" s="1">
        <f t="shared" ref="C4802:C4865" si="1431">IFERROR((B4802/A4802)-1,"")</f>
        <v>3.0266846800802938E-2</v>
      </c>
      <c r="D4802">
        <v>12.735413839891001</v>
      </c>
      <c r="E4802">
        <v>0.40722462721451003</v>
      </c>
      <c r="F4802">
        <v>25</v>
      </c>
    </row>
    <row r="4803" spans="1:9" x14ac:dyDescent="0.25">
      <c r="A4803">
        <v>872.54444196925999</v>
      </c>
      <c r="B4803">
        <v>898.91779906437</v>
      </c>
      <c r="C4803" s="1">
        <f t="shared" si="1431"/>
        <v>3.0225803783229033E-2</v>
      </c>
      <c r="D4803">
        <v>12.776119402985</v>
      </c>
      <c r="E4803">
        <v>0.40685518039062002</v>
      </c>
      <c r="F4803">
        <v>25</v>
      </c>
    </row>
    <row r="4804" spans="1:9" x14ac:dyDescent="0.25">
      <c r="A4804">
        <v>868.05524615726995</v>
      </c>
      <c r="B4804">
        <v>893.42347961683004</v>
      </c>
      <c r="C4804" s="1">
        <f t="shared" si="1431"/>
        <v>2.9224215361707495E-2</v>
      </c>
      <c r="D4804">
        <v>12.833107191316</v>
      </c>
      <c r="E4804">
        <v>0.41225519033837998</v>
      </c>
      <c r="F4804">
        <v>25</v>
      </c>
      <c r="H4804" t="s">
        <v>17</v>
      </c>
      <c r="I4804">
        <f t="shared" ref="I4804" si="1432">STDEVP(A4790:A4809)</f>
        <v>4.2900174194137817</v>
      </c>
    </row>
    <row r="4805" spans="1:9" x14ac:dyDescent="0.25">
      <c r="A4805">
        <v>862.55959010916001</v>
      </c>
      <c r="B4805">
        <v>890.72042771217002</v>
      </c>
      <c r="C4805" s="1">
        <f t="shared" si="1431"/>
        <v>3.2647990847155528E-2</v>
      </c>
      <c r="D4805">
        <v>12.561736770692001</v>
      </c>
      <c r="E4805">
        <v>0.40342029812306002</v>
      </c>
      <c r="F4805">
        <v>25</v>
      </c>
      <c r="H4805" t="s">
        <v>18</v>
      </c>
      <c r="I4805">
        <f t="shared" ref="I4805" si="1433">STDEVP(B4790:B4809)</f>
        <v>4.7057115256590114</v>
      </c>
    </row>
    <row r="4806" spans="1:9" x14ac:dyDescent="0.25">
      <c r="A4806">
        <v>860.59166852305998</v>
      </c>
      <c r="B4806">
        <v>891.2474938739</v>
      </c>
      <c r="C4806" s="1">
        <f t="shared" si="1431"/>
        <v>3.5621801223629346E-2</v>
      </c>
      <c r="D4806">
        <v>12.660334690185</v>
      </c>
      <c r="E4806">
        <v>0.40881765193934</v>
      </c>
      <c r="F4806">
        <v>25</v>
      </c>
      <c r="H4806" t="s">
        <v>19</v>
      </c>
      <c r="I4806">
        <f t="shared" ref="I4806" si="1434">STDEVP(C4790:C4809)</f>
        <v>4.4542639581269545E-3</v>
      </c>
    </row>
    <row r="4807" spans="1:9" x14ac:dyDescent="0.25">
      <c r="A4807">
        <v>864.15504566719005</v>
      </c>
      <c r="B4807">
        <v>894.76319893070001</v>
      </c>
      <c r="C4807" s="1">
        <f t="shared" si="1431"/>
        <v>3.5419747205061247E-2</v>
      </c>
      <c r="D4807">
        <v>12.850293984622001</v>
      </c>
      <c r="E4807">
        <v>0.41529045235324002</v>
      </c>
      <c r="F4807">
        <v>25</v>
      </c>
      <c r="H4807" t="s">
        <v>20</v>
      </c>
      <c r="I4807">
        <f t="shared" ref="I4807" si="1435">STDEVP(D4790:D4809)</f>
        <v>0.13919961677901377</v>
      </c>
    </row>
    <row r="4808" spans="1:9" x14ac:dyDescent="0.25">
      <c r="A4808">
        <v>861.01447983960998</v>
      </c>
      <c r="B4808">
        <v>887.68589886387997</v>
      </c>
      <c r="C4808" s="1">
        <f t="shared" si="1431"/>
        <v>3.0976736917639691E-2</v>
      </c>
      <c r="D4808">
        <v>12.549977385798</v>
      </c>
      <c r="E4808">
        <v>0.40407357322554999</v>
      </c>
      <c r="F4808">
        <v>26</v>
      </c>
      <c r="H4808" t="s">
        <v>21</v>
      </c>
      <c r="I4808">
        <f t="shared" ref="I4808" si="1436">STDEVP(E4790:E4809)</f>
        <v>5.4249275299655059E-3</v>
      </c>
    </row>
    <row r="4809" spans="1:9" x14ac:dyDescent="0.25">
      <c r="A4809">
        <v>862.47716640677004</v>
      </c>
      <c r="B4809">
        <v>893.09824014256003</v>
      </c>
      <c r="C4809" s="1">
        <f t="shared" si="1431"/>
        <v>3.550363410009183E-2</v>
      </c>
      <c r="D4809">
        <v>12.792401628223001</v>
      </c>
      <c r="E4809">
        <v>0.41364767768353</v>
      </c>
      <c r="F4809">
        <v>25</v>
      </c>
      <c r="H4809" t="s">
        <v>22</v>
      </c>
      <c r="I4809">
        <f t="shared" ref="I4809" si="1437">STDEVP(F4790:F4809)</f>
        <v>0.57227615711297997</v>
      </c>
    </row>
    <row r="4810" spans="1:9" x14ac:dyDescent="0.25">
      <c r="C4810" s="1" t="str">
        <f t="shared" si="1431"/>
        <v/>
      </c>
    </row>
    <row r="4811" spans="1:9" x14ac:dyDescent="0.25">
      <c r="A4811">
        <v>4109.4586776859996</v>
      </c>
      <c r="B4811">
        <v>4220.4917355370999</v>
      </c>
      <c r="C4811" s="1">
        <f t="shared" si="1431"/>
        <v>2.7018901164282294E-2</v>
      </c>
      <c r="D4811">
        <v>25.021141649049</v>
      </c>
      <c r="E4811">
        <v>0.13514581591159</v>
      </c>
      <c r="F4811">
        <v>38</v>
      </c>
    </row>
    <row r="4812" spans="1:9" x14ac:dyDescent="0.25">
      <c r="A4812">
        <v>4116.9132231405001</v>
      </c>
      <c r="B4812">
        <v>4210.8677685949997</v>
      </c>
      <c r="C4812" s="1">
        <f t="shared" si="1431"/>
        <v>2.2821599669965442E-2</v>
      </c>
      <c r="D4812">
        <v>25.044397463001999</v>
      </c>
      <c r="E4812">
        <v>0.13503967312316001</v>
      </c>
      <c r="F4812">
        <v>38</v>
      </c>
    </row>
    <row r="4813" spans="1:9" x14ac:dyDescent="0.25">
      <c r="A4813">
        <v>4119.9049586777001</v>
      </c>
      <c r="B4813">
        <v>4196.3347107438003</v>
      </c>
      <c r="C4813" s="1">
        <f t="shared" si="1431"/>
        <v>1.8551338643168824E-2</v>
      </c>
      <c r="D4813">
        <v>25.23467230444</v>
      </c>
      <c r="E4813">
        <v>0.13607150944551</v>
      </c>
      <c r="F4813">
        <v>38</v>
      </c>
    </row>
    <row r="4814" spans="1:9" x14ac:dyDescent="0.25">
      <c r="A4814">
        <v>4139.9173553719002</v>
      </c>
      <c r="B4814">
        <v>4237.2644628098997</v>
      </c>
      <c r="C4814" s="1">
        <f t="shared" si="1431"/>
        <v>2.3514263469941898E-2</v>
      </c>
      <c r="D4814">
        <v>24.949260042283001</v>
      </c>
      <c r="E4814">
        <v>0.13360798340873001</v>
      </c>
      <c r="F4814">
        <v>39</v>
      </c>
    </row>
    <row r="4815" spans="1:9" x14ac:dyDescent="0.25">
      <c r="A4815">
        <v>4127.3925619834999</v>
      </c>
      <c r="B4815">
        <v>4211.4545454544996</v>
      </c>
      <c r="C4815" s="1">
        <f t="shared" si="1431"/>
        <v>2.0366849580840896E-2</v>
      </c>
      <c r="D4815">
        <v>25.054968287525998</v>
      </c>
      <c r="E4815">
        <v>0.13470808476176999</v>
      </c>
      <c r="F4815">
        <v>38</v>
      </c>
    </row>
    <row r="4816" spans="1:9" x14ac:dyDescent="0.25">
      <c r="A4816">
        <v>4120.7851239668998</v>
      </c>
      <c r="B4816">
        <v>4222.2231404958002</v>
      </c>
      <c r="C4816" s="1">
        <f t="shared" si="1431"/>
        <v>2.4616186837534082E-2</v>
      </c>
      <c r="D4816">
        <v>25.016913319238999</v>
      </c>
      <c r="E4816">
        <v>0.13474248537742001</v>
      </c>
      <c r="F4816">
        <v>38</v>
      </c>
    </row>
    <row r="4817" spans="1:9" x14ac:dyDescent="0.25">
      <c r="A4817">
        <v>4129.6446280992004</v>
      </c>
      <c r="B4817">
        <v>4243.5578512395996</v>
      </c>
      <c r="C4817" s="1">
        <f t="shared" si="1431"/>
        <v>2.7584267751588953E-2</v>
      </c>
      <c r="D4817">
        <v>25.088794926003999</v>
      </c>
      <c r="E4817">
        <v>0.13492378094803001</v>
      </c>
      <c r="F4817">
        <v>38</v>
      </c>
    </row>
    <row r="4818" spans="1:9" x14ac:dyDescent="0.25">
      <c r="A4818">
        <v>4119.6446280992004</v>
      </c>
      <c r="B4818">
        <v>4224.1528925619004</v>
      </c>
      <c r="C4818" s="1">
        <f t="shared" si="1431"/>
        <v>2.5368271755741301E-2</v>
      </c>
      <c r="D4818">
        <v>25.135306553911001</v>
      </c>
      <c r="E4818">
        <v>0.13548776198307999</v>
      </c>
      <c r="F4818">
        <v>39</v>
      </c>
    </row>
    <row r="4819" spans="1:9" x14ac:dyDescent="0.25">
      <c r="A4819">
        <v>4101.6322314050003</v>
      </c>
      <c r="B4819">
        <v>4200.4710743800997</v>
      </c>
      <c r="C4819" s="1">
        <f t="shared" si="1431"/>
        <v>2.4097441554686183E-2</v>
      </c>
      <c r="D4819">
        <v>25.025369978857999</v>
      </c>
      <c r="E4819">
        <v>0.13545905589821</v>
      </c>
      <c r="F4819">
        <v>38</v>
      </c>
    </row>
    <row r="4820" spans="1:9" x14ac:dyDescent="0.25">
      <c r="A4820">
        <v>4118.7355371901003</v>
      </c>
      <c r="B4820">
        <v>4220.8719008263997</v>
      </c>
      <c r="C4820" s="1">
        <f t="shared" si="1431"/>
        <v>2.4797990236095524E-2</v>
      </c>
      <c r="D4820">
        <v>24.902748414375999</v>
      </c>
      <c r="E4820">
        <v>0.13411843195746001</v>
      </c>
      <c r="F4820">
        <v>38</v>
      </c>
    </row>
    <row r="4821" spans="1:9" x14ac:dyDescent="0.25">
      <c r="A4821">
        <v>4138.5785123966998</v>
      </c>
      <c r="B4821">
        <v>4225.9214876033002</v>
      </c>
      <c r="C4821" s="1">
        <f t="shared" si="1431"/>
        <v>2.1104583359956353E-2</v>
      </c>
      <c r="D4821">
        <v>24.959830866808002</v>
      </c>
      <c r="E4821">
        <v>0.13377108439801999</v>
      </c>
      <c r="F4821">
        <v>38</v>
      </c>
    </row>
    <row r="4822" spans="1:9" x14ac:dyDescent="0.25">
      <c r="A4822">
        <v>4117.7231404959002</v>
      </c>
      <c r="B4822">
        <v>4211.7603305784996</v>
      </c>
      <c r="C4822" s="1">
        <f t="shared" si="1431"/>
        <v>2.2837181343686508E-2</v>
      </c>
      <c r="D4822">
        <v>25.095137420718999</v>
      </c>
      <c r="E4822">
        <v>0.13532763984106999</v>
      </c>
      <c r="F4822">
        <v>39</v>
      </c>
    </row>
    <row r="4823" spans="1:9" x14ac:dyDescent="0.25">
      <c r="A4823">
        <v>4112.2148760331002</v>
      </c>
      <c r="B4823">
        <v>4189.5495867768004</v>
      </c>
      <c r="C4823" s="1">
        <f t="shared" si="1431"/>
        <v>1.8806096732547628E-2</v>
      </c>
      <c r="D4823">
        <v>24.890063424947002</v>
      </c>
      <c r="E4823">
        <v>0.13425693524023</v>
      </c>
      <c r="F4823">
        <v>38</v>
      </c>
    </row>
    <row r="4824" spans="1:9" x14ac:dyDescent="0.25">
      <c r="A4824">
        <v>4111.3884297520999</v>
      </c>
      <c r="B4824">
        <v>4224.8677685949997</v>
      </c>
      <c r="C4824" s="1">
        <f t="shared" si="1431"/>
        <v>2.7601220556468409E-2</v>
      </c>
      <c r="D4824">
        <v>24.964059196617001</v>
      </c>
      <c r="E4824">
        <v>0.13474986197599001</v>
      </c>
      <c r="F4824">
        <v>38</v>
      </c>
    </row>
    <row r="4825" spans="1:9" x14ac:dyDescent="0.25">
      <c r="A4825">
        <v>4110.5330578512003</v>
      </c>
      <c r="B4825">
        <v>4197.1942148759999</v>
      </c>
      <c r="C4825" s="1">
        <f t="shared" si="1431"/>
        <v>2.1082705285455638E-2</v>
      </c>
      <c r="D4825">
        <v>24.936575052854</v>
      </c>
      <c r="E4825">
        <v>0.13459327459324</v>
      </c>
      <c r="F4825">
        <v>39</v>
      </c>
      <c r="H4825" t="s">
        <v>17</v>
      </c>
      <c r="I4825">
        <f t="shared" ref="I4825" si="1438">STDEVP(A4811:A4830)</f>
        <v>10.041577386815057</v>
      </c>
    </row>
    <row r="4826" spans="1:9" x14ac:dyDescent="0.25">
      <c r="A4826">
        <v>4119.7685950412997</v>
      </c>
      <c r="B4826">
        <v>4213.1528925619004</v>
      </c>
      <c r="C4826" s="1">
        <f t="shared" si="1431"/>
        <v>2.2667364772138265E-2</v>
      </c>
      <c r="D4826">
        <v>25.002114164904999</v>
      </c>
      <c r="E4826">
        <v>0.1346810429625</v>
      </c>
      <c r="F4826">
        <v>38</v>
      </c>
      <c r="H4826" t="s">
        <v>18</v>
      </c>
      <c r="I4826">
        <f t="shared" ref="I4826" si="1439">STDEVP(B4811:B4830)</f>
        <v>13.343616427712126</v>
      </c>
    </row>
    <row r="4827" spans="1:9" x14ac:dyDescent="0.25">
      <c r="A4827">
        <v>4125.3842975206999</v>
      </c>
      <c r="B4827">
        <v>4207.3760330577998</v>
      </c>
      <c r="C4827" s="1">
        <f t="shared" si="1431"/>
        <v>1.9874932763567221E-2</v>
      </c>
      <c r="D4827">
        <v>25.012684989429001</v>
      </c>
      <c r="E4827">
        <v>0.13451730777432</v>
      </c>
      <c r="F4827">
        <v>38</v>
      </c>
      <c r="H4827" t="s">
        <v>19</v>
      </c>
      <c r="I4827">
        <f t="shared" ref="I4827" si="1440">STDEVP(C4811:C4830)</f>
        <v>2.7906243363924575E-3</v>
      </c>
    </row>
    <row r="4828" spans="1:9" x14ac:dyDescent="0.25">
      <c r="A4828">
        <v>4118.2314049587003</v>
      </c>
      <c r="B4828">
        <v>4228.0041322314</v>
      </c>
      <c r="C4828" s="1">
        <f t="shared" si="1431"/>
        <v>2.6655308184120985E-2</v>
      </c>
      <c r="D4828">
        <v>25.021141649049</v>
      </c>
      <c r="E4828">
        <v>0.13487066806956999</v>
      </c>
      <c r="F4828">
        <v>38</v>
      </c>
      <c r="H4828" t="s">
        <v>20</v>
      </c>
      <c r="I4828">
        <f t="shared" ref="I4828" si="1441">STDEVP(D4811:D4830)</f>
        <v>8.5270524285947571E-2</v>
      </c>
    </row>
    <row r="4829" spans="1:9" x14ac:dyDescent="0.25">
      <c r="A4829">
        <v>4131.5785123966998</v>
      </c>
      <c r="B4829">
        <v>4221.3016528925</v>
      </c>
      <c r="C4829" s="1">
        <f t="shared" si="1431"/>
        <v>2.1716431196112662E-2</v>
      </c>
      <c r="D4829">
        <v>24.936575052854</v>
      </c>
      <c r="E4829">
        <v>0.13384805287832999</v>
      </c>
      <c r="F4829">
        <v>39</v>
      </c>
      <c r="H4829" t="s">
        <v>21</v>
      </c>
      <c r="I4829">
        <f t="shared" ref="I4829" si="1442">STDEVP(E4811:E4830)</f>
        <v>6.026388234596818E-4</v>
      </c>
    </row>
    <row r="4830" spans="1:9" x14ac:dyDescent="0.25">
      <c r="A4830">
        <v>4103.4628099173997</v>
      </c>
      <c r="B4830">
        <v>4211.2438016528004</v>
      </c>
      <c r="C4830" s="1">
        <f t="shared" si="1431"/>
        <v>2.6265862937739248E-2</v>
      </c>
      <c r="D4830">
        <v>24.879492600422999</v>
      </c>
      <c r="E4830">
        <v>0.13449538280953999</v>
      </c>
      <c r="F4830">
        <v>38</v>
      </c>
      <c r="H4830" t="s">
        <v>22</v>
      </c>
      <c r="I4830">
        <f t="shared" ref="I4830" si="1443">STDEVP(F4811:F4830)</f>
        <v>0.4330127018922193</v>
      </c>
    </row>
    <row r="4831" spans="1:9" x14ac:dyDescent="0.25">
      <c r="C4831" s="1" t="str">
        <f t="shared" si="1431"/>
        <v/>
      </c>
    </row>
    <row r="4832" spans="1:9" x14ac:dyDescent="0.25">
      <c r="A4832">
        <v>2930.7</v>
      </c>
      <c r="B4832">
        <v>3015.7</v>
      </c>
      <c r="C4832" s="1">
        <f t="shared" si="1431"/>
        <v>2.9003309789470189E-2</v>
      </c>
      <c r="D4832">
        <v>18.210526315789</v>
      </c>
      <c r="E4832">
        <v>0.13394214713050001</v>
      </c>
      <c r="F4832">
        <v>54</v>
      </c>
    </row>
    <row r="4833" spans="1:9" x14ac:dyDescent="0.25">
      <c r="A4833">
        <v>2936.3</v>
      </c>
      <c r="B4833">
        <v>3001.8</v>
      </c>
      <c r="C4833" s="1">
        <f t="shared" si="1431"/>
        <v>2.2306984981098621E-2</v>
      </c>
      <c r="D4833">
        <v>18.157894736842</v>
      </c>
      <c r="E4833">
        <v>0.13327952153818001</v>
      </c>
      <c r="F4833">
        <v>48</v>
      </c>
    </row>
    <row r="4834" spans="1:9" x14ac:dyDescent="0.25">
      <c r="A4834">
        <v>2911.8</v>
      </c>
      <c r="B4834">
        <v>2984.8</v>
      </c>
      <c r="C4834" s="1">
        <f t="shared" si="1431"/>
        <v>2.5070403187032131E-2</v>
      </c>
      <c r="D4834">
        <v>17.884210526316</v>
      </c>
      <c r="E4834">
        <v>0.13213199464885</v>
      </c>
      <c r="F4834">
        <v>64</v>
      </c>
    </row>
    <row r="4835" spans="1:9" x14ac:dyDescent="0.25">
      <c r="A4835">
        <v>2904.7</v>
      </c>
      <c r="B4835">
        <v>3020.2</v>
      </c>
      <c r="C4835" s="1">
        <f t="shared" si="1431"/>
        <v>3.9763142493200787E-2</v>
      </c>
      <c r="D4835">
        <v>18.105263157894999</v>
      </c>
      <c r="E4835">
        <v>0.13437343612419</v>
      </c>
      <c r="F4835">
        <v>53</v>
      </c>
    </row>
    <row r="4836" spans="1:9" x14ac:dyDescent="0.25">
      <c r="A4836">
        <v>2942.1</v>
      </c>
      <c r="B4836">
        <v>3018.1</v>
      </c>
      <c r="C4836" s="1">
        <f t="shared" si="1431"/>
        <v>2.5831888786920887E-2</v>
      </c>
      <c r="D4836">
        <v>18.115789473684</v>
      </c>
      <c r="E4836">
        <v>0.13262354068939999</v>
      </c>
      <c r="F4836">
        <v>51</v>
      </c>
    </row>
    <row r="4837" spans="1:9" x14ac:dyDescent="0.25">
      <c r="A4837">
        <v>2905</v>
      </c>
      <c r="B4837">
        <v>3013.9</v>
      </c>
      <c r="C4837" s="1">
        <f t="shared" si="1431"/>
        <v>3.7487091222031088E-2</v>
      </c>
      <c r="D4837">
        <v>17.536842105262998</v>
      </c>
      <c r="E4837">
        <v>0.12967690099834001</v>
      </c>
      <c r="F4837">
        <v>63</v>
      </c>
    </row>
    <row r="4838" spans="1:9" x14ac:dyDescent="0.25">
      <c r="A4838">
        <v>2926.8</v>
      </c>
      <c r="B4838">
        <v>3022</v>
      </c>
      <c r="C4838" s="1">
        <f t="shared" si="1431"/>
        <v>3.2526991936586036E-2</v>
      </c>
      <c r="D4838">
        <v>18.242105263157999</v>
      </c>
      <c r="E4838">
        <v>0.13444019022236001</v>
      </c>
      <c r="F4838">
        <v>60</v>
      </c>
    </row>
    <row r="4839" spans="1:9" x14ac:dyDescent="0.25">
      <c r="A4839">
        <v>2914.1</v>
      </c>
      <c r="B4839">
        <v>3002.3</v>
      </c>
      <c r="C4839" s="1">
        <f t="shared" si="1431"/>
        <v>3.0266634638481893E-2</v>
      </c>
      <c r="D4839">
        <v>18.063157894737</v>
      </c>
      <c r="E4839">
        <v>0.13354949309413</v>
      </c>
      <c r="F4839">
        <v>55</v>
      </c>
    </row>
    <row r="4840" spans="1:9" x14ac:dyDescent="0.25">
      <c r="A4840">
        <v>2902.9</v>
      </c>
      <c r="B4840">
        <v>2990.4</v>
      </c>
      <c r="C4840" s="1">
        <f t="shared" si="1431"/>
        <v>3.0142271521581776E-2</v>
      </c>
      <c r="D4840">
        <v>17.768421052632</v>
      </c>
      <c r="E4840">
        <v>0.13161949166449</v>
      </c>
      <c r="F4840">
        <v>53</v>
      </c>
    </row>
    <row r="4841" spans="1:9" x14ac:dyDescent="0.25">
      <c r="A4841">
        <v>2927.4</v>
      </c>
      <c r="B4841">
        <v>3017.5</v>
      </c>
      <c r="C4841" s="1">
        <f t="shared" si="1431"/>
        <v>3.0778164924506246E-2</v>
      </c>
      <c r="D4841">
        <v>17.884210526316</v>
      </c>
      <c r="E4841">
        <v>0.13132086628511999</v>
      </c>
      <c r="F4841">
        <v>60</v>
      </c>
    </row>
    <row r="4842" spans="1:9" x14ac:dyDescent="0.25">
      <c r="A4842">
        <v>2902.6</v>
      </c>
      <c r="B4842">
        <v>3008.9</v>
      </c>
      <c r="C4842" s="1">
        <f t="shared" si="1431"/>
        <v>3.6622338592985582E-2</v>
      </c>
      <c r="D4842">
        <v>17.715789473684001</v>
      </c>
      <c r="E4842">
        <v>0.13122731705682</v>
      </c>
      <c r="F4842">
        <v>61</v>
      </c>
    </row>
    <row r="4843" spans="1:9" x14ac:dyDescent="0.25">
      <c r="A4843">
        <v>2920.5</v>
      </c>
      <c r="B4843">
        <v>3006.2</v>
      </c>
      <c r="C4843" s="1">
        <f t="shared" si="1431"/>
        <v>2.9344290361239533E-2</v>
      </c>
      <c r="D4843">
        <v>17.957894736842</v>
      </c>
      <c r="E4843">
        <v>0.13234958394620999</v>
      </c>
      <c r="F4843">
        <v>54</v>
      </c>
    </row>
    <row r="4844" spans="1:9" x14ac:dyDescent="0.25">
      <c r="A4844">
        <v>2916.1</v>
      </c>
      <c r="B4844">
        <v>3020.6</v>
      </c>
      <c r="C4844" s="1">
        <f t="shared" si="1431"/>
        <v>3.5835533760844918E-2</v>
      </c>
      <c r="D4844">
        <v>18.063157894737</v>
      </c>
      <c r="E4844">
        <v>0.13346689032664999</v>
      </c>
      <c r="F4844">
        <v>61</v>
      </c>
    </row>
    <row r="4845" spans="1:9" x14ac:dyDescent="0.25">
      <c r="A4845">
        <v>2922.8</v>
      </c>
      <c r="B4845">
        <v>2994.8</v>
      </c>
      <c r="C4845" s="1">
        <f t="shared" si="1431"/>
        <v>2.4633912686464976E-2</v>
      </c>
      <c r="D4845">
        <v>17.768421052632</v>
      </c>
      <c r="E4845">
        <v>0.13071520557242</v>
      </c>
      <c r="F4845">
        <v>54</v>
      </c>
    </row>
    <row r="4846" spans="1:9" x14ac:dyDescent="0.25">
      <c r="A4846">
        <v>2927.1</v>
      </c>
      <c r="B4846">
        <v>3016.3</v>
      </c>
      <c r="C4846" s="1">
        <f t="shared" si="1431"/>
        <v>3.0473847835742029E-2</v>
      </c>
      <c r="D4846">
        <v>17.642105263158001</v>
      </c>
      <c r="E4846">
        <v>0.12942127704249001</v>
      </c>
      <c r="F4846">
        <v>61</v>
      </c>
      <c r="H4846" t="s">
        <v>17</v>
      </c>
      <c r="I4846">
        <f t="shared" ref="I4846" si="1444">STDEVP(A4832:A4851)</f>
        <v>12.31982142727726</v>
      </c>
    </row>
    <row r="4847" spans="1:9" x14ac:dyDescent="0.25">
      <c r="A4847">
        <v>2922.3</v>
      </c>
      <c r="B4847">
        <v>3022.6</v>
      </c>
      <c r="C4847" s="1">
        <f t="shared" si="1431"/>
        <v>3.4322280395578719E-2</v>
      </c>
      <c r="D4847">
        <v>17.957894736842</v>
      </c>
      <c r="E4847">
        <v>0.13234674808067001</v>
      </c>
      <c r="F4847">
        <v>59</v>
      </c>
      <c r="H4847" t="s">
        <v>18</v>
      </c>
      <c r="I4847">
        <f t="shared" ref="I4847" si="1445">STDEVP(B4832:B4851)</f>
        <v>10.948628909594063</v>
      </c>
    </row>
    <row r="4848" spans="1:9" x14ac:dyDescent="0.25">
      <c r="A4848">
        <v>2912.5</v>
      </c>
      <c r="B4848">
        <v>3005.5</v>
      </c>
      <c r="C4848" s="1">
        <f t="shared" si="1431"/>
        <v>3.1931330472102948E-2</v>
      </c>
      <c r="D4848">
        <v>17.8</v>
      </c>
      <c r="E4848">
        <v>0.13143628980472999</v>
      </c>
      <c r="F4848">
        <v>57</v>
      </c>
      <c r="H4848" t="s">
        <v>19</v>
      </c>
      <c r="I4848">
        <f t="shared" ref="I4848" si="1446">STDEVP(C4832:C4851)</f>
        <v>4.7801381453978628E-3</v>
      </c>
    </row>
    <row r="4849" spans="1:9" x14ac:dyDescent="0.25">
      <c r="A4849">
        <v>2924.9</v>
      </c>
      <c r="B4849">
        <v>2996.2</v>
      </c>
      <c r="C4849" s="1">
        <f t="shared" si="1431"/>
        <v>2.4376901774419535E-2</v>
      </c>
      <c r="D4849">
        <v>18.094736842105</v>
      </c>
      <c r="E4849">
        <v>0.13326386887208999</v>
      </c>
      <c r="F4849">
        <v>54</v>
      </c>
      <c r="H4849" t="s">
        <v>20</v>
      </c>
      <c r="I4849">
        <f t="shared" ref="I4849" si="1447">STDEVP(D4832:D4851)</f>
        <v>0.22030952791163147</v>
      </c>
    </row>
    <row r="4850" spans="1:9" x14ac:dyDescent="0.25">
      <c r="A4850">
        <v>2891.8</v>
      </c>
      <c r="B4850">
        <v>2999.2</v>
      </c>
      <c r="C4850" s="1">
        <f t="shared" si="1431"/>
        <v>3.7139497890587014E-2</v>
      </c>
      <c r="D4850">
        <v>17.494736842104999</v>
      </c>
      <c r="E4850">
        <v>0.12987914415370999</v>
      </c>
      <c r="F4850">
        <v>50</v>
      </c>
      <c r="H4850" t="s">
        <v>21</v>
      </c>
      <c r="I4850">
        <f t="shared" ref="I4850" si="1448">STDEVP(E4832:E4851)</f>
        <v>1.5245380433456007E-3</v>
      </c>
    </row>
    <row r="4851" spans="1:9" x14ac:dyDescent="0.25">
      <c r="A4851">
        <v>2923.6</v>
      </c>
      <c r="B4851">
        <v>3010.9</v>
      </c>
      <c r="C4851" s="1">
        <f t="shared" si="1431"/>
        <v>2.9860446025448129E-2</v>
      </c>
      <c r="D4851">
        <v>18.189473684210999</v>
      </c>
      <c r="E4851">
        <v>0.13407153330422</v>
      </c>
      <c r="F4851">
        <v>57</v>
      </c>
      <c r="H4851" t="s">
        <v>22</v>
      </c>
      <c r="I4851">
        <f t="shared" ref="I4851" si="1449">STDEVP(F4832:F4851)</f>
        <v>4.3985793160974147</v>
      </c>
    </row>
    <row r="4852" spans="1:9" x14ac:dyDescent="0.25">
      <c r="C4852" s="1" t="str">
        <f t="shared" si="1431"/>
        <v/>
      </c>
    </row>
    <row r="4853" spans="1:9" x14ac:dyDescent="0.25">
      <c r="A4853">
        <v>1137.5548502280999</v>
      </c>
      <c r="B4853">
        <v>1166.7073993255001</v>
      </c>
      <c r="C4853" s="1">
        <f t="shared" si="1431"/>
        <v>2.56273788394068E-2</v>
      </c>
      <c r="D4853">
        <v>16.123138832997999</v>
      </c>
      <c r="E4853">
        <v>0.38868816119677002</v>
      </c>
      <c r="F4853">
        <v>25</v>
      </c>
    </row>
    <row r="4854" spans="1:9" x14ac:dyDescent="0.25">
      <c r="A4854">
        <v>1129.7397341797</v>
      </c>
      <c r="B4854">
        <v>1157.2251537392999</v>
      </c>
      <c r="C4854" s="1">
        <f t="shared" si="1431"/>
        <v>2.4328983683624239E-2</v>
      </c>
      <c r="D4854">
        <v>15.781086519115</v>
      </c>
      <c r="E4854">
        <v>0.38089355493765997</v>
      </c>
      <c r="F4854">
        <v>26</v>
      </c>
    </row>
    <row r="4855" spans="1:9" x14ac:dyDescent="0.25">
      <c r="A4855">
        <v>1120.9438603451999</v>
      </c>
      <c r="B4855">
        <v>1160.6637571910001</v>
      </c>
      <c r="C4855" s="1">
        <f t="shared" si="1431"/>
        <v>3.5434331950904507E-2</v>
      </c>
      <c r="D4855">
        <v>15.549295774648</v>
      </c>
      <c r="E4855">
        <v>0.37741887065988999</v>
      </c>
      <c r="F4855">
        <v>26</v>
      </c>
    </row>
    <row r="4856" spans="1:9" x14ac:dyDescent="0.25">
      <c r="A4856">
        <v>1127.463995239</v>
      </c>
      <c r="B4856">
        <v>1156.3999206507001</v>
      </c>
      <c r="C4856" s="1">
        <f t="shared" si="1431"/>
        <v>2.5664611494370826E-2</v>
      </c>
      <c r="D4856">
        <v>15.917102615694001</v>
      </c>
      <c r="E4856">
        <v>0.38657361592181999</v>
      </c>
      <c r="F4856">
        <v>25</v>
      </c>
    </row>
    <row r="4857" spans="1:9" x14ac:dyDescent="0.25">
      <c r="A4857">
        <v>1127.0343185876</v>
      </c>
      <c r="B4857">
        <v>1154.3927792105001</v>
      </c>
      <c r="C4857" s="1">
        <f t="shared" si="1431"/>
        <v>2.427473606765207E-2</v>
      </c>
      <c r="D4857">
        <v>15.913883299799</v>
      </c>
      <c r="E4857">
        <v>0.38661139643886</v>
      </c>
      <c r="F4857">
        <v>26</v>
      </c>
    </row>
    <row r="4858" spans="1:9" x14ac:dyDescent="0.25">
      <c r="A4858">
        <v>1128.9934536798</v>
      </c>
      <c r="B4858">
        <v>1163.2858559809999</v>
      </c>
      <c r="C4858" s="1">
        <f t="shared" si="1431"/>
        <v>3.0374314562611859E-2</v>
      </c>
      <c r="D4858">
        <v>16.130382293762999</v>
      </c>
      <c r="E4858">
        <v>0.39303479674984998</v>
      </c>
      <c r="F4858">
        <v>26</v>
      </c>
    </row>
    <row r="4859" spans="1:9" x14ac:dyDescent="0.25">
      <c r="A4859">
        <v>1138.3697679032</v>
      </c>
      <c r="B4859">
        <v>1166.9394961317</v>
      </c>
      <c r="C4859" s="1">
        <f t="shared" si="1431"/>
        <v>2.5097054607417624E-2</v>
      </c>
      <c r="D4859">
        <v>16.115895372232998</v>
      </c>
      <c r="E4859">
        <v>0.38817356005893999</v>
      </c>
      <c r="F4859">
        <v>25</v>
      </c>
    </row>
    <row r="4860" spans="1:9" x14ac:dyDescent="0.25">
      <c r="A4860">
        <v>1141.5024796667001</v>
      </c>
      <c r="B4860">
        <v>1173.7841698075999</v>
      </c>
      <c r="C4860" s="1">
        <f t="shared" si="1431"/>
        <v>2.8280000013951367E-2</v>
      </c>
      <c r="D4860">
        <v>16.19476861167</v>
      </c>
      <c r="E4860">
        <v>0.3892658003269</v>
      </c>
      <c r="F4860">
        <v>26</v>
      </c>
    </row>
    <row r="4861" spans="1:9" x14ac:dyDescent="0.25">
      <c r="A4861">
        <v>1125.2199960324999</v>
      </c>
      <c r="B4861">
        <v>1160.6831977782001</v>
      </c>
      <c r="C4861" s="1">
        <f t="shared" si="1431"/>
        <v>3.1516682844903832E-2</v>
      </c>
      <c r="D4861">
        <v>16.054728370221</v>
      </c>
      <c r="E4861">
        <v>0.39230360363266997</v>
      </c>
      <c r="F4861">
        <v>26</v>
      </c>
    </row>
    <row r="4862" spans="1:9" x14ac:dyDescent="0.25">
      <c r="A4862">
        <v>1126.5173576671</v>
      </c>
      <c r="B4862">
        <v>1157.5199365205001</v>
      </c>
      <c r="C4862" s="1">
        <f t="shared" si="1431"/>
        <v>2.7520728946070827E-2</v>
      </c>
      <c r="D4862">
        <v>15.991951710262001</v>
      </c>
      <c r="E4862">
        <v>0.38973701930234</v>
      </c>
      <c r="F4862">
        <v>25</v>
      </c>
    </row>
    <row r="4863" spans="1:9" x14ac:dyDescent="0.25">
      <c r="A4863">
        <v>1131.0378893077</v>
      </c>
      <c r="B4863">
        <v>1164.5602063082999</v>
      </c>
      <c r="C4863" s="1">
        <f t="shared" si="1431"/>
        <v>2.9638544665482991E-2</v>
      </c>
      <c r="D4863">
        <v>15.801207243461</v>
      </c>
      <c r="E4863">
        <v>0.38104532500153998</v>
      </c>
      <c r="F4863">
        <v>26</v>
      </c>
    </row>
    <row r="4864" spans="1:9" x14ac:dyDescent="0.25">
      <c r="A4864">
        <v>1134.8442769292001</v>
      </c>
      <c r="B4864">
        <v>1164.2562983534999</v>
      </c>
      <c r="C4864" s="1">
        <f t="shared" si="1431"/>
        <v>2.5917231132262852E-2</v>
      </c>
      <c r="D4864">
        <v>15.974245472837</v>
      </c>
      <c r="E4864">
        <v>0.3847334768183</v>
      </c>
      <c r="F4864">
        <v>26</v>
      </c>
    </row>
    <row r="4865" spans="1:9" x14ac:dyDescent="0.25">
      <c r="A4865">
        <v>1132.8288038088001</v>
      </c>
      <c r="B4865">
        <v>1168.1725848046001</v>
      </c>
      <c r="C4865" s="1">
        <f t="shared" si="1431"/>
        <v>3.1199578327252064E-2</v>
      </c>
      <c r="D4865">
        <v>15.757746478873001</v>
      </c>
      <c r="E4865">
        <v>0.37854774022156001</v>
      </c>
      <c r="F4865">
        <v>25</v>
      </c>
    </row>
    <row r="4866" spans="1:9" x14ac:dyDescent="0.25">
      <c r="A4866">
        <v>1123.7817893275001</v>
      </c>
      <c r="B4866">
        <v>1156.1737750446</v>
      </c>
      <c r="C4866" s="1">
        <f t="shared" ref="C4866:C4929" si="1450">IFERROR((B4866/A4866)-1,"")</f>
        <v>2.8824088470488674E-2</v>
      </c>
      <c r="D4866">
        <v>16.117505030181</v>
      </c>
      <c r="E4866">
        <v>0.39497633248054997</v>
      </c>
      <c r="F4866">
        <v>26</v>
      </c>
    </row>
    <row r="4867" spans="1:9" x14ac:dyDescent="0.25">
      <c r="A4867">
        <v>1134.0595120016001</v>
      </c>
      <c r="B4867">
        <v>1158.2896250744</v>
      </c>
      <c r="C4867" s="1">
        <f t="shared" si="1450"/>
        <v>2.1365821472661528E-2</v>
      </c>
      <c r="D4867">
        <v>16.045875251508999</v>
      </c>
      <c r="E4867">
        <v>0.38762792656643003</v>
      </c>
      <c r="F4867">
        <v>25</v>
      </c>
      <c r="H4867" t="s">
        <v>17</v>
      </c>
      <c r="I4867">
        <f t="shared" ref="I4867" si="1451">STDEVP(A4853:A4872)</f>
        <v>6.2605067105443544</v>
      </c>
    </row>
    <row r="4868" spans="1:9" x14ac:dyDescent="0.25">
      <c r="A4868">
        <v>1142.1384645904</v>
      </c>
      <c r="B4868">
        <v>1174.6653441777</v>
      </c>
      <c r="C4868" s="1">
        <f t="shared" si="1450"/>
        <v>2.8478928427443373E-2</v>
      </c>
      <c r="D4868">
        <v>16.265593561368</v>
      </c>
      <c r="E4868">
        <v>0.39132953310697999</v>
      </c>
      <c r="F4868">
        <v>26</v>
      </c>
      <c r="H4868" t="s">
        <v>18</v>
      </c>
      <c r="I4868">
        <f t="shared" ref="I4868" si="1452">STDEVP(B4853:B4872)</f>
        <v>5.7634837970227313</v>
      </c>
    </row>
    <row r="4869" spans="1:9" x14ac:dyDescent="0.25">
      <c r="A4869">
        <v>1135.3612378496</v>
      </c>
      <c r="B4869">
        <v>1167.6572108708999</v>
      </c>
      <c r="C4869" s="1">
        <f t="shared" si="1450"/>
        <v>2.8445548381120789E-2</v>
      </c>
      <c r="D4869">
        <v>16.010462776659999</v>
      </c>
      <c r="E4869">
        <v>0.38608372378950001</v>
      </c>
      <c r="F4869">
        <v>26</v>
      </c>
      <c r="H4869" t="s">
        <v>19</v>
      </c>
      <c r="I4869">
        <f t="shared" ref="I4869" si="1453">STDEVP(C4853:C4872)</f>
        <v>3.6853679732811173E-3</v>
      </c>
    </row>
    <row r="4870" spans="1:9" x14ac:dyDescent="0.25">
      <c r="A4870">
        <v>1119.6853798848999</v>
      </c>
      <c r="B4870">
        <v>1155.7627454870001</v>
      </c>
      <c r="C4870" s="1">
        <f t="shared" si="1450"/>
        <v>3.2220984796469176E-2</v>
      </c>
      <c r="D4870">
        <v>15.731187122735999</v>
      </c>
      <c r="E4870">
        <v>0.38406451082965998</v>
      </c>
      <c r="F4870">
        <v>26</v>
      </c>
      <c r="H4870" t="s">
        <v>20</v>
      </c>
      <c r="I4870">
        <f t="shared" ref="I4870" si="1454">STDEVP(D4853:D4872)</f>
        <v>0.1730134463558729</v>
      </c>
    </row>
    <row r="4871" spans="1:9" x14ac:dyDescent="0.25">
      <c r="A4871">
        <v>1125.3239436619999</v>
      </c>
      <c r="B4871">
        <v>1163.2612576869999</v>
      </c>
      <c r="C4871" s="1">
        <f t="shared" si="1450"/>
        <v>3.3712349442726053E-2</v>
      </c>
      <c r="D4871">
        <v>15.942857142856999</v>
      </c>
      <c r="E4871">
        <v>0.38840121136028</v>
      </c>
      <c r="F4871">
        <v>25</v>
      </c>
      <c r="H4871" t="s">
        <v>21</v>
      </c>
      <c r="I4871">
        <f t="shared" ref="I4871" si="1455">STDEVP(E4853:E4872)</f>
        <v>4.622853345080797E-3</v>
      </c>
    </row>
    <row r="4872" spans="1:9" x14ac:dyDescent="0.25">
      <c r="A4872">
        <v>1127.8988295972999</v>
      </c>
      <c r="B4872">
        <v>1167.1696092044999</v>
      </c>
      <c r="C4872" s="1">
        <f t="shared" si="1450"/>
        <v>3.4817643725387093E-2</v>
      </c>
      <c r="D4872">
        <v>16.030583501005999</v>
      </c>
      <c r="E4872">
        <v>0.39022229963454003</v>
      </c>
      <c r="F4872">
        <v>26</v>
      </c>
      <c r="H4872" t="s">
        <v>22</v>
      </c>
      <c r="I4872">
        <f t="shared" ref="I4872" si="1456">STDEVP(F4853:F4872)</f>
        <v>0.47696960070847289</v>
      </c>
    </row>
    <row r="4873" spans="1:9" x14ac:dyDescent="0.25">
      <c r="C4873" s="1" t="str">
        <f t="shared" si="1450"/>
        <v/>
      </c>
    </row>
    <row r="4874" spans="1:9" x14ac:dyDescent="0.25">
      <c r="A4874">
        <v>418.27032136105998</v>
      </c>
      <c r="B4874">
        <v>440.21172022683999</v>
      </c>
      <c r="C4874" s="1">
        <f t="shared" si="1450"/>
        <v>5.2457460511140752E-2</v>
      </c>
      <c r="D4874">
        <v>6.9893719806763004</v>
      </c>
      <c r="E4874">
        <v>0.48755877702097</v>
      </c>
      <c r="F4874">
        <v>8</v>
      </c>
    </row>
    <row r="4875" spans="1:9" x14ac:dyDescent="0.25">
      <c r="A4875">
        <v>425.07183364839</v>
      </c>
      <c r="B4875">
        <v>445.39508506615999</v>
      </c>
      <c r="C4875" s="1">
        <f t="shared" si="1450"/>
        <v>4.7811334012267004E-2</v>
      </c>
      <c r="D4875">
        <v>7.1903381642511999</v>
      </c>
      <c r="E4875">
        <v>0.49918445179331</v>
      </c>
      <c r="F4875">
        <v>8</v>
      </c>
    </row>
    <row r="4876" spans="1:9" x14ac:dyDescent="0.25">
      <c r="A4876">
        <v>420.58223062382001</v>
      </c>
      <c r="B4876">
        <v>443.87523629488999</v>
      </c>
      <c r="C4876" s="1">
        <f t="shared" si="1450"/>
        <v>5.5382762216371173E-2</v>
      </c>
      <c r="D4876">
        <v>6.9719806763285002</v>
      </c>
      <c r="E4876">
        <v>0.48455709639979</v>
      </c>
      <c r="F4876">
        <v>8</v>
      </c>
    </row>
    <row r="4877" spans="1:9" x14ac:dyDescent="0.25">
      <c r="A4877">
        <v>420.92438563326999</v>
      </c>
      <c r="B4877">
        <v>442.71455576558998</v>
      </c>
      <c r="C4877" s="1">
        <f t="shared" si="1450"/>
        <v>5.1767421598863272E-2</v>
      </c>
      <c r="D4877">
        <v>6.9294685990338003</v>
      </c>
      <c r="E4877">
        <v>0.47741901269524001</v>
      </c>
      <c r="F4877">
        <v>8</v>
      </c>
    </row>
    <row r="4878" spans="1:9" x14ac:dyDescent="0.25">
      <c r="A4878">
        <v>415.84499054819997</v>
      </c>
      <c r="B4878">
        <v>438.64272211719998</v>
      </c>
      <c r="C4878" s="1">
        <f t="shared" si="1450"/>
        <v>5.4822667309148532E-2</v>
      </c>
      <c r="D4878">
        <v>6.9120772946860001</v>
      </c>
      <c r="E4878">
        <v>0.48403497849712002</v>
      </c>
      <c r="F4878">
        <v>9</v>
      </c>
    </row>
    <row r="4879" spans="1:9" x14ac:dyDescent="0.25">
      <c r="A4879">
        <v>414.50094517958001</v>
      </c>
      <c r="B4879">
        <v>434.82986767484999</v>
      </c>
      <c r="C4879" s="1">
        <f t="shared" si="1450"/>
        <v>4.9044333267955764E-2</v>
      </c>
      <c r="D4879">
        <v>6.8367149758453998</v>
      </c>
      <c r="E4879">
        <v>0.47912078403886998</v>
      </c>
      <c r="F4879">
        <v>8</v>
      </c>
    </row>
    <row r="4880" spans="1:9" x14ac:dyDescent="0.25">
      <c r="A4880">
        <v>421.89413988657998</v>
      </c>
      <c r="B4880">
        <v>443.9281663516</v>
      </c>
      <c r="C4880" s="1">
        <f t="shared" si="1450"/>
        <v>5.2226434031398261E-2</v>
      </c>
      <c r="D4880">
        <v>7.2657004830918002</v>
      </c>
      <c r="E4880">
        <v>0.51164053132580001</v>
      </c>
      <c r="F4880">
        <v>8</v>
      </c>
    </row>
    <row r="4881" spans="1:9" x14ac:dyDescent="0.25">
      <c r="A4881">
        <v>425.37807183364998</v>
      </c>
      <c r="B4881">
        <v>440.67863894138998</v>
      </c>
      <c r="C4881" s="1">
        <f t="shared" si="1450"/>
        <v>3.596933674033731E-2</v>
      </c>
      <c r="D4881">
        <v>7.0415458937197997</v>
      </c>
      <c r="E4881">
        <v>0.48066375164281999</v>
      </c>
      <c r="F4881">
        <v>8</v>
      </c>
    </row>
    <row r="4882" spans="1:9" x14ac:dyDescent="0.25">
      <c r="A4882">
        <v>420.13610586010998</v>
      </c>
      <c r="B4882">
        <v>439.93005671076997</v>
      </c>
      <c r="C4882" s="1">
        <f t="shared" si="1450"/>
        <v>4.7113186832960841E-2</v>
      </c>
      <c r="D4882">
        <v>6.7980676328502003</v>
      </c>
      <c r="E4882">
        <v>0.46739780667321001</v>
      </c>
      <c r="F4882">
        <v>8</v>
      </c>
    </row>
    <row r="4883" spans="1:9" x14ac:dyDescent="0.25">
      <c r="A4883">
        <v>418.11153119093001</v>
      </c>
      <c r="B4883">
        <v>439.09073724006998</v>
      </c>
      <c r="C4883" s="1">
        <f t="shared" si="1450"/>
        <v>5.0176100117075739E-2</v>
      </c>
      <c r="D4883">
        <v>6.9101449275361997</v>
      </c>
      <c r="E4883">
        <v>0.48233945795548</v>
      </c>
      <c r="F4883">
        <v>9</v>
      </c>
    </row>
    <row r="4884" spans="1:9" x14ac:dyDescent="0.25">
      <c r="A4884">
        <v>419.05860113422</v>
      </c>
      <c r="B4884">
        <v>443.31379962192</v>
      </c>
      <c r="C4884" s="1">
        <f t="shared" si="1450"/>
        <v>5.7880206782657817E-2</v>
      </c>
      <c r="D4884">
        <v>6.9874396135266004</v>
      </c>
      <c r="E4884">
        <v>0.48757170412984002</v>
      </c>
      <c r="F4884">
        <v>8</v>
      </c>
    </row>
    <row r="4885" spans="1:9" x14ac:dyDescent="0.25">
      <c r="A4885">
        <v>423.49338374291</v>
      </c>
      <c r="B4885">
        <v>442.31568998108997</v>
      </c>
      <c r="C4885" s="1">
        <f t="shared" si="1450"/>
        <v>4.4445337189981782E-2</v>
      </c>
      <c r="D4885">
        <v>7.1207729468599004</v>
      </c>
      <c r="E4885">
        <v>0.49176992595371</v>
      </c>
      <c r="F4885">
        <v>8</v>
      </c>
    </row>
    <row r="4886" spans="1:9" x14ac:dyDescent="0.25">
      <c r="A4886">
        <v>416.40264650284001</v>
      </c>
      <c r="B4886">
        <v>443.42155009451</v>
      </c>
      <c r="C4886" s="1">
        <f t="shared" si="1450"/>
        <v>6.4886483836230191E-2</v>
      </c>
      <c r="D4886">
        <v>6.9294685990338003</v>
      </c>
      <c r="E4886">
        <v>0.48583930040395001</v>
      </c>
      <c r="F4886">
        <v>8</v>
      </c>
    </row>
    <row r="4887" spans="1:9" x14ac:dyDescent="0.25">
      <c r="A4887">
        <v>424.70699432892002</v>
      </c>
      <c r="B4887">
        <v>441.31568998108997</v>
      </c>
      <c r="C4887" s="1">
        <f t="shared" si="1450"/>
        <v>3.9106244714461003E-2</v>
      </c>
      <c r="D4887">
        <v>7.1072463768115997</v>
      </c>
      <c r="E4887">
        <v>0.48901259703392003</v>
      </c>
      <c r="F4887">
        <v>8</v>
      </c>
    </row>
    <row r="4888" spans="1:9" x14ac:dyDescent="0.25">
      <c r="A4888">
        <v>420.42344045368998</v>
      </c>
      <c r="B4888">
        <v>440.70321361058001</v>
      </c>
      <c r="C4888" s="1">
        <f t="shared" si="1450"/>
        <v>4.8236542508204527E-2</v>
      </c>
      <c r="D4888">
        <v>6.9371980676328002</v>
      </c>
      <c r="E4888">
        <v>0.48063543096897998</v>
      </c>
      <c r="F4888">
        <v>9</v>
      </c>
      <c r="H4888" t="s">
        <v>17</v>
      </c>
      <c r="I4888">
        <f t="shared" ref="I4888" si="1457">STDEVP(A4874:A4893)</f>
        <v>3.3064745041297208</v>
      </c>
    </row>
    <row r="4889" spans="1:9" x14ac:dyDescent="0.25">
      <c r="A4889">
        <v>417.80340264649999</v>
      </c>
      <c r="B4889">
        <v>439.47448015122001</v>
      </c>
      <c r="C4889" s="1">
        <f t="shared" si="1450"/>
        <v>5.1869078536576074E-2</v>
      </c>
      <c r="D4889">
        <v>7.0743961352657001</v>
      </c>
      <c r="E4889">
        <v>0.49770894475068</v>
      </c>
      <c r="F4889">
        <v>8</v>
      </c>
      <c r="H4889" t="s">
        <v>18</v>
      </c>
      <c r="I4889">
        <f t="shared" ref="I4889" si="1458">STDEVP(B4874:B4893)</f>
        <v>2.8924041250055943</v>
      </c>
    </row>
    <row r="4890" spans="1:9" x14ac:dyDescent="0.25">
      <c r="A4890">
        <v>424.05293005671001</v>
      </c>
      <c r="B4890">
        <v>446.86200378070998</v>
      </c>
      <c r="C4890" s="1">
        <f t="shared" si="1450"/>
        <v>5.3788270537240779E-2</v>
      </c>
      <c r="D4890">
        <v>7.1671497584540997</v>
      </c>
      <c r="E4890">
        <v>0.49738697390110997</v>
      </c>
      <c r="F4890">
        <v>8</v>
      </c>
      <c r="H4890" t="s">
        <v>19</v>
      </c>
      <c r="I4890">
        <f t="shared" ref="I4890" si="1459">STDEVP(C4874:C4893)</f>
        <v>6.1289231046819988E-3</v>
      </c>
    </row>
    <row r="4891" spans="1:9" x14ac:dyDescent="0.25">
      <c r="A4891">
        <v>425.34971644612</v>
      </c>
      <c r="B4891">
        <v>446.94896030245002</v>
      </c>
      <c r="C4891" s="1">
        <f t="shared" si="1450"/>
        <v>5.0779965334868171E-2</v>
      </c>
      <c r="D4891">
        <v>7.1845410628019</v>
      </c>
      <c r="E4891">
        <v>0.49702701066771998</v>
      </c>
      <c r="F4891">
        <v>8</v>
      </c>
      <c r="H4891" t="s">
        <v>20</v>
      </c>
      <c r="I4891">
        <f t="shared" ref="I4891" si="1460">STDEVP(D4874:D4893)</f>
        <v>0.13284862537445785</v>
      </c>
    </row>
    <row r="4892" spans="1:9" x14ac:dyDescent="0.25">
      <c r="A4892">
        <v>420.31758034026001</v>
      </c>
      <c r="B4892">
        <v>442.87712665406002</v>
      </c>
      <c r="C4892" s="1">
        <f t="shared" si="1450"/>
        <v>5.3672621296347867E-2</v>
      </c>
      <c r="D4892">
        <v>7.2251207729468998</v>
      </c>
      <c r="E4892">
        <v>0.50930789153198996</v>
      </c>
      <c r="F4892">
        <v>9</v>
      </c>
      <c r="H4892" t="s">
        <v>21</v>
      </c>
      <c r="I4892">
        <f t="shared" ref="I4892" si="1461">STDEVP(E4874:E4893)</f>
        <v>1.0610675949413027E-2</v>
      </c>
    </row>
    <row r="4893" spans="1:9" x14ac:dyDescent="0.25">
      <c r="A4893">
        <v>416.70132325141998</v>
      </c>
      <c r="B4893">
        <v>439.30434782608</v>
      </c>
      <c r="C4893" s="1">
        <f t="shared" si="1450"/>
        <v>5.4242747295098814E-2</v>
      </c>
      <c r="D4893">
        <v>6.8869565217390996</v>
      </c>
      <c r="E4893">
        <v>0.48074549367955999</v>
      </c>
      <c r="F4893">
        <v>8</v>
      </c>
      <c r="H4893" t="s">
        <v>22</v>
      </c>
      <c r="I4893">
        <f t="shared" ref="I4893" si="1462">STDEVP(F4874:F4893)</f>
        <v>0.39999999999999997</v>
      </c>
    </row>
    <row r="4894" spans="1:9" x14ac:dyDescent="0.25">
      <c r="C4894" s="1" t="str">
        <f t="shared" si="1450"/>
        <v/>
      </c>
    </row>
    <row r="4895" spans="1:9" x14ac:dyDescent="0.25">
      <c r="A4895">
        <v>1240.6070224161999</v>
      </c>
      <c r="B4895">
        <v>1279.4044832374</v>
      </c>
      <c r="C4895" s="1">
        <f t="shared" si="1450"/>
        <v>3.1272965669369102E-2</v>
      </c>
      <c r="D4895">
        <v>13.987927565392001</v>
      </c>
      <c r="E4895">
        <v>0.28650424771020999</v>
      </c>
      <c r="F4895">
        <v>19</v>
      </c>
    </row>
    <row r="4896" spans="1:9" x14ac:dyDescent="0.25">
      <c r="A4896">
        <v>1239.0462209878999</v>
      </c>
      <c r="B4896">
        <v>1276.9990081333001</v>
      </c>
      <c r="C4896" s="1">
        <f t="shared" si="1450"/>
        <v>3.0630646785024807E-2</v>
      </c>
      <c r="D4896">
        <v>13.957344064386</v>
      </c>
      <c r="E4896">
        <v>0.28614328487885998</v>
      </c>
      <c r="F4896">
        <v>20</v>
      </c>
    </row>
    <row r="4897" spans="1:9" x14ac:dyDescent="0.25">
      <c r="A4897">
        <v>1253.9880975997</v>
      </c>
      <c r="B4897">
        <v>1286.9803610394999</v>
      </c>
      <c r="C4897" s="1">
        <f t="shared" si="1450"/>
        <v>2.6309869689314924E-2</v>
      </c>
      <c r="D4897">
        <v>14.413682092555</v>
      </c>
      <c r="E4897">
        <v>0.29375636955480999</v>
      </c>
      <c r="F4897">
        <v>19</v>
      </c>
    </row>
    <row r="4898" spans="1:9" x14ac:dyDescent="0.25">
      <c r="A4898">
        <v>1245.4834358262001</v>
      </c>
      <c r="B4898">
        <v>1275.6778416981001</v>
      </c>
      <c r="C4898" s="1">
        <f t="shared" si="1450"/>
        <v>2.4243121187613736E-2</v>
      </c>
      <c r="D4898">
        <v>14.090945674044001</v>
      </c>
      <c r="E4898">
        <v>0.28767945593097</v>
      </c>
      <c r="F4898">
        <v>19</v>
      </c>
    </row>
    <row r="4899" spans="1:9" x14ac:dyDescent="0.25">
      <c r="A4899">
        <v>1248.1182305098</v>
      </c>
      <c r="B4899">
        <v>1279.9515969054</v>
      </c>
      <c r="C4899" s="1">
        <f t="shared" si="1450"/>
        <v>2.5505088874951731E-2</v>
      </c>
      <c r="D4899">
        <v>14.123138832998</v>
      </c>
      <c r="E4899">
        <v>0.28779823289250001</v>
      </c>
      <c r="F4899">
        <v>20</v>
      </c>
    </row>
    <row r="4900" spans="1:9" x14ac:dyDescent="0.25">
      <c r="A4900">
        <v>1241.4679627057999</v>
      </c>
      <c r="B4900">
        <v>1286.9462408252</v>
      </c>
      <c r="C4900" s="1">
        <f t="shared" si="1450"/>
        <v>3.6632663496430018E-2</v>
      </c>
      <c r="D4900">
        <v>14.160160965795001</v>
      </c>
      <c r="E4900">
        <v>0.29060998823348999</v>
      </c>
      <c r="F4900">
        <v>19</v>
      </c>
    </row>
    <row r="4901" spans="1:9" x14ac:dyDescent="0.25">
      <c r="A4901">
        <v>1254.2317000595001</v>
      </c>
      <c r="B4901">
        <v>1277.8202737552001</v>
      </c>
      <c r="C4901" s="1">
        <f t="shared" si="1450"/>
        <v>1.8807189847442896E-2</v>
      </c>
      <c r="D4901">
        <v>14.491750503018</v>
      </c>
      <c r="E4901">
        <v>0.29541279491356998</v>
      </c>
      <c r="F4901">
        <v>19</v>
      </c>
    </row>
    <row r="4902" spans="1:9" x14ac:dyDescent="0.25">
      <c r="A4902">
        <v>1239.3223566752999</v>
      </c>
      <c r="B4902">
        <v>1275.6496726840001</v>
      </c>
      <c r="C4902" s="1">
        <f t="shared" si="1450"/>
        <v>2.9312241333364186E-2</v>
      </c>
      <c r="D4902">
        <v>13.891348088531</v>
      </c>
      <c r="E4902">
        <v>0.28433987164188002</v>
      </c>
      <c r="F4902">
        <v>20</v>
      </c>
    </row>
    <row r="4903" spans="1:9" x14ac:dyDescent="0.25">
      <c r="A4903">
        <v>1245.6096012696</v>
      </c>
      <c r="B4903">
        <v>1277.2505455267001</v>
      </c>
      <c r="C4903" s="1">
        <f t="shared" si="1450"/>
        <v>2.5401975245574304E-2</v>
      </c>
      <c r="D4903">
        <v>14.128772635815</v>
      </c>
      <c r="E4903">
        <v>0.28878693648008003</v>
      </c>
      <c r="F4903">
        <v>19</v>
      </c>
    </row>
    <row r="4904" spans="1:9" x14ac:dyDescent="0.25">
      <c r="A4904">
        <v>1246.9827415195</v>
      </c>
      <c r="B4904">
        <v>1284.1602856576001</v>
      </c>
      <c r="C4904" s="1">
        <f t="shared" si="1450"/>
        <v>2.9814000547271124E-2</v>
      </c>
      <c r="D4904">
        <v>14.296981891348</v>
      </c>
      <c r="E4904">
        <v>0.29279245775840002</v>
      </c>
      <c r="F4904">
        <v>20</v>
      </c>
    </row>
    <row r="4905" spans="1:9" x14ac:dyDescent="0.25">
      <c r="A4905">
        <v>1238.3824637969001</v>
      </c>
      <c r="B4905">
        <v>1285.8222574885999</v>
      </c>
      <c r="C4905" s="1">
        <f t="shared" si="1450"/>
        <v>3.8307869401064343E-2</v>
      </c>
      <c r="D4905">
        <v>14.242253521126999</v>
      </c>
      <c r="E4905">
        <v>0.29395833197879001</v>
      </c>
      <c r="F4905">
        <v>19</v>
      </c>
    </row>
    <row r="4906" spans="1:9" x14ac:dyDescent="0.25">
      <c r="A4906">
        <v>1239.8833564769</v>
      </c>
      <c r="B4906">
        <v>1279.024003174</v>
      </c>
      <c r="C4906" s="1">
        <f t="shared" si="1450"/>
        <v>3.1568007177963375E-2</v>
      </c>
      <c r="D4906">
        <v>14.042655935614</v>
      </c>
      <c r="E4906">
        <v>0.28811230795920001</v>
      </c>
      <c r="F4906">
        <v>19</v>
      </c>
    </row>
    <row r="4907" spans="1:9" x14ac:dyDescent="0.25">
      <c r="A4907">
        <v>1245.5266812140001</v>
      </c>
      <c r="B4907">
        <v>1278.1507637372999</v>
      </c>
      <c r="C4907" s="1">
        <f t="shared" si="1450"/>
        <v>2.6193001736021904E-2</v>
      </c>
      <c r="D4907">
        <v>14.351710261569</v>
      </c>
      <c r="E4907">
        <v>0.29481397898499001</v>
      </c>
      <c r="F4907">
        <v>20</v>
      </c>
    </row>
    <row r="4908" spans="1:9" x14ac:dyDescent="0.25">
      <c r="A4908">
        <v>1246.0432453878</v>
      </c>
      <c r="B4908">
        <v>1276.9982146399</v>
      </c>
      <c r="C4908" s="1">
        <f t="shared" si="1450"/>
        <v>2.4842612298312305E-2</v>
      </c>
      <c r="D4908">
        <v>14.146478873238999</v>
      </c>
      <c r="E4908">
        <v>0.28900512147461999</v>
      </c>
      <c r="F4908">
        <v>19</v>
      </c>
    </row>
    <row r="4909" spans="1:9" x14ac:dyDescent="0.25">
      <c r="A4909">
        <v>1256.5776631621</v>
      </c>
      <c r="B4909">
        <v>1284.8728426898999</v>
      </c>
      <c r="C4909" s="1">
        <f t="shared" si="1450"/>
        <v>2.2517652794015852E-2</v>
      </c>
      <c r="D4909">
        <v>14.235010060362001</v>
      </c>
      <c r="E4909">
        <v>0.28821209891706001</v>
      </c>
      <c r="F4909">
        <v>19</v>
      </c>
      <c r="H4909" t="s">
        <v>17</v>
      </c>
      <c r="I4909">
        <f t="shared" ref="I4909" si="1463">STDEVP(A4895:A4914)</f>
        <v>5.6364785960964161</v>
      </c>
    </row>
    <row r="4910" spans="1:9" x14ac:dyDescent="0.25">
      <c r="A4910">
        <v>1254.9077563975</v>
      </c>
      <c r="B4910">
        <v>1288.2059115254999</v>
      </c>
      <c r="C4910" s="1">
        <f t="shared" si="1450"/>
        <v>2.6534344821957268E-2</v>
      </c>
      <c r="D4910">
        <v>14.206036217304</v>
      </c>
      <c r="E4910">
        <v>0.28795106874804</v>
      </c>
      <c r="F4910">
        <v>20</v>
      </c>
      <c r="H4910" t="s">
        <v>18</v>
      </c>
      <c r="I4910">
        <f t="shared" ref="I4910" si="1464">STDEVP(B4895:B4914)</f>
        <v>4.3811830321854188</v>
      </c>
    </row>
    <row r="4911" spans="1:9" x14ac:dyDescent="0.25">
      <c r="A4911">
        <v>1245.899226344</v>
      </c>
      <c r="B4911">
        <v>1277.8559809562</v>
      </c>
      <c r="C4911" s="1">
        <f t="shared" si="1450"/>
        <v>2.5649550089195339E-2</v>
      </c>
      <c r="D4911">
        <v>14.157746478872999</v>
      </c>
      <c r="E4911">
        <v>0.28946249606162</v>
      </c>
      <c r="F4911">
        <v>19</v>
      </c>
      <c r="H4911" t="s">
        <v>19</v>
      </c>
      <c r="I4911">
        <f t="shared" ref="I4911" si="1465">STDEVP(C4895:C4914)</f>
        <v>4.3840873797279922E-3</v>
      </c>
    </row>
    <row r="4912" spans="1:9" x14ac:dyDescent="0.25">
      <c r="A4912">
        <v>1240.3011307280001</v>
      </c>
      <c r="B4912">
        <v>1276.1932156318001</v>
      </c>
      <c r="C4912" s="1">
        <f t="shared" si="1450"/>
        <v>2.8938202195085472E-2</v>
      </c>
      <c r="D4912">
        <v>14.17384305835</v>
      </c>
      <c r="E4912">
        <v>0.29129215727947999</v>
      </c>
      <c r="F4912">
        <v>20</v>
      </c>
      <c r="H4912" t="s">
        <v>20</v>
      </c>
      <c r="I4912">
        <f t="shared" ref="I4912" si="1466">STDEVP(D4895:D4914)</f>
        <v>0.14367860287324768</v>
      </c>
    </row>
    <row r="4913" spans="1:9" x14ac:dyDescent="0.25">
      <c r="A4913">
        <v>1240.3439793692</v>
      </c>
      <c r="B4913">
        <v>1273.2469748066001</v>
      </c>
      <c r="C4913" s="1">
        <f t="shared" si="1450"/>
        <v>2.652731499058314E-2</v>
      </c>
      <c r="D4913">
        <v>14.136016096579</v>
      </c>
      <c r="E4913">
        <v>0.29026816993320997</v>
      </c>
      <c r="F4913">
        <v>19</v>
      </c>
      <c r="H4913" t="s">
        <v>21</v>
      </c>
      <c r="I4913">
        <f t="shared" ref="I4913" si="1467">STDEVP(E4895:E4914)</f>
        <v>2.9651591071973276E-3</v>
      </c>
    </row>
    <row r="4914" spans="1:9" x14ac:dyDescent="0.25">
      <c r="A4914">
        <v>1242.050386828</v>
      </c>
      <c r="B4914">
        <v>1277.2814917675</v>
      </c>
      <c r="C4914" s="1">
        <f t="shared" si="1450"/>
        <v>2.8365278343879918E-2</v>
      </c>
      <c r="D4914">
        <v>14.092555331991999</v>
      </c>
      <c r="E4914">
        <v>0.28875401169623999</v>
      </c>
      <c r="F4914">
        <v>19</v>
      </c>
      <c r="H4914" t="s">
        <v>22</v>
      </c>
      <c r="I4914">
        <f t="shared" ref="I4914" si="1468">STDEVP(F4895:F4914)</f>
        <v>0.47696960070847289</v>
      </c>
    </row>
    <row r="4915" spans="1:9" x14ac:dyDescent="0.25">
      <c r="C4915" s="1" t="str">
        <f t="shared" si="1450"/>
        <v/>
      </c>
    </row>
    <row r="4916" spans="1:9" x14ac:dyDescent="0.25">
      <c r="A4916">
        <v>587.01856043458997</v>
      </c>
      <c r="B4916">
        <v>605.10140334993002</v>
      </c>
      <c r="C4916" s="1">
        <f t="shared" si="1450"/>
        <v>3.0804550544283771E-2</v>
      </c>
      <c r="D4916">
        <v>9.6536261725005996</v>
      </c>
      <c r="E4916">
        <v>0.48441579338316998</v>
      </c>
      <c r="F4916">
        <v>17</v>
      </c>
    </row>
    <row r="4917" spans="1:9" x14ac:dyDescent="0.25">
      <c r="A4917">
        <v>589.68854685378005</v>
      </c>
      <c r="B4917">
        <v>604.92530556813006</v>
      </c>
      <c r="C4917" s="1">
        <f t="shared" si="1450"/>
        <v>2.5838654651924475E-2</v>
      </c>
      <c r="D4917">
        <v>9.9670555936856999</v>
      </c>
      <c r="E4917">
        <v>0.50438077913921997</v>
      </c>
      <c r="F4917">
        <v>17</v>
      </c>
    </row>
    <row r="4918" spans="1:9" x14ac:dyDescent="0.25">
      <c r="A4918">
        <v>593.87369850611003</v>
      </c>
      <c r="B4918">
        <v>608.75554549569995</v>
      </c>
      <c r="C4918" s="1">
        <f t="shared" si="1450"/>
        <v>2.5058942712945953E-2</v>
      </c>
      <c r="D4918">
        <v>10.011896591169</v>
      </c>
      <c r="E4918">
        <v>0.50266794827764005</v>
      </c>
      <c r="F4918">
        <v>17</v>
      </c>
    </row>
    <row r="4919" spans="1:9" x14ac:dyDescent="0.25">
      <c r="A4919">
        <v>596.98777727479001</v>
      </c>
      <c r="B4919">
        <v>614.38388411046003</v>
      </c>
      <c r="C4919" s="1">
        <f t="shared" si="1450"/>
        <v>2.9139804025941851E-2</v>
      </c>
      <c r="D4919">
        <v>10.021962937543</v>
      </c>
      <c r="E4919">
        <v>0.50092871276302997</v>
      </c>
      <c r="F4919">
        <v>17</v>
      </c>
    </row>
    <row r="4920" spans="1:9" x14ac:dyDescent="0.25">
      <c r="A4920">
        <v>591.16704391126996</v>
      </c>
      <c r="B4920">
        <v>607.86328655499995</v>
      </c>
      <c r="C4920" s="1">
        <f t="shared" si="1450"/>
        <v>2.8242850841725842E-2</v>
      </c>
      <c r="D4920">
        <v>10.043925875086</v>
      </c>
      <c r="E4920">
        <v>0.50861115119542999</v>
      </c>
      <c r="F4920">
        <v>17</v>
      </c>
    </row>
    <row r="4921" spans="1:9" x14ac:dyDescent="0.25">
      <c r="A4921">
        <v>591.37166138524003</v>
      </c>
      <c r="B4921">
        <v>610.33952014485999</v>
      </c>
      <c r="C4921" s="1">
        <f t="shared" si="1450"/>
        <v>3.2074345116891889E-2</v>
      </c>
      <c r="D4921">
        <v>9.9725463280714006</v>
      </c>
      <c r="E4921">
        <v>0.50284967716816997</v>
      </c>
      <c r="F4921">
        <v>17</v>
      </c>
    </row>
    <row r="4922" spans="1:9" x14ac:dyDescent="0.25">
      <c r="A4922">
        <v>595.61973743776002</v>
      </c>
      <c r="B4922">
        <v>611.23766410140001</v>
      </c>
      <c r="C4922" s="1">
        <f t="shared" si="1450"/>
        <v>2.6221304772110487E-2</v>
      </c>
      <c r="D4922">
        <v>10.066803935026</v>
      </c>
      <c r="E4922">
        <v>0.50511582735542004</v>
      </c>
      <c r="F4922">
        <v>17</v>
      </c>
    </row>
    <row r="4923" spans="1:9" x14ac:dyDescent="0.25">
      <c r="A4923">
        <v>589.35174287007999</v>
      </c>
      <c r="B4923">
        <v>608.14893617021005</v>
      </c>
      <c r="C4923" s="1">
        <f t="shared" si="1450"/>
        <v>3.1894693665602381E-2</v>
      </c>
      <c r="D4923">
        <v>10.027453671929001</v>
      </c>
      <c r="E4923">
        <v>0.50974873319809999</v>
      </c>
      <c r="F4923">
        <v>17</v>
      </c>
    </row>
    <row r="4924" spans="1:9" x14ac:dyDescent="0.25">
      <c r="A4924">
        <v>587.75735626980997</v>
      </c>
      <c r="B4924">
        <v>602.31960162969995</v>
      </c>
      <c r="C4924" s="1">
        <f t="shared" si="1450"/>
        <v>2.4775947428899769E-2</v>
      </c>
      <c r="D4924">
        <v>9.9103180050332007</v>
      </c>
      <c r="E4924">
        <v>0.50233560286628998</v>
      </c>
      <c r="F4924">
        <v>17</v>
      </c>
    </row>
    <row r="4925" spans="1:9" x14ac:dyDescent="0.25">
      <c r="A4925">
        <v>594.79130828429004</v>
      </c>
      <c r="B4925">
        <v>612.1828881847</v>
      </c>
      <c r="C4925" s="1">
        <f t="shared" si="1450"/>
        <v>2.9239801688724976E-2</v>
      </c>
      <c r="D4925">
        <v>9.9926790208190006</v>
      </c>
      <c r="E4925">
        <v>0.50012965136165</v>
      </c>
      <c r="F4925">
        <v>17</v>
      </c>
    </row>
    <row r="4926" spans="1:9" x14ac:dyDescent="0.25">
      <c r="A4926">
        <v>592.86736079673994</v>
      </c>
      <c r="B4926">
        <v>609.60796740606997</v>
      </c>
      <c r="C4926" s="1">
        <f t="shared" si="1450"/>
        <v>2.8236681113348316E-2</v>
      </c>
      <c r="D4926">
        <v>10.013726835964</v>
      </c>
      <c r="E4926">
        <v>0.50428876673362</v>
      </c>
      <c r="F4926">
        <v>17</v>
      </c>
    </row>
    <row r="4927" spans="1:9" x14ac:dyDescent="0.25">
      <c r="A4927">
        <v>594.27750113172999</v>
      </c>
      <c r="B4927">
        <v>606.32141240379997</v>
      </c>
      <c r="C4927" s="1">
        <f t="shared" si="1450"/>
        <v>2.0266476939029054E-2</v>
      </c>
      <c r="D4927">
        <v>9.9720887668726004</v>
      </c>
      <c r="E4927">
        <v>0.49878336364584003</v>
      </c>
      <c r="F4927">
        <v>17</v>
      </c>
    </row>
    <row r="4928" spans="1:9" x14ac:dyDescent="0.25">
      <c r="A4928">
        <v>592.98143956541003</v>
      </c>
      <c r="B4928">
        <v>605.59031235853001</v>
      </c>
      <c r="C4928" s="1">
        <f t="shared" si="1450"/>
        <v>2.1263520157327243E-2</v>
      </c>
      <c r="D4928">
        <v>9.7657286662090996</v>
      </c>
      <c r="E4928">
        <v>0.48518987471211</v>
      </c>
      <c r="F4928">
        <v>17</v>
      </c>
    </row>
    <row r="4929" spans="1:9" x14ac:dyDescent="0.25">
      <c r="A4929">
        <v>593.13852421909996</v>
      </c>
      <c r="B4929">
        <v>609.56813037572999</v>
      </c>
      <c r="C4929" s="1">
        <f t="shared" si="1450"/>
        <v>2.7699442011898556E-2</v>
      </c>
      <c r="D4929">
        <v>10.181194234729</v>
      </c>
      <c r="E4929">
        <v>0.51601712154503998</v>
      </c>
      <c r="F4929">
        <v>17</v>
      </c>
    </row>
    <row r="4930" spans="1:9" x14ac:dyDescent="0.25">
      <c r="A4930">
        <v>589.00362154821005</v>
      </c>
      <c r="B4930">
        <v>608.16161158895</v>
      </c>
      <c r="C4930" s="1">
        <f t="shared" ref="C4930:C4993" si="1469">IFERROR((B4930/A4930)-1,"")</f>
        <v>3.2526098889481769E-2</v>
      </c>
      <c r="D4930">
        <v>9.9313658201783994</v>
      </c>
      <c r="E4930">
        <v>0.50263676068894003</v>
      </c>
      <c r="F4930">
        <v>17</v>
      </c>
      <c r="H4930" t="s">
        <v>17</v>
      </c>
      <c r="I4930">
        <f t="shared" ref="I4930" si="1470">STDEVP(A4916:A4935)</f>
        <v>2.6421879104659354</v>
      </c>
    </row>
    <row r="4931" spans="1:9" x14ac:dyDescent="0.25">
      <c r="A4931">
        <v>593.54911724761996</v>
      </c>
      <c r="B4931">
        <v>613.66183793571997</v>
      </c>
      <c r="C4931" s="1">
        <f t="shared" si="1469"/>
        <v>3.3885520344745679E-2</v>
      </c>
      <c r="D4931">
        <v>10.028826355525</v>
      </c>
      <c r="E4931">
        <v>0.50444438288422</v>
      </c>
      <c r="F4931">
        <v>17</v>
      </c>
      <c r="H4931" t="s">
        <v>18</v>
      </c>
      <c r="I4931">
        <f t="shared" ref="I4931" si="1471">STDEVP(B4916:B4935)</f>
        <v>3.0085090239197592</v>
      </c>
    </row>
    <row r="4932" spans="1:9" x14ac:dyDescent="0.25">
      <c r="A4932">
        <v>594.36894522407999</v>
      </c>
      <c r="B4932">
        <v>608.39339067450999</v>
      </c>
      <c r="C4932" s="1">
        <f t="shared" si="1469"/>
        <v>2.3595521877649128E-2</v>
      </c>
      <c r="D4932">
        <v>9.9917638984214001</v>
      </c>
      <c r="E4932">
        <v>0.50035808299791995</v>
      </c>
      <c r="F4932">
        <v>17</v>
      </c>
      <c r="H4932" t="s">
        <v>19</v>
      </c>
      <c r="I4932">
        <f t="shared" ref="I4932" si="1472">STDEVP(C4916:C4935)</f>
        <v>3.7851405953265773E-3</v>
      </c>
    </row>
    <row r="4933" spans="1:9" x14ac:dyDescent="0.25">
      <c r="A4933">
        <v>595.05070167497001</v>
      </c>
      <c r="B4933">
        <v>611.85604345857996</v>
      </c>
      <c r="C4933" s="1">
        <f t="shared" si="1469"/>
        <v>2.8241865334005523E-2</v>
      </c>
      <c r="D4933">
        <v>10.157401052391</v>
      </c>
      <c r="E4933">
        <v>0.51205107867385002</v>
      </c>
      <c r="F4933">
        <v>17</v>
      </c>
      <c r="H4933" t="s">
        <v>20</v>
      </c>
      <c r="I4933">
        <f t="shared" ref="I4933" si="1473">STDEVP(D4916:D4935)</f>
        <v>0.11529754841969557</v>
      </c>
    </row>
    <row r="4934" spans="1:9" x14ac:dyDescent="0.25">
      <c r="A4934">
        <v>592.13309189679001</v>
      </c>
      <c r="B4934">
        <v>606.82435491171998</v>
      </c>
      <c r="C4934" s="1">
        <f t="shared" si="1469"/>
        <v>2.4810744773390736E-2</v>
      </c>
      <c r="D4934">
        <v>9.8755433539236002</v>
      </c>
      <c r="E4934">
        <v>0.49422781830772</v>
      </c>
      <c r="F4934">
        <v>17</v>
      </c>
      <c r="H4934" t="s">
        <v>21</v>
      </c>
      <c r="I4934">
        <f t="shared" ref="I4934" si="1474">STDEVP(E4916:E4935)</f>
        <v>7.4263120321612797E-3</v>
      </c>
    </row>
    <row r="4935" spans="1:9" x14ac:dyDescent="0.25">
      <c r="A4935">
        <v>593.87098234494999</v>
      </c>
      <c r="B4935">
        <v>606.87460389316004</v>
      </c>
      <c r="C4935" s="1">
        <f t="shared" si="1469"/>
        <v>2.1896374692132792E-2</v>
      </c>
      <c r="D4935">
        <v>10.031114161519</v>
      </c>
      <c r="E4935">
        <v>0.50402644375021999</v>
      </c>
      <c r="F4935">
        <v>17</v>
      </c>
      <c r="H4935" t="s">
        <v>22</v>
      </c>
      <c r="I4935">
        <f t="shared" ref="I4935" si="1475">STDEVP(F4916:F4935)</f>
        <v>0</v>
      </c>
    </row>
    <row r="4936" spans="1:9" x14ac:dyDescent="0.25">
      <c r="C4936" s="1" t="str">
        <f t="shared" si="1469"/>
        <v/>
      </c>
    </row>
    <row r="4937" spans="1:9" x14ac:dyDescent="0.25">
      <c r="A4937">
        <v>801.00178465198996</v>
      </c>
      <c r="B4937">
        <v>821.44140392624001</v>
      </c>
      <c r="C4937" s="1">
        <f t="shared" si="1469"/>
        <v>2.5517570205078055E-2</v>
      </c>
      <c r="D4937">
        <v>10.267991568805</v>
      </c>
      <c r="E4937">
        <v>0.34015688888384998</v>
      </c>
      <c r="F4937">
        <v>15</v>
      </c>
    </row>
    <row r="4938" spans="1:9" x14ac:dyDescent="0.25">
      <c r="A4938">
        <v>798.33075550267995</v>
      </c>
      <c r="B4938">
        <v>823.78881618084995</v>
      </c>
      <c r="C4938" s="1">
        <f t="shared" si="1469"/>
        <v>3.1889114258337736E-2</v>
      </c>
      <c r="D4938">
        <v>10.293285155074001</v>
      </c>
      <c r="E4938">
        <v>0.34293996790601</v>
      </c>
      <c r="F4938">
        <v>16</v>
      </c>
    </row>
    <row r="4939" spans="1:9" x14ac:dyDescent="0.25">
      <c r="A4939">
        <v>796.11600237953996</v>
      </c>
      <c r="B4939">
        <v>824.30517549078002</v>
      </c>
      <c r="C4939" s="1">
        <f t="shared" si="1469"/>
        <v>3.5408373939205262E-2</v>
      </c>
      <c r="D4939">
        <v>10.333032219211001</v>
      </c>
      <c r="E4939">
        <v>0.34612340624658</v>
      </c>
      <c r="F4939">
        <v>15</v>
      </c>
    </row>
    <row r="4940" spans="1:9" x14ac:dyDescent="0.25">
      <c r="A4940">
        <v>795.31112433075998</v>
      </c>
      <c r="B4940">
        <v>821.42415229030996</v>
      </c>
      <c r="C4940" s="1">
        <f t="shared" si="1469"/>
        <v>3.2833726526236617E-2</v>
      </c>
      <c r="D4940">
        <v>10.308340861186</v>
      </c>
      <c r="E4940">
        <v>0.34527299312044002</v>
      </c>
      <c r="F4940">
        <v>15</v>
      </c>
    </row>
    <row r="4941" spans="1:9" x14ac:dyDescent="0.25">
      <c r="A4941">
        <v>796.96966091612001</v>
      </c>
      <c r="B4941">
        <v>820.08030933967996</v>
      </c>
      <c r="C4941" s="1">
        <f t="shared" si="1469"/>
        <v>2.899815332618072E-2</v>
      </c>
      <c r="D4941">
        <v>10.258958145137001</v>
      </c>
      <c r="E4941">
        <v>0.34245171009086001</v>
      </c>
      <c r="F4941">
        <v>15</v>
      </c>
    </row>
    <row r="4942" spans="1:9" x14ac:dyDescent="0.25">
      <c r="A4942">
        <v>797.91076740035999</v>
      </c>
      <c r="B4942">
        <v>818.50267697798995</v>
      </c>
      <c r="C4942" s="1">
        <f t="shared" si="1469"/>
        <v>2.5807283745173271E-2</v>
      </c>
      <c r="D4942">
        <v>10.180668473351</v>
      </c>
      <c r="E4942">
        <v>0.33809626364167</v>
      </c>
      <c r="F4942">
        <v>15</v>
      </c>
    </row>
    <row r="4943" spans="1:9" x14ac:dyDescent="0.25">
      <c r="A4943">
        <v>796.01963117191997</v>
      </c>
      <c r="B4943">
        <v>823.81975014872</v>
      </c>
      <c r="C4943" s="1">
        <f t="shared" si="1469"/>
        <v>3.4923911280770881E-2</v>
      </c>
      <c r="D4943">
        <v>10.330623306233001</v>
      </c>
      <c r="E4943">
        <v>0.34629598713191001</v>
      </c>
      <c r="F4943">
        <v>15</v>
      </c>
    </row>
    <row r="4944" spans="1:9" x14ac:dyDescent="0.25">
      <c r="A4944">
        <v>797.16716240333005</v>
      </c>
      <c r="B4944">
        <v>817.70315288518998</v>
      </c>
      <c r="C4944" s="1">
        <f t="shared" si="1469"/>
        <v>2.5761209756743231E-2</v>
      </c>
      <c r="D4944">
        <v>10.35290575128</v>
      </c>
      <c r="E4944">
        <v>0.34596695909589997</v>
      </c>
      <c r="F4944">
        <v>15</v>
      </c>
    </row>
    <row r="4945" spans="1:9" x14ac:dyDescent="0.25">
      <c r="A4945">
        <v>792.83938132063997</v>
      </c>
      <c r="B4945">
        <v>814.89292088042998</v>
      </c>
      <c r="C4945" s="1">
        <f t="shared" si="1469"/>
        <v>2.7815898250481919E-2</v>
      </c>
      <c r="D4945">
        <v>10.275820535983</v>
      </c>
      <c r="E4945">
        <v>0.34494865274018999</v>
      </c>
      <c r="F4945">
        <v>16</v>
      </c>
    </row>
    <row r="4946" spans="1:9" x14ac:dyDescent="0.25">
      <c r="A4946">
        <v>795.44437834621999</v>
      </c>
      <c r="B4946">
        <v>815.22724568708998</v>
      </c>
      <c r="C4946" s="1">
        <f t="shared" si="1469"/>
        <v>2.4870208250135306E-2</v>
      </c>
      <c r="D4946">
        <v>10.186690755796</v>
      </c>
      <c r="E4946">
        <v>0.33995508247312001</v>
      </c>
      <c r="F4946">
        <v>15</v>
      </c>
    </row>
    <row r="4947" spans="1:9" x14ac:dyDescent="0.25">
      <c r="A4947">
        <v>793.67578822129997</v>
      </c>
      <c r="B4947">
        <v>820.42474717430002</v>
      </c>
      <c r="C4947" s="1">
        <f t="shared" si="1469"/>
        <v>3.3702626878598485E-2</v>
      </c>
      <c r="D4947">
        <v>10.310749774164</v>
      </c>
      <c r="E4947">
        <v>0.34701225609036002</v>
      </c>
      <c r="F4947">
        <v>15</v>
      </c>
    </row>
    <row r="4948" spans="1:9" x14ac:dyDescent="0.25">
      <c r="A4948">
        <v>783.45270672218999</v>
      </c>
      <c r="B4948">
        <v>811.30696014276998</v>
      </c>
      <c r="C4948" s="1">
        <f t="shared" si="1469"/>
        <v>3.5553203379839804E-2</v>
      </c>
      <c r="D4948">
        <v>10.120445648901001</v>
      </c>
      <c r="E4948">
        <v>0.34367079854684002</v>
      </c>
      <c r="F4948">
        <v>15</v>
      </c>
    </row>
    <row r="4949" spans="1:9" x14ac:dyDescent="0.25">
      <c r="A4949">
        <v>793.12195121951004</v>
      </c>
      <c r="B4949">
        <v>813.69363474122997</v>
      </c>
      <c r="C4949" s="1">
        <f t="shared" si="1469"/>
        <v>2.593760453873295E-2</v>
      </c>
      <c r="D4949">
        <v>10.222222222221999</v>
      </c>
      <c r="E4949">
        <v>0.34268612427389999</v>
      </c>
      <c r="F4949">
        <v>15</v>
      </c>
    </row>
    <row r="4950" spans="1:9" x14ac:dyDescent="0.25">
      <c r="A4950">
        <v>788.79833432480996</v>
      </c>
      <c r="B4950">
        <v>813.32123735872005</v>
      </c>
      <c r="C4950" s="1">
        <f t="shared" si="1469"/>
        <v>3.1088938663772714E-2</v>
      </c>
      <c r="D4950">
        <v>10.161397169527</v>
      </c>
      <c r="E4950">
        <v>0.34288795185724003</v>
      </c>
      <c r="F4950">
        <v>15</v>
      </c>
    </row>
    <row r="4951" spans="1:9" x14ac:dyDescent="0.25">
      <c r="A4951">
        <v>800.20464009518003</v>
      </c>
      <c r="B4951">
        <v>825.37358715051005</v>
      </c>
      <c r="C4951" s="1">
        <f t="shared" si="1469"/>
        <v>3.1453138102693678E-2</v>
      </c>
      <c r="D4951">
        <v>10.351099066546</v>
      </c>
      <c r="E4951">
        <v>0.34446427259972001</v>
      </c>
      <c r="F4951">
        <v>16</v>
      </c>
      <c r="H4951" t="s">
        <v>17</v>
      </c>
      <c r="I4951">
        <f t="shared" ref="I4951" si="1476">STDEVP(A4937:A4956)</f>
        <v>4.8475120736898996</v>
      </c>
    </row>
    <row r="4952" spans="1:9" x14ac:dyDescent="0.25">
      <c r="A4952">
        <v>792.43604997026</v>
      </c>
      <c r="B4952">
        <v>817.17846519929003</v>
      </c>
      <c r="C4952" s="1">
        <f t="shared" si="1469"/>
        <v>3.1223232751663277E-2</v>
      </c>
      <c r="D4952">
        <v>10.40108401084</v>
      </c>
      <c r="E4952">
        <v>0.35131898642794002</v>
      </c>
      <c r="F4952">
        <v>15</v>
      </c>
      <c r="H4952" t="s">
        <v>18</v>
      </c>
      <c r="I4952">
        <f t="shared" ref="I4952" si="1477">STDEVP(B4937:B4956)</f>
        <v>4.9382004901239132</v>
      </c>
    </row>
    <row r="4953" spans="1:9" x14ac:dyDescent="0.25">
      <c r="A4953">
        <v>787.89470553241995</v>
      </c>
      <c r="B4953">
        <v>809.82926829269002</v>
      </c>
      <c r="C4953" s="1">
        <f t="shared" si="1469"/>
        <v>2.7839459519464427E-2</v>
      </c>
      <c r="D4953">
        <v>10.213188798555001</v>
      </c>
      <c r="E4953">
        <v>0.34493147523866002</v>
      </c>
      <c r="F4953">
        <v>15</v>
      </c>
      <c r="H4953" t="s">
        <v>19</v>
      </c>
      <c r="I4953">
        <f t="shared" ref="I4953" si="1478">STDEVP(C4937:C4956)</f>
        <v>3.3990694524555823E-3</v>
      </c>
    </row>
    <row r="4954" spans="1:9" x14ac:dyDescent="0.25">
      <c r="A4954">
        <v>805.31588340274004</v>
      </c>
      <c r="B4954">
        <v>827.49494348602002</v>
      </c>
      <c r="C4954" s="1">
        <f t="shared" si="1469"/>
        <v>2.7540820366743102E-2</v>
      </c>
      <c r="D4954">
        <v>10.446853357422</v>
      </c>
      <c r="E4954">
        <v>0.34592100613042998</v>
      </c>
      <c r="F4954">
        <v>15</v>
      </c>
      <c r="H4954" t="s">
        <v>20</v>
      </c>
      <c r="I4954">
        <f t="shared" ref="I4954" si="1479">STDEVP(D4937:D4956)</f>
        <v>8.6010438383706145E-2</v>
      </c>
    </row>
    <row r="4955" spans="1:9" x14ac:dyDescent="0.25">
      <c r="A4955">
        <v>794.11897679952995</v>
      </c>
      <c r="B4955">
        <v>817.30517549078002</v>
      </c>
      <c r="C4955" s="1">
        <f t="shared" si="1469"/>
        <v>2.9197386498299505E-2</v>
      </c>
      <c r="D4955">
        <v>10.228244504667</v>
      </c>
      <c r="E4955">
        <v>0.34224576553340003</v>
      </c>
      <c r="F4955">
        <v>15</v>
      </c>
      <c r="H4955" t="s">
        <v>21</v>
      </c>
      <c r="I4955">
        <f t="shared" ref="I4955" si="1480">STDEVP(E4937:E4956)</f>
        <v>2.9018690569357643E-3</v>
      </c>
    </row>
    <row r="4956" spans="1:9" x14ac:dyDescent="0.25">
      <c r="A4956">
        <v>789.42117787031998</v>
      </c>
      <c r="B4956">
        <v>812.03093396787995</v>
      </c>
      <c r="C4956" s="1">
        <f t="shared" si="1469"/>
        <v>2.8640929242050417E-2</v>
      </c>
      <c r="D4956">
        <v>10.134899126769</v>
      </c>
      <c r="E4956">
        <v>0.34094654465773</v>
      </c>
      <c r="F4956">
        <v>15</v>
      </c>
      <c r="H4956" t="s">
        <v>22</v>
      </c>
      <c r="I4956">
        <f t="shared" ref="I4956" si="1481">STDEVP(F4937:F4956)</f>
        <v>0.35707142142714249</v>
      </c>
    </row>
    <row r="4957" spans="1:9" x14ac:dyDescent="0.25">
      <c r="C4957" s="1" t="str">
        <f t="shared" si="1469"/>
        <v/>
      </c>
    </row>
    <row r="4958" spans="1:9" x14ac:dyDescent="0.25">
      <c r="A4958">
        <v>1240</v>
      </c>
      <c r="B4958">
        <v>1276.8499999999999</v>
      </c>
      <c r="C4958" s="1">
        <f t="shared" si="1469"/>
        <v>2.971774193548371E-2</v>
      </c>
      <c r="D4958">
        <v>13.023076923076999</v>
      </c>
      <c r="E4958">
        <v>0.25845731707045999</v>
      </c>
      <c r="F4958">
        <v>40</v>
      </c>
    </row>
    <row r="4959" spans="1:9" x14ac:dyDescent="0.25">
      <c r="A4959">
        <v>1232</v>
      </c>
      <c r="B4959">
        <v>1281.8</v>
      </c>
      <c r="C4959" s="1">
        <f t="shared" si="1469"/>
        <v>4.0422077922077859E-2</v>
      </c>
      <c r="D4959">
        <v>12.689743589743999</v>
      </c>
      <c r="E4959">
        <v>0.25175459050628002</v>
      </c>
      <c r="F4959">
        <v>38</v>
      </c>
    </row>
    <row r="4960" spans="1:9" x14ac:dyDescent="0.25">
      <c r="A4960">
        <v>1235.2</v>
      </c>
      <c r="B4960">
        <v>1274.2</v>
      </c>
      <c r="C4960" s="1">
        <f t="shared" si="1469"/>
        <v>3.1573834196891193E-2</v>
      </c>
      <c r="D4960">
        <v>12.884615384615</v>
      </c>
      <c r="E4960">
        <v>0.25600794798614002</v>
      </c>
      <c r="F4960">
        <v>39</v>
      </c>
    </row>
    <row r="4961" spans="1:9" x14ac:dyDescent="0.25">
      <c r="A4961">
        <v>1243.8499999999999</v>
      </c>
      <c r="B4961">
        <v>1285.55</v>
      </c>
      <c r="C4961" s="1">
        <f t="shared" si="1469"/>
        <v>3.3524942718173412E-2</v>
      </c>
      <c r="D4961">
        <v>12.682051282051001</v>
      </c>
      <c r="E4961">
        <v>0.24851536016278</v>
      </c>
      <c r="F4961">
        <v>39</v>
      </c>
    </row>
    <row r="4962" spans="1:9" x14ac:dyDescent="0.25">
      <c r="A4962">
        <v>1235.25</v>
      </c>
      <c r="B4962">
        <v>1284.425</v>
      </c>
      <c r="C4962" s="1">
        <f t="shared" si="1469"/>
        <v>3.9809755110301603E-2</v>
      </c>
      <c r="D4962">
        <v>12.338461538461999</v>
      </c>
      <c r="E4962">
        <v>0.24265667258708001</v>
      </c>
      <c r="F4962">
        <v>38</v>
      </c>
    </row>
    <row r="4963" spans="1:9" x14ac:dyDescent="0.25">
      <c r="A4963">
        <v>1244.6500000000001</v>
      </c>
      <c r="B4963">
        <v>1279.075</v>
      </c>
      <c r="C4963" s="1">
        <f t="shared" si="1469"/>
        <v>2.76583778572288E-2</v>
      </c>
      <c r="D4963">
        <v>12.992307692308</v>
      </c>
      <c r="E4963">
        <v>0.25657868937429001</v>
      </c>
      <c r="F4963">
        <v>46</v>
      </c>
    </row>
    <row r="4964" spans="1:9" x14ac:dyDescent="0.25">
      <c r="A4964">
        <v>1233.5999999999999</v>
      </c>
      <c r="B4964">
        <v>1288.375</v>
      </c>
      <c r="C4964" s="1">
        <f t="shared" si="1469"/>
        <v>4.4402561608301028E-2</v>
      </c>
      <c r="D4964">
        <v>12.941025641026</v>
      </c>
      <c r="E4964">
        <v>0.25805319607909999</v>
      </c>
      <c r="F4964">
        <v>40</v>
      </c>
    </row>
    <row r="4965" spans="1:9" x14ac:dyDescent="0.25">
      <c r="A4965">
        <v>1238.25</v>
      </c>
      <c r="B4965">
        <v>1285.05</v>
      </c>
      <c r="C4965" s="1">
        <f t="shared" si="1469"/>
        <v>3.779527559055107E-2</v>
      </c>
      <c r="D4965">
        <v>12.65641025641</v>
      </c>
      <c r="E4965">
        <v>0.24959857337283001</v>
      </c>
      <c r="F4965">
        <v>43</v>
      </c>
    </row>
    <row r="4966" spans="1:9" x14ac:dyDescent="0.25">
      <c r="A4966">
        <v>1239.3499999999999</v>
      </c>
      <c r="B4966">
        <v>1285.75</v>
      </c>
      <c r="C4966" s="1">
        <f t="shared" si="1469"/>
        <v>3.743898011054192E-2</v>
      </c>
      <c r="D4966">
        <v>12.733333333333</v>
      </c>
      <c r="E4966">
        <v>0.25135818495426998</v>
      </c>
      <c r="F4966">
        <v>45</v>
      </c>
    </row>
    <row r="4967" spans="1:9" x14ac:dyDescent="0.25">
      <c r="A4967">
        <v>1242.9000000000001</v>
      </c>
      <c r="B4967">
        <v>1279.1500000000001</v>
      </c>
      <c r="C4967" s="1">
        <f t="shared" si="1469"/>
        <v>2.9165660954219907E-2</v>
      </c>
      <c r="D4967">
        <v>13.123076923077001</v>
      </c>
      <c r="E4967">
        <v>0.25992248565998999</v>
      </c>
      <c r="F4967">
        <v>40</v>
      </c>
    </row>
    <row r="4968" spans="1:9" x14ac:dyDescent="0.25">
      <c r="A4968">
        <v>1237.1500000000001</v>
      </c>
      <c r="B4968">
        <v>1300.5250000000001</v>
      </c>
      <c r="C4968" s="1">
        <f t="shared" si="1469"/>
        <v>5.1226609546134227E-2</v>
      </c>
      <c r="D4968">
        <v>12.766666666667</v>
      </c>
      <c r="E4968">
        <v>0.25238560263266002</v>
      </c>
      <c r="F4968">
        <v>39</v>
      </c>
    </row>
    <row r="4969" spans="1:9" x14ac:dyDescent="0.25">
      <c r="A4969">
        <v>1228.1500000000001</v>
      </c>
      <c r="B4969">
        <v>1275.05</v>
      </c>
      <c r="C4969" s="1">
        <f t="shared" si="1469"/>
        <v>3.818751781134222E-2</v>
      </c>
      <c r="D4969">
        <v>12.502564102564</v>
      </c>
      <c r="E4969">
        <v>0.24811871489540999</v>
      </c>
      <c r="F4969">
        <v>38</v>
      </c>
    </row>
    <row r="4970" spans="1:9" x14ac:dyDescent="0.25">
      <c r="A4970">
        <v>1243.05</v>
      </c>
      <c r="B4970">
        <v>1285.5250000000001</v>
      </c>
      <c r="C4970" s="1">
        <f t="shared" si="1469"/>
        <v>3.4169985117252111E-2</v>
      </c>
      <c r="D4970">
        <v>13.266666666667</v>
      </c>
      <c r="E4970">
        <v>0.26372392412441997</v>
      </c>
      <c r="F4970">
        <v>42</v>
      </c>
    </row>
    <row r="4971" spans="1:9" x14ac:dyDescent="0.25">
      <c r="A4971">
        <v>1234.3499999999999</v>
      </c>
      <c r="B4971">
        <v>1280.875</v>
      </c>
      <c r="C4971" s="1">
        <f t="shared" si="1469"/>
        <v>3.7691902620812678E-2</v>
      </c>
      <c r="D4971">
        <v>12.569230769231</v>
      </c>
      <c r="E4971">
        <v>0.24828812647904999</v>
      </c>
      <c r="F4971">
        <v>42</v>
      </c>
    </row>
    <row r="4972" spans="1:9" x14ac:dyDescent="0.25">
      <c r="A4972">
        <v>1238.55</v>
      </c>
      <c r="B4972">
        <v>1288.3</v>
      </c>
      <c r="C4972" s="1">
        <f t="shared" si="1469"/>
        <v>4.0167938314965124E-2</v>
      </c>
      <c r="D4972">
        <v>13.061538461537999</v>
      </c>
      <c r="E4972">
        <v>0.25975006079934998</v>
      </c>
      <c r="F4972">
        <v>48</v>
      </c>
      <c r="H4972" t="s">
        <v>17</v>
      </c>
      <c r="I4972">
        <f t="shared" ref="I4972" si="1482">STDEVP(A4958:A4977)</f>
        <v>5.0351613678212894</v>
      </c>
    </row>
    <row r="4973" spans="1:9" x14ac:dyDescent="0.25">
      <c r="A4973">
        <v>1247.3</v>
      </c>
      <c r="B4973">
        <v>1295.7750000000001</v>
      </c>
      <c r="C4973" s="1">
        <f t="shared" si="1469"/>
        <v>3.8863946123627091E-2</v>
      </c>
      <c r="D4973">
        <v>13.017948717949</v>
      </c>
      <c r="E4973">
        <v>0.25607152473991002</v>
      </c>
      <c r="F4973">
        <v>40</v>
      </c>
      <c r="H4973" t="s">
        <v>18</v>
      </c>
      <c r="I4973">
        <f t="shared" ref="I4973" si="1483">STDEVP(B4958:B4977)</f>
        <v>6.3008228629283236</v>
      </c>
    </row>
    <row r="4974" spans="1:9" x14ac:dyDescent="0.25">
      <c r="A4974">
        <v>1243.0999999999999</v>
      </c>
      <c r="B4974">
        <v>1288.4000000000001</v>
      </c>
      <c r="C4974" s="1">
        <f t="shared" si="1469"/>
        <v>3.6441155176574869E-2</v>
      </c>
      <c r="D4974">
        <v>12.969230769231</v>
      </c>
      <c r="E4974">
        <v>0.2561641700765</v>
      </c>
      <c r="F4974">
        <v>43</v>
      </c>
      <c r="H4974" t="s">
        <v>19</v>
      </c>
      <c r="I4974">
        <f t="shared" ref="I4974" si="1484">STDEVP(C4958:C4977)</f>
        <v>5.7911482236056751E-3</v>
      </c>
    </row>
    <row r="4975" spans="1:9" x14ac:dyDescent="0.25">
      <c r="A4975">
        <v>1238.9000000000001</v>
      </c>
      <c r="B4975">
        <v>1287.5999999999999</v>
      </c>
      <c r="C4975" s="1">
        <f t="shared" si="1469"/>
        <v>3.9309064492695001E-2</v>
      </c>
      <c r="D4975">
        <v>12.55641025641</v>
      </c>
      <c r="E4975">
        <v>0.24727178732411001</v>
      </c>
      <c r="F4975">
        <v>36</v>
      </c>
      <c r="H4975" t="s">
        <v>20</v>
      </c>
      <c r="I4975">
        <f t="shared" ref="I4975" si="1485">STDEVP(D4958:D4977)</f>
        <v>0.24466752118690852</v>
      </c>
    </row>
    <row r="4976" spans="1:9" x14ac:dyDescent="0.25">
      <c r="A4976">
        <v>1247.7</v>
      </c>
      <c r="B4976">
        <v>1281.2249999999999</v>
      </c>
      <c r="C4976" s="1">
        <f t="shared" si="1469"/>
        <v>2.6869439769175107E-2</v>
      </c>
      <c r="D4976">
        <v>12.964102564102999</v>
      </c>
      <c r="E4976">
        <v>0.25506615153170997</v>
      </c>
      <c r="F4976">
        <v>38</v>
      </c>
      <c r="H4976" t="s">
        <v>21</v>
      </c>
      <c r="I4976">
        <f t="shared" ref="I4976" si="1486">STDEVP(E4958:E4977)</f>
        <v>5.4642873589811503E-3</v>
      </c>
    </row>
    <row r="4977" spans="1:9" x14ac:dyDescent="0.25">
      <c r="A4977">
        <v>1236.3</v>
      </c>
      <c r="B4977">
        <v>1287.45</v>
      </c>
      <c r="C4977" s="1">
        <f t="shared" si="1469"/>
        <v>4.1373453045377317E-2</v>
      </c>
      <c r="D4977">
        <v>12.446153846154001</v>
      </c>
      <c r="E4977">
        <v>0.24483235822999</v>
      </c>
      <c r="F4977">
        <v>42</v>
      </c>
      <c r="H4977" t="s">
        <v>22</v>
      </c>
      <c r="I4977">
        <f t="shared" ref="I4977" si="1487">STDEVP(F4958:F4977)</f>
        <v>2.9765752132274432</v>
      </c>
    </row>
    <row r="4978" spans="1:9" x14ac:dyDescent="0.25">
      <c r="C4978" s="1" t="str">
        <f t="shared" si="1469"/>
        <v/>
      </c>
    </row>
    <row r="4979" spans="1:9" x14ac:dyDescent="0.25">
      <c r="A4979">
        <v>1214.3582766439999</v>
      </c>
      <c r="B4979">
        <v>1259.6870748299</v>
      </c>
      <c r="C4979" s="1">
        <f t="shared" si="1469"/>
        <v>3.7327367925692245E-2</v>
      </c>
      <c r="D4979">
        <v>13.723809523810001</v>
      </c>
      <c r="E4979">
        <v>0.27513838665646001</v>
      </c>
      <c r="F4979">
        <v>20</v>
      </c>
    </row>
    <row r="4980" spans="1:9" x14ac:dyDescent="0.25">
      <c r="A4980">
        <v>1206.3945578231001</v>
      </c>
      <c r="B4980">
        <v>1262.5941043083999</v>
      </c>
      <c r="C4980" s="1">
        <f t="shared" si="1469"/>
        <v>4.6584714860377074E-2</v>
      </c>
      <c r="D4980">
        <v>13.685714285714001</v>
      </c>
      <c r="E4980">
        <v>0.27624909173567003</v>
      </c>
      <c r="F4980">
        <v>20</v>
      </c>
    </row>
    <row r="4981" spans="1:9" x14ac:dyDescent="0.25">
      <c r="A4981">
        <v>1200.0181405896001</v>
      </c>
      <c r="B4981">
        <v>1264.6621315192999</v>
      </c>
      <c r="C4981" s="1">
        <f t="shared" si="1469"/>
        <v>5.3869178092539993E-2</v>
      </c>
      <c r="D4981">
        <v>13.580952380952001</v>
      </c>
      <c r="E4981">
        <v>0.27519529630634998</v>
      </c>
      <c r="F4981">
        <v>20</v>
      </c>
    </row>
    <row r="4982" spans="1:9" x14ac:dyDescent="0.25">
      <c r="A4982">
        <v>1205.1927437642</v>
      </c>
      <c r="B4982">
        <v>1278.9387755102</v>
      </c>
      <c r="C4982" s="1">
        <f t="shared" si="1469"/>
        <v>6.1190238762695914E-2</v>
      </c>
      <c r="D4982">
        <v>13.847619047619</v>
      </c>
      <c r="E4982">
        <v>0.28046641717151999</v>
      </c>
      <c r="F4982">
        <v>20</v>
      </c>
    </row>
    <row r="4983" spans="1:9" x14ac:dyDescent="0.25">
      <c r="A4983">
        <v>1188.8934240363001</v>
      </c>
      <c r="B4983">
        <v>1248.5941043083999</v>
      </c>
      <c r="C4983" s="1">
        <f t="shared" si="1469"/>
        <v>5.0215333910600402E-2</v>
      </c>
      <c r="D4983">
        <v>13.161904761904999</v>
      </c>
      <c r="E4983">
        <v>0.26805178052635997</v>
      </c>
      <c r="F4983">
        <v>20</v>
      </c>
    </row>
    <row r="4984" spans="1:9" x14ac:dyDescent="0.25">
      <c r="A4984">
        <v>1212.2857142856999</v>
      </c>
      <c r="B4984">
        <v>1273.7913832199999</v>
      </c>
      <c r="C4984" s="1">
        <f t="shared" si="1469"/>
        <v>5.0735291366969859E-2</v>
      </c>
      <c r="D4984">
        <v>13.8</v>
      </c>
      <c r="E4984">
        <v>0.27714394841759998</v>
      </c>
      <c r="F4984">
        <v>20</v>
      </c>
    </row>
    <row r="4985" spans="1:9" x14ac:dyDescent="0.25">
      <c r="A4985">
        <v>1176.8616780044999</v>
      </c>
      <c r="B4985">
        <v>1249.7414965986</v>
      </c>
      <c r="C4985" s="1">
        <f t="shared" si="1469"/>
        <v>6.1927259554985126E-2</v>
      </c>
      <c r="D4985">
        <v>13.095238095238001</v>
      </c>
      <c r="E4985">
        <v>0.26897411710736002</v>
      </c>
      <c r="F4985">
        <v>20</v>
      </c>
    </row>
    <row r="4986" spans="1:9" x14ac:dyDescent="0.25">
      <c r="A4986">
        <v>1190.1768707483</v>
      </c>
      <c r="B4986">
        <v>1256.566893424</v>
      </c>
      <c r="C4986" s="1">
        <f t="shared" si="1469"/>
        <v>5.5781644146687848E-2</v>
      </c>
      <c r="D4986">
        <v>13.514285714286</v>
      </c>
      <c r="E4986">
        <v>0.27644754505949998</v>
      </c>
      <c r="F4986">
        <v>20</v>
      </c>
    </row>
    <row r="4987" spans="1:9" x14ac:dyDescent="0.25">
      <c r="A4987">
        <v>1188.947845805</v>
      </c>
      <c r="B4987">
        <v>1250.6893424036</v>
      </c>
      <c r="C4987" s="1">
        <f t="shared" si="1469"/>
        <v>5.1929524761278989E-2</v>
      </c>
      <c r="D4987">
        <v>13.104761904762</v>
      </c>
      <c r="E4987">
        <v>0.26612131057970001</v>
      </c>
      <c r="F4987">
        <v>20</v>
      </c>
    </row>
    <row r="4988" spans="1:9" x14ac:dyDescent="0.25">
      <c r="A4988">
        <v>1204.0544217687</v>
      </c>
      <c r="B4988">
        <v>1258.3356009070001</v>
      </c>
      <c r="C4988" s="1">
        <f t="shared" si="1469"/>
        <v>4.5081998086567765E-2</v>
      </c>
      <c r="D4988">
        <v>13.742857142857</v>
      </c>
      <c r="E4988">
        <v>0.27832939014823999</v>
      </c>
      <c r="F4988">
        <v>20</v>
      </c>
    </row>
    <row r="4989" spans="1:9" x14ac:dyDescent="0.25">
      <c r="A4989">
        <v>1207.6417233560001</v>
      </c>
      <c r="B4989">
        <v>1279.7369614511999</v>
      </c>
      <c r="C4989" s="1">
        <f t="shared" si="1469"/>
        <v>5.9699194472057071E-2</v>
      </c>
      <c r="D4989">
        <v>13.47619047619</v>
      </c>
      <c r="E4989">
        <v>0.2704168717514</v>
      </c>
      <c r="F4989">
        <v>20</v>
      </c>
    </row>
    <row r="4990" spans="1:9" x14ac:dyDescent="0.25">
      <c r="A4990">
        <v>1203.7868480725999</v>
      </c>
      <c r="B4990">
        <v>1267.9501133787001</v>
      </c>
      <c r="C4990" s="1">
        <f t="shared" si="1469"/>
        <v>5.3301184847494243E-2</v>
      </c>
      <c r="D4990">
        <v>13.92380952381</v>
      </c>
      <c r="E4990">
        <v>0.28320641242596001</v>
      </c>
      <c r="F4990">
        <v>21</v>
      </c>
    </row>
    <row r="4991" spans="1:9" x14ac:dyDescent="0.25">
      <c r="A4991">
        <v>1209.1882086168</v>
      </c>
      <c r="B4991">
        <v>1253.3424036281001</v>
      </c>
      <c r="C4991" s="1">
        <f t="shared" si="1469"/>
        <v>3.651556862418337E-2</v>
      </c>
      <c r="D4991">
        <v>13.152380952381</v>
      </c>
      <c r="E4991">
        <v>0.26183899094108998</v>
      </c>
      <c r="F4991">
        <v>20</v>
      </c>
    </row>
    <row r="4992" spans="1:9" x14ac:dyDescent="0.25">
      <c r="A4992">
        <v>1196.9251700679999</v>
      </c>
      <c r="B4992">
        <v>1242.1405895692001</v>
      </c>
      <c r="C4992" s="1">
        <f t="shared" si="1469"/>
        <v>3.7776312698505121E-2</v>
      </c>
      <c r="D4992">
        <v>13.428571428571001</v>
      </c>
      <c r="E4992">
        <v>0.27211139089626002</v>
      </c>
      <c r="F4992">
        <v>20</v>
      </c>
    </row>
    <row r="4993" spans="1:9" x14ac:dyDescent="0.25">
      <c r="A4993">
        <v>1216.5487528345</v>
      </c>
      <c r="B4993">
        <v>1266.1859410431</v>
      </c>
      <c r="C4993" s="1">
        <f t="shared" si="1469"/>
        <v>4.0801643249354091E-2</v>
      </c>
      <c r="D4993">
        <v>13.92380952381</v>
      </c>
      <c r="E4993">
        <v>0.27897283825128</v>
      </c>
      <c r="F4993">
        <v>20</v>
      </c>
      <c r="H4993" t="s">
        <v>17</v>
      </c>
      <c r="I4993">
        <f t="shared" ref="I4993" si="1488">STDEVP(A4979:A4998)</f>
        <v>10.40823385133149</v>
      </c>
    </row>
    <row r="4994" spans="1:9" x14ac:dyDescent="0.25">
      <c r="A4994">
        <v>1212.0770975057001</v>
      </c>
      <c r="B4994">
        <v>1262.0408163264999</v>
      </c>
      <c r="C4994" s="1">
        <f t="shared" ref="C4994:C5057" si="1489">IFERROR((B4994/A4994)-1,"")</f>
        <v>4.1221568267908681E-2</v>
      </c>
      <c r="D4994">
        <v>13.819047619048</v>
      </c>
      <c r="E4994">
        <v>0.27819717719117998</v>
      </c>
      <c r="F4994">
        <v>20</v>
      </c>
      <c r="H4994" t="s">
        <v>18</v>
      </c>
      <c r="I4994">
        <f t="shared" ref="I4994" si="1490">STDEVP(B4979:B4998)</f>
        <v>9.4074178604211411</v>
      </c>
    </row>
    <row r="4995" spans="1:9" x14ac:dyDescent="0.25">
      <c r="A4995">
        <v>1213.1020408162999</v>
      </c>
      <c r="B4995">
        <v>1259.4693877550999</v>
      </c>
      <c r="C4995" s="1">
        <f t="shared" si="1489"/>
        <v>3.8222132498927586E-2</v>
      </c>
      <c r="D4995">
        <v>13.742857142857</v>
      </c>
      <c r="E4995">
        <v>0.27567294761123001</v>
      </c>
      <c r="F4995">
        <v>20</v>
      </c>
      <c r="H4995" t="s">
        <v>19</v>
      </c>
      <c r="I4995">
        <f t="shared" ref="I4995" si="1491">STDEVP(C4979:C4998)</f>
        <v>8.3725181538682174E-3</v>
      </c>
    </row>
    <row r="4996" spans="1:9" x14ac:dyDescent="0.25">
      <c r="A4996">
        <v>1188.820861678</v>
      </c>
      <c r="B4996">
        <v>1260.6077097506</v>
      </c>
      <c r="C4996" s="1">
        <f t="shared" si="1489"/>
        <v>6.0384916169181402E-2</v>
      </c>
      <c r="D4996">
        <v>13.438095238095</v>
      </c>
      <c r="E4996">
        <v>0.27497922307374001</v>
      </c>
      <c r="F4996">
        <v>20</v>
      </c>
      <c r="H4996" t="s">
        <v>20</v>
      </c>
      <c r="I4996">
        <f t="shared" ref="I4996" si="1492">STDEVP(D4979:D4998)</f>
        <v>0.31717967754233434</v>
      </c>
    </row>
    <row r="4997" spans="1:9" x14ac:dyDescent="0.25">
      <c r="A4997">
        <v>1207.9410430839</v>
      </c>
      <c r="B4997">
        <v>1257.7369614511999</v>
      </c>
      <c r="C4997" s="1">
        <f t="shared" si="1489"/>
        <v>4.1223798671638612E-2</v>
      </c>
      <c r="D4997">
        <v>13.561904761905</v>
      </c>
      <c r="E4997">
        <v>0.27289123860391001</v>
      </c>
      <c r="F4997">
        <v>20</v>
      </c>
      <c r="H4997" t="s">
        <v>21</v>
      </c>
      <c r="I4997">
        <f t="shared" ref="I4997" si="1493">STDEVP(E4979:E4998)</f>
        <v>6.7720642695538917E-3</v>
      </c>
    </row>
    <row r="4998" spans="1:9" x14ac:dyDescent="0.25">
      <c r="A4998">
        <v>1202.6258503401</v>
      </c>
      <c r="B4998">
        <v>1261.3015873016</v>
      </c>
      <c r="C4998" s="1">
        <f t="shared" si="1489"/>
        <v>4.8789685457789389E-2</v>
      </c>
      <c r="D4998">
        <v>12.742857142857</v>
      </c>
      <c r="E4998">
        <v>0.25333302679517999</v>
      </c>
      <c r="F4998">
        <v>20</v>
      </c>
      <c r="H4998" t="s">
        <v>22</v>
      </c>
      <c r="I4998">
        <f t="shared" ref="I4998" si="1494">STDEVP(F4979:F4998)</f>
        <v>0.21794494717703367</v>
      </c>
    </row>
    <row r="4999" spans="1:9" x14ac:dyDescent="0.25">
      <c r="C4999" s="1" t="str">
        <f t="shared" si="1489"/>
        <v/>
      </c>
    </row>
    <row r="5000" spans="1:9" x14ac:dyDescent="0.25">
      <c r="A5000">
        <v>1107.2755102041001</v>
      </c>
      <c r="B5000">
        <v>1149.4897959184</v>
      </c>
      <c r="C5000" s="1">
        <f t="shared" si="1489"/>
        <v>3.8124464349905685E-2</v>
      </c>
      <c r="D5000">
        <v>13.047619047618999</v>
      </c>
      <c r="E5000">
        <v>0.29476849619873002</v>
      </c>
      <c r="F5000">
        <v>24</v>
      </c>
    </row>
    <row r="5001" spans="1:9" x14ac:dyDescent="0.25">
      <c r="A5001">
        <v>1096.4489795918</v>
      </c>
      <c r="B5001">
        <v>1155.9591836735001</v>
      </c>
      <c r="C5001" s="1">
        <f t="shared" si="1489"/>
        <v>5.4275397386803537E-2</v>
      </c>
      <c r="D5001">
        <v>12.978835978836001</v>
      </c>
      <c r="E5001">
        <v>0.29635417300907002</v>
      </c>
      <c r="F5001">
        <v>23</v>
      </c>
    </row>
    <row r="5002" spans="1:9" x14ac:dyDescent="0.25">
      <c r="A5002">
        <v>1099.9183673468999</v>
      </c>
      <c r="B5002">
        <v>1135.4591836735001</v>
      </c>
      <c r="C5002" s="1">
        <f t="shared" si="1489"/>
        <v>3.2312230963401189E-2</v>
      </c>
      <c r="D5002">
        <v>12.677248677249001</v>
      </c>
      <c r="E5002">
        <v>0.28627922683787999</v>
      </c>
      <c r="F5002">
        <v>25</v>
      </c>
    </row>
    <row r="5003" spans="1:9" x14ac:dyDescent="0.25">
      <c r="A5003">
        <v>1103.4285714286</v>
      </c>
      <c r="B5003">
        <v>1141.3265306122</v>
      </c>
      <c r="C5003" s="1">
        <f t="shared" si="1489"/>
        <v>3.4345638825115765E-2</v>
      </c>
      <c r="D5003">
        <v>13.185185185185</v>
      </c>
      <c r="E5003">
        <v>0.30049735571197</v>
      </c>
      <c r="F5003">
        <v>25</v>
      </c>
    </row>
    <row r="5004" spans="1:9" x14ac:dyDescent="0.25">
      <c r="A5004">
        <v>1096.8367346939001</v>
      </c>
      <c r="B5004">
        <v>1133.6734693878</v>
      </c>
      <c r="C5004" s="1">
        <f t="shared" si="1489"/>
        <v>3.358451949020469E-2</v>
      </c>
      <c r="D5004">
        <v>12.465608465608</v>
      </c>
      <c r="E5004">
        <v>0.28100193691524</v>
      </c>
      <c r="F5004">
        <v>23</v>
      </c>
    </row>
    <row r="5005" spans="1:9" x14ac:dyDescent="0.25">
      <c r="A5005">
        <v>1093.1734693878</v>
      </c>
      <c r="B5005">
        <v>1142.2142857143001</v>
      </c>
      <c r="C5005" s="1">
        <f t="shared" si="1489"/>
        <v>4.4860964613387511E-2</v>
      </c>
      <c r="D5005">
        <v>13.153439153439001</v>
      </c>
      <c r="E5005">
        <v>0.30285469446947</v>
      </c>
      <c r="F5005">
        <v>24</v>
      </c>
    </row>
    <row r="5006" spans="1:9" x14ac:dyDescent="0.25">
      <c r="A5006">
        <v>1102.7551020408</v>
      </c>
      <c r="B5006">
        <v>1153.8673469388</v>
      </c>
      <c r="C5006" s="1">
        <f t="shared" si="1489"/>
        <v>4.6349588229888772E-2</v>
      </c>
      <c r="D5006">
        <v>12.513227513227999</v>
      </c>
      <c r="E5006">
        <v>0.28064320912585999</v>
      </c>
      <c r="F5006">
        <v>26</v>
      </c>
    </row>
    <row r="5007" spans="1:9" x14ac:dyDescent="0.25">
      <c r="A5007">
        <v>1111.7346938776</v>
      </c>
      <c r="B5007">
        <v>1149.5816326531001</v>
      </c>
      <c r="C5007" s="1">
        <f t="shared" si="1489"/>
        <v>3.4043139054601657E-2</v>
      </c>
      <c r="D5007">
        <v>13.275132275132</v>
      </c>
      <c r="E5007">
        <v>0.2997241780662</v>
      </c>
      <c r="F5007">
        <v>24</v>
      </c>
    </row>
    <row r="5008" spans="1:9" x14ac:dyDescent="0.25">
      <c r="A5008">
        <v>1111.6734693878</v>
      </c>
      <c r="B5008">
        <v>1149.9591836735001</v>
      </c>
      <c r="C5008" s="1">
        <f t="shared" si="1489"/>
        <v>3.4439712145675427E-2</v>
      </c>
      <c r="D5008">
        <v>13.190476190476</v>
      </c>
      <c r="E5008">
        <v>0.29749396316531002</v>
      </c>
      <c r="F5008">
        <v>24</v>
      </c>
    </row>
    <row r="5009" spans="1:9" x14ac:dyDescent="0.25">
      <c r="A5009">
        <v>1099.7551020408</v>
      </c>
      <c r="B5009">
        <v>1149.2959183672999</v>
      </c>
      <c r="C5009" s="1">
        <f t="shared" si="1489"/>
        <v>4.5047134798072541E-2</v>
      </c>
      <c r="D5009">
        <v>12.513227513227999</v>
      </c>
      <c r="E5009">
        <v>0.28173989052586002</v>
      </c>
      <c r="F5009">
        <v>25</v>
      </c>
    </row>
    <row r="5010" spans="1:9" x14ac:dyDescent="0.25">
      <c r="A5010">
        <v>1116.4897959184</v>
      </c>
      <c r="B5010">
        <v>1159.306122449</v>
      </c>
      <c r="C5010" s="1">
        <f t="shared" si="1489"/>
        <v>3.8349053154919543E-2</v>
      </c>
      <c r="D5010">
        <v>13.121693121692999</v>
      </c>
      <c r="E5010">
        <v>0.29410546787509001</v>
      </c>
      <c r="F5010">
        <v>25</v>
      </c>
    </row>
    <row r="5011" spans="1:9" x14ac:dyDescent="0.25">
      <c r="A5011">
        <v>1116.7551020408</v>
      </c>
      <c r="B5011">
        <v>1146.3469387754999</v>
      </c>
      <c r="C5011" s="1">
        <f t="shared" si="1489"/>
        <v>2.6498053763643226E-2</v>
      </c>
      <c r="D5011">
        <v>13.513227513227999</v>
      </c>
      <c r="E5011">
        <v>0.30496303081013998</v>
      </c>
      <c r="F5011">
        <v>24</v>
      </c>
    </row>
    <row r="5012" spans="1:9" x14ac:dyDescent="0.25">
      <c r="A5012">
        <v>1111.6836734694</v>
      </c>
      <c r="B5012">
        <v>1144.3673469388</v>
      </c>
      <c r="C5012" s="1">
        <f t="shared" si="1489"/>
        <v>2.9400156042050263E-2</v>
      </c>
      <c r="D5012">
        <v>13.031746031746</v>
      </c>
      <c r="E5012">
        <v>0.29259934880623001</v>
      </c>
      <c r="F5012">
        <v>25</v>
      </c>
    </row>
    <row r="5013" spans="1:9" x14ac:dyDescent="0.25">
      <c r="A5013">
        <v>1110.2244897958999</v>
      </c>
      <c r="B5013">
        <v>1155.2755102041001</v>
      </c>
      <c r="C5013" s="1">
        <f t="shared" si="1489"/>
        <v>4.0578298193081785E-2</v>
      </c>
      <c r="D5013">
        <v>13.063492063491999</v>
      </c>
      <c r="E5013">
        <v>0.29413054243928</v>
      </c>
      <c r="F5013">
        <v>26</v>
      </c>
    </row>
    <row r="5014" spans="1:9" x14ac:dyDescent="0.25">
      <c r="A5014">
        <v>1114.3979591837001</v>
      </c>
      <c r="B5014">
        <v>1156.8979591837001</v>
      </c>
      <c r="C5014" s="1">
        <f t="shared" si="1489"/>
        <v>3.8137183983297573E-2</v>
      </c>
      <c r="D5014">
        <v>13.031746031746</v>
      </c>
      <c r="E5014">
        <v>0.29176990245720003</v>
      </c>
      <c r="F5014">
        <v>25</v>
      </c>
      <c r="H5014" t="s">
        <v>17</v>
      </c>
      <c r="I5014">
        <f t="shared" ref="I5014" si="1495">STDEVP(A5000:A5019)</f>
        <v>7.6734387720642916</v>
      </c>
    </row>
    <row r="5015" spans="1:9" x14ac:dyDescent="0.25">
      <c r="A5015">
        <v>1091.7551020408</v>
      </c>
      <c r="B5015">
        <v>1145.7346938776</v>
      </c>
      <c r="C5015" s="1">
        <f t="shared" si="1489"/>
        <v>4.944294900559365E-2</v>
      </c>
      <c r="D5015">
        <v>12.47619047619</v>
      </c>
      <c r="E5015">
        <v>0.28363309115204</v>
      </c>
      <c r="F5015">
        <v>25</v>
      </c>
      <c r="H5015" t="s">
        <v>18</v>
      </c>
      <c r="I5015">
        <f t="shared" ref="I5015" si="1496">STDEVP(B5000:B5019)</f>
        <v>7.5611902523399923</v>
      </c>
    </row>
    <row r="5016" spans="1:9" x14ac:dyDescent="0.25">
      <c r="A5016">
        <v>1108.1428571429001</v>
      </c>
      <c r="B5016">
        <v>1153.5204081633001</v>
      </c>
      <c r="C5016" s="1">
        <f t="shared" si="1489"/>
        <v>4.0949188751165044E-2</v>
      </c>
      <c r="D5016">
        <v>12.814814814815</v>
      </c>
      <c r="E5016">
        <v>0.28794682960384999</v>
      </c>
      <c r="F5016">
        <v>24</v>
      </c>
      <c r="H5016" t="s">
        <v>19</v>
      </c>
      <c r="I5016">
        <f t="shared" ref="I5016" si="1497">STDEVP(C5000:C5019)</f>
        <v>6.669772745871435E-3</v>
      </c>
    </row>
    <row r="5017" spans="1:9" x14ac:dyDescent="0.25">
      <c r="A5017">
        <v>1104.0918367347001</v>
      </c>
      <c r="B5017">
        <v>1143.9387755102</v>
      </c>
      <c r="C5017" s="1">
        <f t="shared" si="1489"/>
        <v>3.6090239461733065E-2</v>
      </c>
      <c r="D5017">
        <v>12.645502645503001</v>
      </c>
      <c r="E5017">
        <v>0.28464268457489</v>
      </c>
      <c r="F5017">
        <v>25</v>
      </c>
      <c r="H5017" t="s">
        <v>20</v>
      </c>
      <c r="I5017">
        <f t="shared" ref="I5017" si="1498">STDEVP(D5000:D5019)</f>
        <v>0.2968230389704965</v>
      </c>
    </row>
    <row r="5018" spans="1:9" x14ac:dyDescent="0.25">
      <c r="A5018">
        <v>1114.6836734694</v>
      </c>
      <c r="B5018">
        <v>1161.1020408162999</v>
      </c>
      <c r="C5018" s="1">
        <f t="shared" si="1489"/>
        <v>4.1642636787192711E-2</v>
      </c>
      <c r="D5018">
        <v>13.142857142857</v>
      </c>
      <c r="E5018">
        <v>0.29525750225558001</v>
      </c>
      <c r="F5018">
        <v>27</v>
      </c>
      <c r="H5018" t="s">
        <v>21</v>
      </c>
      <c r="I5018">
        <f t="shared" ref="I5018" si="1499">STDEVP(E5000:E5019)</f>
        <v>7.4358464878256257E-3</v>
      </c>
    </row>
    <row r="5019" spans="1:9" x14ac:dyDescent="0.25">
      <c r="A5019">
        <v>1098.9285714286</v>
      </c>
      <c r="B5019">
        <v>1138.1632653060999</v>
      </c>
      <c r="C5019" s="1">
        <f t="shared" si="1489"/>
        <v>3.5702678861552428E-2</v>
      </c>
      <c r="D5019">
        <v>13.185185185185</v>
      </c>
      <c r="E5019">
        <v>0.30147995838529001</v>
      </c>
      <c r="F5019">
        <v>26</v>
      </c>
      <c r="H5019" t="s">
        <v>22</v>
      </c>
      <c r="I5019">
        <f t="shared" ref="I5019" si="1500">STDEVP(F5000:F5019)</f>
        <v>0.99373034571758956</v>
      </c>
    </row>
    <row r="5020" spans="1:9" x14ac:dyDescent="0.25">
      <c r="C5020" s="1" t="str">
        <f t="shared" si="1489"/>
        <v/>
      </c>
    </row>
    <row r="5021" spans="1:9" x14ac:dyDescent="0.25">
      <c r="A5021">
        <v>1382.4680851063999</v>
      </c>
      <c r="B5021">
        <v>1423.7084653689001</v>
      </c>
      <c r="C5021" s="1">
        <f t="shared" si="1489"/>
        <v>2.9830981783081079E-2</v>
      </c>
      <c r="D5021">
        <v>14.086956521738999</v>
      </c>
      <c r="E5021">
        <v>0.24942052429914</v>
      </c>
      <c r="F5021">
        <v>18</v>
      </c>
    </row>
    <row r="5022" spans="1:9" x14ac:dyDescent="0.25">
      <c r="A5022">
        <v>1383.5518334087999</v>
      </c>
      <c r="B5022">
        <v>1424.8139429605999</v>
      </c>
      <c r="C5022" s="1">
        <f t="shared" si="1489"/>
        <v>2.9823320352327043E-2</v>
      </c>
      <c r="D5022">
        <v>14.205365402405</v>
      </c>
      <c r="E5022">
        <v>0.25190392387565003</v>
      </c>
      <c r="F5022">
        <v>18</v>
      </c>
    </row>
    <row r="5023" spans="1:9" x14ac:dyDescent="0.25">
      <c r="A5023">
        <v>1387.9864191941999</v>
      </c>
      <c r="B5023">
        <v>1429.3825260299</v>
      </c>
      <c r="C5023" s="1">
        <f t="shared" si="1489"/>
        <v>2.9824576280604198E-2</v>
      </c>
      <c r="D5023">
        <v>14.401480111008</v>
      </c>
      <c r="E5023">
        <v>0.25552489170350001</v>
      </c>
      <c r="F5023">
        <v>18</v>
      </c>
    </row>
    <row r="5024" spans="1:9" x14ac:dyDescent="0.25">
      <c r="A5024">
        <v>1385.0185604346</v>
      </c>
      <c r="B5024">
        <v>1433.7727478497</v>
      </c>
      <c r="C5024" s="1">
        <f t="shared" si="1489"/>
        <v>3.5201107629779127E-2</v>
      </c>
      <c r="D5024">
        <v>14.410730804809999</v>
      </c>
      <c r="E5024">
        <v>0.25615969446205999</v>
      </c>
      <c r="F5024">
        <v>18</v>
      </c>
    </row>
    <row r="5025" spans="1:9" x14ac:dyDescent="0.25">
      <c r="A5025">
        <v>1373.2621095518</v>
      </c>
      <c r="B5025">
        <v>1424.6690810320999</v>
      </c>
      <c r="C5025" s="1">
        <f t="shared" si="1489"/>
        <v>3.7434202198353805E-2</v>
      </c>
      <c r="D5025">
        <v>14.190564292322</v>
      </c>
      <c r="E5025">
        <v>0.25392012130912001</v>
      </c>
      <c r="F5025">
        <v>18</v>
      </c>
    </row>
    <row r="5026" spans="1:9" x14ac:dyDescent="0.25">
      <c r="A5026">
        <v>1376.4173834313999</v>
      </c>
      <c r="B5026">
        <v>1422.3214124038</v>
      </c>
      <c r="C5026" s="1">
        <f t="shared" si="1489"/>
        <v>3.33503699713249E-2</v>
      </c>
      <c r="D5026">
        <v>14.188714153562</v>
      </c>
      <c r="E5026">
        <v>0.25315207807371998</v>
      </c>
      <c r="F5026">
        <v>19</v>
      </c>
    </row>
    <row r="5027" spans="1:9" x14ac:dyDescent="0.25">
      <c r="A5027">
        <v>1375.128112268</v>
      </c>
      <c r="B5027">
        <v>1426.2942507922</v>
      </c>
      <c r="C5027" s="1">
        <f t="shared" si="1489"/>
        <v>3.7208270318764392E-2</v>
      </c>
      <c r="D5027">
        <v>14.105457909343</v>
      </c>
      <c r="E5027">
        <v>0.25171378151705998</v>
      </c>
      <c r="F5027">
        <v>18</v>
      </c>
    </row>
    <row r="5028" spans="1:9" x14ac:dyDescent="0.25">
      <c r="A5028">
        <v>1372.786781349</v>
      </c>
      <c r="B5028">
        <v>1416.855590765</v>
      </c>
      <c r="C5028" s="1">
        <f t="shared" si="1489"/>
        <v>3.2101714566842521E-2</v>
      </c>
      <c r="D5028">
        <v>14.242368177613001</v>
      </c>
      <c r="E5028">
        <v>0.25513111746262002</v>
      </c>
      <c r="F5028">
        <v>18</v>
      </c>
    </row>
    <row r="5029" spans="1:9" x14ac:dyDescent="0.25">
      <c r="A5029">
        <v>1391.3037573562999</v>
      </c>
      <c r="B5029">
        <v>1438.6518786781</v>
      </c>
      <c r="C5029" s="1">
        <f t="shared" si="1489"/>
        <v>3.4031476643007874E-2</v>
      </c>
      <c r="D5029">
        <v>14.240518038853001</v>
      </c>
      <c r="E5029">
        <v>0.25092626855096001</v>
      </c>
      <c r="F5029">
        <v>18</v>
      </c>
    </row>
    <row r="5030" spans="1:9" x14ac:dyDescent="0.25">
      <c r="A5030">
        <v>1397.4214576731999</v>
      </c>
      <c r="B5030">
        <v>1429.5817111814999</v>
      </c>
      <c r="C5030" s="1">
        <f t="shared" si="1489"/>
        <v>2.3013997195841629E-2</v>
      </c>
      <c r="D5030">
        <v>14.268270120259</v>
      </c>
      <c r="E5030">
        <v>0.25041990288672</v>
      </c>
      <c r="F5030">
        <v>19</v>
      </c>
    </row>
    <row r="5031" spans="1:9" x14ac:dyDescent="0.25">
      <c r="A5031">
        <v>1386.6373924853001</v>
      </c>
      <c r="B5031">
        <v>1418.0217292892</v>
      </c>
      <c r="C5031" s="1">
        <f t="shared" si="1489"/>
        <v>2.2633413013368298E-2</v>
      </c>
      <c r="D5031">
        <v>14.397779833488</v>
      </c>
      <c r="E5031">
        <v>0.25532553823960003</v>
      </c>
      <c r="F5031">
        <v>18</v>
      </c>
    </row>
    <row r="5032" spans="1:9" x14ac:dyDescent="0.25">
      <c r="A5032">
        <v>1382.6002716160999</v>
      </c>
      <c r="B5032">
        <v>1426.3838841104</v>
      </c>
      <c r="C5032" s="1">
        <f t="shared" si="1489"/>
        <v>3.1667585630604567E-2</v>
      </c>
      <c r="D5032">
        <v>14.445883441257999</v>
      </c>
      <c r="E5032">
        <v>0.25755862970570997</v>
      </c>
      <c r="F5032">
        <v>18</v>
      </c>
    </row>
    <row r="5033" spans="1:9" x14ac:dyDescent="0.25">
      <c r="A5033">
        <v>1391.1987324581</v>
      </c>
      <c r="B5033">
        <v>1434.7967406066</v>
      </c>
      <c r="C5033" s="1">
        <f t="shared" si="1489"/>
        <v>3.1338447291040072E-2</v>
      </c>
      <c r="D5033">
        <v>14.209065679926001</v>
      </c>
      <c r="E5033">
        <v>0.25034635978615</v>
      </c>
      <c r="F5033">
        <v>18</v>
      </c>
    </row>
    <row r="5034" spans="1:9" x14ac:dyDescent="0.25">
      <c r="A5034">
        <v>1385.7971933000999</v>
      </c>
      <c r="B5034">
        <v>1418.7424173833999</v>
      </c>
      <c r="C5034" s="1">
        <f t="shared" si="1489"/>
        <v>2.3773481605086078E-2</v>
      </c>
      <c r="D5034">
        <v>14.32007400555</v>
      </c>
      <c r="E5034">
        <v>0.25390087859829003</v>
      </c>
      <c r="F5034">
        <v>18</v>
      </c>
    </row>
    <row r="5035" spans="1:9" x14ac:dyDescent="0.25">
      <c r="A5035">
        <v>1377.7953825259999</v>
      </c>
      <c r="B5035">
        <v>1420.7324581257999</v>
      </c>
      <c r="C5035" s="1">
        <f t="shared" si="1489"/>
        <v>3.1163608286363109E-2</v>
      </c>
      <c r="D5035">
        <v>14.159111933395</v>
      </c>
      <c r="E5035">
        <v>0.25218226460836002</v>
      </c>
      <c r="F5035">
        <v>19</v>
      </c>
      <c r="H5035" t="s">
        <v>17</v>
      </c>
      <c r="I5035">
        <f t="shared" ref="I5035" si="1501">STDEVP(A5021:A5040)</f>
        <v>6.8681567659340939</v>
      </c>
    </row>
    <row r="5036" spans="1:9" x14ac:dyDescent="0.25">
      <c r="A5036">
        <v>1378.5921231325999</v>
      </c>
      <c r="B5036">
        <v>1424.5921231325999</v>
      </c>
      <c r="C5036" s="1">
        <f t="shared" si="1489"/>
        <v>3.3367374750026491E-2</v>
      </c>
      <c r="D5036">
        <v>14.199814986124</v>
      </c>
      <c r="E5036">
        <v>0.25299199266622002</v>
      </c>
      <c r="F5036">
        <v>18</v>
      </c>
      <c r="H5036" t="s">
        <v>18</v>
      </c>
      <c r="I5036">
        <f t="shared" ref="I5036" si="1502">STDEVP(B5021:B5040)</f>
        <v>5.7169216377461245</v>
      </c>
    </row>
    <row r="5037" spans="1:9" x14ac:dyDescent="0.25">
      <c r="A5037">
        <v>1381.6342236306</v>
      </c>
      <c r="B5037">
        <v>1425.2928927116</v>
      </c>
      <c r="C5037" s="1">
        <f t="shared" si="1489"/>
        <v>3.1599296206108463E-2</v>
      </c>
      <c r="D5037">
        <v>14.007400555042</v>
      </c>
      <c r="E5037">
        <v>0.24798226928798001</v>
      </c>
      <c r="F5037">
        <v>18</v>
      </c>
      <c r="H5037" t="s">
        <v>19</v>
      </c>
      <c r="I5037">
        <f t="shared" ref="I5037" si="1503">STDEVP(C5021:C5040)</f>
        <v>4.3488041562677535E-3</v>
      </c>
    </row>
    <row r="5038" spans="1:9" x14ac:dyDescent="0.25">
      <c r="A5038">
        <v>1380.3368039837001</v>
      </c>
      <c r="B5038">
        <v>1431.7962879131001</v>
      </c>
      <c r="C5038" s="1">
        <f t="shared" si="1489"/>
        <v>3.7280382426148506E-2</v>
      </c>
      <c r="D5038">
        <v>14.199814986124</v>
      </c>
      <c r="E5038">
        <v>0.25255280403913</v>
      </c>
      <c r="F5038">
        <v>18</v>
      </c>
      <c r="H5038" t="s">
        <v>20</v>
      </c>
      <c r="I5038">
        <f t="shared" ref="I5038" si="1504">STDEVP(D5021:D5040)</f>
        <v>0.1119625958653223</v>
      </c>
    </row>
    <row r="5039" spans="1:9" x14ac:dyDescent="0.25">
      <c r="A5039">
        <v>1373.9438660026999</v>
      </c>
      <c r="B5039">
        <v>1422.9352648257</v>
      </c>
      <c r="C5039" s="1">
        <f t="shared" si="1489"/>
        <v>3.5657496667264699E-2</v>
      </c>
      <c r="D5039">
        <v>14.314523589268999</v>
      </c>
      <c r="E5039">
        <v>0.25649459268375002</v>
      </c>
      <c r="F5039">
        <v>18</v>
      </c>
      <c r="H5039" t="s">
        <v>21</v>
      </c>
      <c r="I5039">
        <f t="shared" ref="I5039" si="1505">STDEVP(E5021:E5040)</f>
        <v>2.4706671737046233E-3</v>
      </c>
    </row>
    <row r="5040" spans="1:9" x14ac:dyDescent="0.25">
      <c r="A5040">
        <v>1371.2747849706</v>
      </c>
      <c r="B5040">
        <v>1419.7935717518999</v>
      </c>
      <c r="C5040" s="1">
        <f t="shared" si="1489"/>
        <v>3.5382249650525166E-2</v>
      </c>
      <c r="D5040">
        <v>14.186864014800999</v>
      </c>
      <c r="E5040">
        <v>0.25424870084669998</v>
      </c>
      <c r="F5040">
        <v>18</v>
      </c>
      <c r="H5040" t="s">
        <v>22</v>
      </c>
      <c r="I5040">
        <f t="shared" ref="I5040" si="1506">STDEVP(F5021:F5040)</f>
        <v>0.35707142142714249</v>
      </c>
    </row>
    <row r="5041" spans="1:9" x14ac:dyDescent="0.25">
      <c r="C5041" s="1" t="str">
        <f t="shared" si="1489"/>
        <v/>
      </c>
    </row>
    <row r="5042" spans="1:9" x14ac:dyDescent="0.25">
      <c r="A5042">
        <v>850.83756768013995</v>
      </c>
      <c r="B5042">
        <v>873.97001249477</v>
      </c>
      <c r="C5042" s="1">
        <f t="shared" si="1489"/>
        <v>2.7187850764161858E-2</v>
      </c>
      <c r="D5042">
        <v>13.115505996213001</v>
      </c>
      <c r="E5042">
        <v>0.44017997940996001</v>
      </c>
      <c r="F5042">
        <v>30</v>
      </c>
    </row>
    <row r="5043" spans="1:9" x14ac:dyDescent="0.25">
      <c r="A5043">
        <v>855.78758850479005</v>
      </c>
      <c r="B5043">
        <v>878.82215743437996</v>
      </c>
      <c r="C5043" s="1">
        <f t="shared" si="1489"/>
        <v>2.6916222248368094E-2</v>
      </c>
      <c r="D5043">
        <v>13.174836945087</v>
      </c>
      <c r="E5043">
        <v>0.43974576247466002</v>
      </c>
      <c r="F5043">
        <v>34</v>
      </c>
    </row>
    <row r="5044" spans="1:9" x14ac:dyDescent="0.25">
      <c r="A5044">
        <v>859.43231986672004</v>
      </c>
      <c r="B5044">
        <v>880.27821740938998</v>
      </c>
      <c r="C5044" s="1">
        <f t="shared" si="1489"/>
        <v>2.4255426588916995E-2</v>
      </c>
      <c r="D5044">
        <v>13.215653271618001</v>
      </c>
      <c r="E5044">
        <v>0.43922720706999002</v>
      </c>
      <c r="F5044">
        <v>31</v>
      </c>
    </row>
    <row r="5045" spans="1:9" x14ac:dyDescent="0.25">
      <c r="A5045">
        <v>853.55976676385001</v>
      </c>
      <c r="B5045">
        <v>874.32611411908999</v>
      </c>
      <c r="C5045" s="1">
        <f t="shared" si="1489"/>
        <v>2.4329107537451877E-2</v>
      </c>
      <c r="D5045">
        <v>13.166421207658001</v>
      </c>
      <c r="E5045">
        <v>0.44101957748971998</v>
      </c>
      <c r="F5045">
        <v>31</v>
      </c>
    </row>
    <row r="5046" spans="1:9" x14ac:dyDescent="0.25">
      <c r="A5046">
        <v>857.05705955852</v>
      </c>
      <c r="B5046">
        <v>881.68054977091003</v>
      </c>
      <c r="C5046" s="1">
        <f t="shared" si="1489"/>
        <v>2.87302810679535E-2</v>
      </c>
      <c r="D5046">
        <v>13.288449400378999</v>
      </c>
      <c r="E5046">
        <v>0.44434289887325001</v>
      </c>
      <c r="F5046">
        <v>31</v>
      </c>
    </row>
    <row r="5047" spans="1:9" x14ac:dyDescent="0.25">
      <c r="A5047">
        <v>857.55185339442005</v>
      </c>
      <c r="B5047">
        <v>881.38067471884005</v>
      </c>
      <c r="C5047" s="1">
        <f t="shared" si="1489"/>
        <v>2.7787032620941954E-2</v>
      </c>
      <c r="D5047">
        <v>13.239217336418999</v>
      </c>
      <c r="E5047">
        <v>0.44158218334194999</v>
      </c>
      <c r="F5047">
        <v>31</v>
      </c>
    </row>
    <row r="5048" spans="1:9" x14ac:dyDescent="0.25">
      <c r="A5048">
        <v>850.34860474801997</v>
      </c>
      <c r="B5048">
        <v>869.90045814242001</v>
      </c>
      <c r="C5048" s="1">
        <f t="shared" si="1489"/>
        <v>2.2992750602788048E-2</v>
      </c>
      <c r="D5048">
        <v>13.096991373869001</v>
      </c>
      <c r="E5048">
        <v>0.44005667916538999</v>
      </c>
      <c r="F5048">
        <v>30</v>
      </c>
    </row>
    <row r="5049" spans="1:9" x14ac:dyDescent="0.25">
      <c r="A5049">
        <v>856.22907122032996</v>
      </c>
      <c r="B5049">
        <v>877.58850478964996</v>
      </c>
      <c r="C5049" s="1">
        <f t="shared" si="1489"/>
        <v>2.4945933614327842E-2</v>
      </c>
      <c r="D5049">
        <v>13.279612876078</v>
      </c>
      <c r="E5049">
        <v>0.44440899664280997</v>
      </c>
      <c r="F5049">
        <v>33</v>
      </c>
    </row>
    <row r="5050" spans="1:9" x14ac:dyDescent="0.25">
      <c r="A5050">
        <v>858.21282798834</v>
      </c>
      <c r="B5050">
        <v>882.40441482713004</v>
      </c>
      <c r="C5050" s="1">
        <f t="shared" si="1489"/>
        <v>2.8188330504794967E-2</v>
      </c>
      <c r="D5050">
        <v>13.290132547864999</v>
      </c>
      <c r="E5050">
        <v>0.44323420761648002</v>
      </c>
      <c r="F5050">
        <v>31</v>
      </c>
    </row>
    <row r="5051" spans="1:9" x14ac:dyDescent="0.25">
      <c r="A5051">
        <v>851.63556851312001</v>
      </c>
      <c r="B5051">
        <v>872.76343190335001</v>
      </c>
      <c r="C5051" s="1">
        <f t="shared" si="1489"/>
        <v>2.4808573257593558E-2</v>
      </c>
      <c r="D5051">
        <v>13.275405007364</v>
      </c>
      <c r="E5051">
        <v>0.44763521681357998</v>
      </c>
      <c r="F5051">
        <v>31</v>
      </c>
    </row>
    <row r="5052" spans="1:9" x14ac:dyDescent="0.25">
      <c r="A5052">
        <v>853.83173677633999</v>
      </c>
      <c r="B5052">
        <v>873.64306538940002</v>
      </c>
      <c r="C5052" s="1">
        <f t="shared" si="1489"/>
        <v>2.3202848710986324E-2</v>
      </c>
      <c r="D5052">
        <v>13.286345466021</v>
      </c>
      <c r="E5052">
        <v>0.44728808109374002</v>
      </c>
      <c r="F5052">
        <v>31</v>
      </c>
    </row>
    <row r="5053" spans="1:9" x14ac:dyDescent="0.25">
      <c r="A5053">
        <v>858.68388171594995</v>
      </c>
      <c r="B5053">
        <v>877.47730112450995</v>
      </c>
      <c r="C5053" s="1">
        <f t="shared" si="1489"/>
        <v>2.1886307416187023E-2</v>
      </c>
      <c r="D5053">
        <v>13.191247633073999</v>
      </c>
      <c r="E5053">
        <v>0.43820811038150997</v>
      </c>
      <c r="F5053">
        <v>30</v>
      </c>
    </row>
    <row r="5054" spans="1:9" x14ac:dyDescent="0.25">
      <c r="A5054">
        <v>860.55643481882998</v>
      </c>
      <c r="B5054">
        <v>883.51478550601996</v>
      </c>
      <c r="C5054" s="1">
        <f t="shared" si="1489"/>
        <v>2.66784951669361E-2</v>
      </c>
      <c r="D5054">
        <v>13.240479697033001</v>
      </c>
      <c r="E5054">
        <v>0.43900302186142998</v>
      </c>
      <c r="F5054">
        <v>32</v>
      </c>
    </row>
    <row r="5055" spans="1:9" x14ac:dyDescent="0.25">
      <c r="A5055">
        <v>858.74385672637004</v>
      </c>
      <c r="B5055">
        <v>878.40857975841004</v>
      </c>
      <c r="C5055" s="1">
        <f t="shared" si="1489"/>
        <v>2.2899404610595031E-2</v>
      </c>
      <c r="D5055">
        <v>13.4252051336</v>
      </c>
      <c r="E5055">
        <v>0.44970969137603001</v>
      </c>
      <c r="F5055">
        <v>32</v>
      </c>
    </row>
    <row r="5056" spans="1:9" x14ac:dyDescent="0.25">
      <c r="A5056">
        <v>854.04997917535002</v>
      </c>
      <c r="B5056">
        <v>872.39525197831995</v>
      </c>
      <c r="C5056" s="1">
        <f t="shared" si="1489"/>
        <v>2.1480326971828667E-2</v>
      </c>
      <c r="D5056">
        <v>13.219019566589999</v>
      </c>
      <c r="E5056">
        <v>0.44286613902664002</v>
      </c>
      <c r="F5056">
        <v>30</v>
      </c>
      <c r="H5056" t="s">
        <v>17</v>
      </c>
      <c r="I5056">
        <f t="shared" ref="I5056" si="1507">STDEVP(A5042:A5061)</f>
        <v>3.7069335671640671</v>
      </c>
    </row>
    <row r="5057" spans="1:9" x14ac:dyDescent="0.25">
      <c r="A5057">
        <v>856.37900874636</v>
      </c>
      <c r="B5057">
        <v>877.39816743021004</v>
      </c>
      <c r="C5057" s="1">
        <f t="shared" si="1489"/>
        <v>2.4544224542144777E-2</v>
      </c>
      <c r="D5057">
        <v>13.101620029455001</v>
      </c>
      <c r="E5057">
        <v>0.43552342262468002</v>
      </c>
      <c r="F5057">
        <v>31</v>
      </c>
      <c r="H5057" t="s">
        <v>18</v>
      </c>
      <c r="I5057">
        <f t="shared" ref="I5057" si="1508">STDEVP(B5042:B5061)</f>
        <v>3.997660754944254</v>
      </c>
    </row>
    <row r="5058" spans="1:9" x14ac:dyDescent="0.25">
      <c r="A5058">
        <v>855.87630154102999</v>
      </c>
      <c r="B5058">
        <v>880.19575177007005</v>
      </c>
      <c r="C5058" s="1">
        <f t="shared" ref="C5058:C5121" si="1509">IFERROR((B5058/A5058)-1,"")</f>
        <v>2.8414678832971774E-2</v>
      </c>
      <c r="D5058">
        <v>13.30612244898</v>
      </c>
      <c r="E5058">
        <v>0.44665095215569001</v>
      </c>
      <c r="F5058">
        <v>31</v>
      </c>
      <c r="H5058" t="s">
        <v>19</v>
      </c>
      <c r="I5058">
        <f t="shared" ref="I5058" si="1510">STDEVP(C5042:C5061)</f>
        <v>2.4534353405342864E-3</v>
      </c>
    </row>
    <row r="5059" spans="1:9" x14ac:dyDescent="0.25">
      <c r="A5059">
        <v>851.45772594751998</v>
      </c>
      <c r="B5059">
        <v>872.00208246561999</v>
      </c>
      <c r="C5059" s="1">
        <f t="shared" si="1509"/>
        <v>2.4128451586058253E-2</v>
      </c>
      <c r="D5059">
        <v>13.125184094255999</v>
      </c>
      <c r="E5059">
        <v>0.44096365032615997</v>
      </c>
      <c r="F5059">
        <v>30</v>
      </c>
      <c r="H5059" t="s">
        <v>20</v>
      </c>
      <c r="I5059">
        <f t="shared" ref="I5059" si="1511">STDEVP(D5042:D5061)</f>
        <v>8.8884580900623192E-2</v>
      </c>
    </row>
    <row r="5060" spans="1:9" x14ac:dyDescent="0.25">
      <c r="A5060">
        <v>860.84798000832996</v>
      </c>
      <c r="B5060">
        <v>880.91378592250999</v>
      </c>
      <c r="C5060" s="1">
        <f t="shared" si="1509"/>
        <v>2.3309348898031823E-2</v>
      </c>
      <c r="D5060">
        <v>13.358300021039</v>
      </c>
      <c r="E5060">
        <v>0.44475422847805002</v>
      </c>
      <c r="F5060">
        <v>31</v>
      </c>
      <c r="H5060" t="s">
        <v>21</v>
      </c>
      <c r="I5060">
        <f t="shared" ref="I5060" si="1512">STDEVP(E5042:E5061)</f>
        <v>3.5102289205417589E-3</v>
      </c>
    </row>
    <row r="5061" spans="1:9" x14ac:dyDescent="0.25">
      <c r="A5061">
        <v>846.49396084964997</v>
      </c>
      <c r="B5061">
        <v>872.25489379423004</v>
      </c>
      <c r="C5061" s="1">
        <f t="shared" si="1509"/>
        <v>3.04325064749702E-2</v>
      </c>
      <c r="D5061">
        <v>13.103303176941001</v>
      </c>
      <c r="E5061">
        <v>0.44337730436717998</v>
      </c>
      <c r="F5061">
        <v>32</v>
      </c>
      <c r="H5061" t="s">
        <v>22</v>
      </c>
      <c r="I5061">
        <f t="shared" ref="I5061" si="1513">STDEVP(F5042:F5061)</f>
        <v>1.0136567466356647</v>
      </c>
    </row>
    <row r="5062" spans="1:9" x14ac:dyDescent="0.25">
      <c r="C5062" s="1" t="str">
        <f t="shared" si="1509"/>
        <v/>
      </c>
    </row>
    <row r="5063" spans="1:9" x14ac:dyDescent="0.25">
      <c r="A5063">
        <v>571.08937449415998</v>
      </c>
      <c r="B5063">
        <v>589.68574401665001</v>
      </c>
      <c r="C5063" s="1">
        <f t="shared" si="1509"/>
        <v>3.2562975872141964E-2</v>
      </c>
      <c r="D5063">
        <v>9.7648433847591996</v>
      </c>
      <c r="E5063">
        <v>0.51413305123842001</v>
      </c>
      <c r="F5063">
        <v>14</v>
      </c>
    </row>
    <row r="5064" spans="1:9" x14ac:dyDescent="0.25">
      <c r="A5064">
        <v>568.3558792924</v>
      </c>
      <c r="B5064">
        <v>584.74528847265003</v>
      </c>
      <c r="C5064" s="1">
        <f t="shared" si="1509"/>
        <v>2.8836526157967723E-2</v>
      </c>
      <c r="D5064">
        <v>9.6886395511921002</v>
      </c>
      <c r="E5064">
        <v>0.51173509089642999</v>
      </c>
      <c r="F5064">
        <v>15</v>
      </c>
    </row>
    <row r="5065" spans="1:9" x14ac:dyDescent="0.25">
      <c r="A5065">
        <v>567.25193664006997</v>
      </c>
      <c r="B5065">
        <v>582.08116545265</v>
      </c>
      <c r="C5065" s="1">
        <f t="shared" si="1509"/>
        <v>2.6142226856757933E-2</v>
      </c>
      <c r="D5065">
        <v>9.6741467975689996</v>
      </c>
      <c r="E5065">
        <v>0.51208992981785995</v>
      </c>
      <c r="F5065">
        <v>14</v>
      </c>
    </row>
    <row r="5066" spans="1:9" x14ac:dyDescent="0.25">
      <c r="A5066">
        <v>564.02774887270004</v>
      </c>
      <c r="B5066">
        <v>581.52595675800001</v>
      </c>
      <c r="C5066" s="1">
        <f t="shared" si="1509"/>
        <v>3.1023664917679827E-2</v>
      </c>
      <c r="D5066">
        <v>9.8274894810658999</v>
      </c>
      <c r="E5066">
        <v>0.52813194991339996</v>
      </c>
      <c r="F5066">
        <v>15</v>
      </c>
    </row>
    <row r="5067" spans="1:9" x14ac:dyDescent="0.25">
      <c r="A5067">
        <v>565.56665510463995</v>
      </c>
      <c r="B5067">
        <v>579.45311596715999</v>
      </c>
      <c r="C5067" s="1">
        <f t="shared" si="1509"/>
        <v>2.455318172877563E-2</v>
      </c>
      <c r="D5067">
        <v>9.6933146330061</v>
      </c>
      <c r="E5067">
        <v>0.51527026653755004</v>
      </c>
      <c r="F5067">
        <v>14</v>
      </c>
    </row>
    <row r="5068" spans="1:9" x14ac:dyDescent="0.25">
      <c r="A5068">
        <v>567.29564111458001</v>
      </c>
      <c r="B5068">
        <v>588.37530350328996</v>
      </c>
      <c r="C5068" s="1">
        <f t="shared" si="1509"/>
        <v>3.7158160332933621E-2</v>
      </c>
      <c r="D5068">
        <v>9.7274427302477999</v>
      </c>
      <c r="E5068">
        <v>0.51663988208681</v>
      </c>
      <c r="F5068">
        <v>15</v>
      </c>
    </row>
    <row r="5069" spans="1:9" x14ac:dyDescent="0.25">
      <c r="A5069">
        <v>567.90403514856996</v>
      </c>
      <c r="B5069">
        <v>589.04543877904996</v>
      </c>
      <c r="C5069" s="1">
        <f t="shared" si="1509"/>
        <v>3.7227070635180715E-2</v>
      </c>
      <c r="D5069">
        <v>9.7723235156614994</v>
      </c>
      <c r="E5069">
        <v>0.51873017797573995</v>
      </c>
      <c r="F5069">
        <v>14</v>
      </c>
    </row>
    <row r="5070" spans="1:9" x14ac:dyDescent="0.25">
      <c r="A5070">
        <v>567.27182333218002</v>
      </c>
      <c r="B5070">
        <v>584.56908313099996</v>
      </c>
      <c r="C5070" s="1">
        <f t="shared" si="1509"/>
        <v>3.0492012977508809E-2</v>
      </c>
      <c r="D5070">
        <v>9.7816736792893995</v>
      </c>
      <c r="E5070">
        <v>0.52057261510390995</v>
      </c>
      <c r="F5070">
        <v>15</v>
      </c>
    </row>
    <row r="5071" spans="1:9" x14ac:dyDescent="0.25">
      <c r="A5071">
        <v>566.62804948549001</v>
      </c>
      <c r="B5071">
        <v>581.68505029483003</v>
      </c>
      <c r="C5071" s="1">
        <f t="shared" si="1509"/>
        <v>2.6572988793992947E-2</v>
      </c>
      <c r="D5071">
        <v>9.7143525011688006</v>
      </c>
      <c r="E5071">
        <v>0.51573480687918005</v>
      </c>
      <c r="F5071">
        <v>15</v>
      </c>
    </row>
    <row r="5072" spans="1:9" x14ac:dyDescent="0.25">
      <c r="A5072">
        <v>568.08255289629005</v>
      </c>
      <c r="B5072">
        <v>580.41368944385999</v>
      </c>
      <c r="C5072" s="1">
        <f t="shared" si="1509"/>
        <v>2.1706592615283293E-2</v>
      </c>
      <c r="D5072">
        <v>9.7335203366059009</v>
      </c>
      <c r="E5072">
        <v>0.51452013442125</v>
      </c>
      <c r="F5072">
        <v>14</v>
      </c>
    </row>
    <row r="5073" spans="1:9" x14ac:dyDescent="0.25">
      <c r="A5073">
        <v>569.27321077580996</v>
      </c>
      <c r="B5073">
        <v>587.05191351601002</v>
      </c>
      <c r="C5073" s="1">
        <f t="shared" si="1509"/>
        <v>3.1230527633596461E-2</v>
      </c>
      <c r="D5073">
        <v>9.7578307620382994</v>
      </c>
      <c r="E5073">
        <v>0.51533596378095003</v>
      </c>
      <c r="F5073">
        <v>15</v>
      </c>
    </row>
    <row r="5074" spans="1:9" x14ac:dyDescent="0.25">
      <c r="A5074">
        <v>564.19817319921003</v>
      </c>
      <c r="B5074">
        <v>579.96531390912003</v>
      </c>
      <c r="C5074" s="1">
        <f t="shared" si="1509"/>
        <v>2.7946103796303579E-2</v>
      </c>
      <c r="D5074">
        <v>9.5871902758297995</v>
      </c>
      <c r="E5074">
        <v>0.50826260426472003</v>
      </c>
      <c r="F5074">
        <v>14</v>
      </c>
    </row>
    <row r="5075" spans="1:9" x14ac:dyDescent="0.25">
      <c r="A5075">
        <v>570.42571395537004</v>
      </c>
      <c r="B5075">
        <v>586.77188114233002</v>
      </c>
      <c r="C5075" s="1">
        <f t="shared" si="1509"/>
        <v>2.8656084021203343E-2</v>
      </c>
      <c r="D5075">
        <v>9.7639083683964003</v>
      </c>
      <c r="E5075">
        <v>0.51469724523150995</v>
      </c>
      <c r="F5075">
        <v>15</v>
      </c>
    </row>
    <row r="5076" spans="1:9" x14ac:dyDescent="0.25">
      <c r="A5076">
        <v>573.24592438432001</v>
      </c>
      <c r="B5076">
        <v>587.86356804255001</v>
      </c>
      <c r="C5076" s="1">
        <f t="shared" si="1509"/>
        <v>2.5499777733142492E-2</v>
      </c>
      <c r="D5076">
        <v>9.7629733520337005</v>
      </c>
      <c r="E5076">
        <v>0.51047218006307005</v>
      </c>
      <c r="F5076">
        <v>14</v>
      </c>
    </row>
    <row r="5077" spans="1:9" x14ac:dyDescent="0.25">
      <c r="A5077">
        <v>571.32223378424999</v>
      </c>
      <c r="B5077">
        <v>587.08775580992005</v>
      </c>
      <c r="C5077" s="1">
        <f t="shared" si="1509"/>
        <v>2.7594798685226074E-2</v>
      </c>
      <c r="D5077">
        <v>9.7559607293128003</v>
      </c>
      <c r="E5077">
        <v>0.51302966435648001</v>
      </c>
      <c r="F5077">
        <v>15</v>
      </c>
      <c r="H5077" t="s">
        <v>17</v>
      </c>
      <c r="I5077">
        <f t="shared" ref="I5077" si="1514">STDEVP(A5063:A5082)</f>
        <v>2.581586175871101</v>
      </c>
    </row>
    <row r="5078" spans="1:9" x14ac:dyDescent="0.25">
      <c r="A5078">
        <v>564.94854896519996</v>
      </c>
      <c r="B5078">
        <v>580.93906810036003</v>
      </c>
      <c r="C5078" s="1">
        <f t="shared" si="1509"/>
        <v>2.8304381282949542E-2</v>
      </c>
      <c r="D5078">
        <v>9.6848994857409991</v>
      </c>
      <c r="E5078">
        <v>0.51620963741893999</v>
      </c>
      <c r="F5078">
        <v>14</v>
      </c>
      <c r="H5078" t="s">
        <v>18</v>
      </c>
      <c r="I5078">
        <f t="shared" ref="I5078" si="1515">STDEVP(B5063:B5082)</f>
        <v>3.478910179259243</v>
      </c>
    </row>
    <row r="5079" spans="1:9" x14ac:dyDescent="0.25">
      <c r="A5079">
        <v>569.35715111573995</v>
      </c>
      <c r="B5079">
        <v>587.91536593826004</v>
      </c>
      <c r="C5079" s="1">
        <f t="shared" si="1509"/>
        <v>3.259503246100004E-2</v>
      </c>
      <c r="D5079">
        <v>9.8153342683496998</v>
      </c>
      <c r="E5079">
        <v>0.52015845634082003</v>
      </c>
      <c r="F5079">
        <v>15</v>
      </c>
      <c r="H5079" t="s">
        <v>19</v>
      </c>
      <c r="I5079">
        <f t="shared" ref="I5079" si="1516">STDEVP(C5063:C5082)</f>
        <v>3.7330385937278539E-3</v>
      </c>
    </row>
    <row r="5080" spans="1:9" x14ac:dyDescent="0.25">
      <c r="A5080">
        <v>563.87582379466005</v>
      </c>
      <c r="B5080">
        <v>578.97791652214005</v>
      </c>
      <c r="C5080" s="1">
        <f t="shared" si="1509"/>
        <v>2.6782656908127311E-2</v>
      </c>
      <c r="D5080">
        <v>9.6774193548386993</v>
      </c>
      <c r="E5080">
        <v>0.51588175554304005</v>
      </c>
      <c r="F5080">
        <v>14</v>
      </c>
      <c r="H5080" t="s">
        <v>20</v>
      </c>
      <c r="I5080">
        <f t="shared" ref="I5080" si="1517">STDEVP(D5063:D5082)</f>
        <v>5.547694753060952E-2</v>
      </c>
    </row>
    <row r="5081" spans="1:9" x14ac:dyDescent="0.25">
      <c r="A5081">
        <v>565.82263845530997</v>
      </c>
      <c r="B5081">
        <v>582.41923921839998</v>
      </c>
      <c r="C5081" s="1">
        <f t="shared" si="1509"/>
        <v>2.9331807593274473E-2</v>
      </c>
      <c r="D5081">
        <v>9.7942964001869992</v>
      </c>
      <c r="E5081">
        <v>0.52342583722545999</v>
      </c>
      <c r="F5081">
        <v>15</v>
      </c>
      <c r="H5081" t="s">
        <v>21</v>
      </c>
      <c r="I5081">
        <f t="shared" ref="I5081" si="1518">STDEVP(E5063:E5082)</f>
        <v>4.5755659657137843E-3</v>
      </c>
    </row>
    <row r="5082" spans="1:9" x14ac:dyDescent="0.25">
      <c r="A5082">
        <v>570.38570933055996</v>
      </c>
      <c r="B5082">
        <v>586.85535900104003</v>
      </c>
      <c r="C5082" s="1">
        <f t="shared" si="1509"/>
        <v>2.8874583288227562E-2</v>
      </c>
      <c r="D5082">
        <v>9.7194950911641005</v>
      </c>
      <c r="E5082">
        <v>0.51051205229560004</v>
      </c>
      <c r="F5082">
        <v>15</v>
      </c>
      <c r="H5082" t="s">
        <v>22</v>
      </c>
      <c r="I5082">
        <f t="shared" ref="I5082" si="1519">STDEVP(F5063:F5082)</f>
        <v>0.49749371855330998</v>
      </c>
    </row>
    <row r="5083" spans="1:9" x14ac:dyDescent="0.25">
      <c r="C5083" s="1" t="str">
        <f t="shared" si="1509"/>
        <v/>
      </c>
    </row>
    <row r="5084" spans="1:9" x14ac:dyDescent="0.25">
      <c r="A5084">
        <v>813.85185185185003</v>
      </c>
      <c r="B5084">
        <v>848.82716049379997</v>
      </c>
      <c r="C5084" s="1">
        <f t="shared" si="1509"/>
        <v>4.2975031097326477E-2</v>
      </c>
      <c r="D5084">
        <v>10.967790262172</v>
      </c>
      <c r="E5084">
        <v>0.36551812108742998</v>
      </c>
      <c r="F5084">
        <v>16</v>
      </c>
    </row>
    <row r="5085" spans="1:9" x14ac:dyDescent="0.25">
      <c r="A5085">
        <v>827.89629629628996</v>
      </c>
      <c r="B5085">
        <v>853.77037037034995</v>
      </c>
      <c r="C5085" s="1">
        <f t="shared" si="1509"/>
        <v>3.1252796020239781E-2</v>
      </c>
      <c r="D5085">
        <v>11.232958801498</v>
      </c>
      <c r="E5085">
        <v>0.36819308398956002</v>
      </c>
      <c r="F5085">
        <v>16</v>
      </c>
    </row>
    <row r="5086" spans="1:9" x14ac:dyDescent="0.25">
      <c r="A5086">
        <v>829.34074074073999</v>
      </c>
      <c r="B5086">
        <v>854.86666666664996</v>
      </c>
      <c r="C5086" s="1">
        <f t="shared" si="1509"/>
        <v>3.0778574682236215E-2</v>
      </c>
      <c r="D5086">
        <v>11.084644194757001</v>
      </c>
      <c r="E5086">
        <v>0.36060341020058001</v>
      </c>
      <c r="F5086">
        <v>16</v>
      </c>
    </row>
    <row r="5087" spans="1:9" x14ac:dyDescent="0.25">
      <c r="A5087">
        <v>827.08641975308001</v>
      </c>
      <c r="B5087">
        <v>854.28148148145999</v>
      </c>
      <c r="C5087" s="1">
        <f t="shared" si="1509"/>
        <v>3.2880556467725475E-2</v>
      </c>
      <c r="D5087">
        <v>11.120099875156001</v>
      </c>
      <c r="E5087">
        <v>0.36448476865737001</v>
      </c>
      <c r="F5087">
        <v>17</v>
      </c>
    </row>
    <row r="5088" spans="1:9" x14ac:dyDescent="0.25">
      <c r="A5088">
        <v>835.15802469135997</v>
      </c>
      <c r="B5088">
        <v>861.28641975307005</v>
      </c>
      <c r="C5088" s="1">
        <f t="shared" si="1509"/>
        <v>3.1285570262425511E-2</v>
      </c>
      <c r="D5088">
        <v>11.136079900125001</v>
      </c>
      <c r="E5088">
        <v>0.35986945913972002</v>
      </c>
      <c r="F5088">
        <v>16</v>
      </c>
    </row>
    <row r="5089" spans="1:9" x14ac:dyDescent="0.25">
      <c r="A5089">
        <v>831.41728395062</v>
      </c>
      <c r="B5089">
        <v>853.73333333331004</v>
      </c>
      <c r="C5089" s="1">
        <f t="shared" si="1509"/>
        <v>2.6840973616342856E-2</v>
      </c>
      <c r="D5089">
        <v>11.206491885144001</v>
      </c>
      <c r="E5089">
        <v>0.36490839212340997</v>
      </c>
      <c r="F5089">
        <v>16</v>
      </c>
    </row>
    <row r="5090" spans="1:9" x14ac:dyDescent="0.25">
      <c r="A5090">
        <v>823.22469135801998</v>
      </c>
      <c r="B5090">
        <v>847.62716049381004</v>
      </c>
      <c r="C5090" s="1">
        <f t="shared" si="1509"/>
        <v>2.9642537926717116E-2</v>
      </c>
      <c r="D5090">
        <v>11.032709113608</v>
      </c>
      <c r="E5090">
        <v>0.36251215000129999</v>
      </c>
      <c r="F5090">
        <v>16</v>
      </c>
    </row>
    <row r="5091" spans="1:9" x14ac:dyDescent="0.25">
      <c r="A5091">
        <v>844.43456790123003</v>
      </c>
      <c r="B5091">
        <v>863.81975308640006</v>
      </c>
      <c r="C5091" s="1">
        <f t="shared" si="1509"/>
        <v>2.2956408846869225E-2</v>
      </c>
      <c r="D5091">
        <v>11.127590511859999</v>
      </c>
      <c r="E5091">
        <v>0.35424725793484002</v>
      </c>
      <c r="F5091">
        <v>17</v>
      </c>
    </row>
    <row r="5092" spans="1:9" x14ac:dyDescent="0.25">
      <c r="A5092">
        <v>827.57283950617</v>
      </c>
      <c r="B5092">
        <v>855.57530864194996</v>
      </c>
      <c r="C5092" s="1">
        <f t="shared" si="1509"/>
        <v>3.3836863414330454E-2</v>
      </c>
      <c r="D5092">
        <v>11.05368289638</v>
      </c>
      <c r="E5092">
        <v>0.36065485113429002</v>
      </c>
      <c r="F5092">
        <v>16</v>
      </c>
    </row>
    <row r="5093" spans="1:9" x14ac:dyDescent="0.25">
      <c r="A5093">
        <v>831.8</v>
      </c>
      <c r="B5093">
        <v>854.00740740739002</v>
      </c>
      <c r="C5093" s="1">
        <f t="shared" si="1509"/>
        <v>2.6698013233217299E-2</v>
      </c>
      <c r="D5093">
        <v>11.024719101124001</v>
      </c>
      <c r="E5093">
        <v>0.35661351765959998</v>
      </c>
      <c r="F5093">
        <v>16</v>
      </c>
    </row>
    <row r="5094" spans="1:9" x14ac:dyDescent="0.25">
      <c r="A5094">
        <v>827.33827160494002</v>
      </c>
      <c r="B5094">
        <v>851.75802469133998</v>
      </c>
      <c r="C5094" s="1">
        <f t="shared" si="1509"/>
        <v>2.9516044312840162E-2</v>
      </c>
      <c r="D5094">
        <v>11.076654182272</v>
      </c>
      <c r="E5094">
        <v>0.36175570007445002</v>
      </c>
      <c r="F5094">
        <v>16</v>
      </c>
    </row>
    <row r="5095" spans="1:9" x14ac:dyDescent="0.25">
      <c r="A5095">
        <v>823.85679012344997</v>
      </c>
      <c r="B5095">
        <v>851.20246913578001</v>
      </c>
      <c r="C5095" s="1">
        <f t="shared" si="1509"/>
        <v>3.3192272419375835E-2</v>
      </c>
      <c r="D5095">
        <v>10.920848938825999</v>
      </c>
      <c r="E5095">
        <v>0.35670205071202998</v>
      </c>
      <c r="F5095">
        <v>17</v>
      </c>
    </row>
    <row r="5096" spans="1:9" x14ac:dyDescent="0.25">
      <c r="A5096">
        <v>835.87654320986996</v>
      </c>
      <c r="B5096">
        <v>862.64197530861998</v>
      </c>
      <c r="C5096" s="1">
        <f t="shared" si="1509"/>
        <v>3.2020795793559875E-2</v>
      </c>
      <c r="D5096">
        <v>11.124094881397999</v>
      </c>
      <c r="E5096">
        <v>0.35903240666002001</v>
      </c>
      <c r="F5096">
        <v>16</v>
      </c>
    </row>
    <row r="5097" spans="1:9" x14ac:dyDescent="0.25">
      <c r="A5097">
        <v>833.05679012345001</v>
      </c>
      <c r="B5097">
        <v>855.98271604935996</v>
      </c>
      <c r="C5097" s="1">
        <f t="shared" si="1509"/>
        <v>2.752024375494555E-2</v>
      </c>
      <c r="D5097">
        <v>11.141073657928001</v>
      </c>
      <c r="E5097">
        <v>0.36119662072719</v>
      </c>
      <c r="F5097">
        <v>16</v>
      </c>
    </row>
    <row r="5098" spans="1:9" x14ac:dyDescent="0.25">
      <c r="A5098">
        <v>829.61975308642002</v>
      </c>
      <c r="B5098">
        <v>857.28888888887002</v>
      </c>
      <c r="C5098" s="1">
        <f t="shared" si="1509"/>
        <v>3.3351587518875903E-2</v>
      </c>
      <c r="D5098">
        <v>11.138077403245999</v>
      </c>
      <c r="E5098">
        <v>0.36308689927895998</v>
      </c>
      <c r="F5098">
        <v>16</v>
      </c>
      <c r="H5098" t="s">
        <v>17</v>
      </c>
      <c r="I5098">
        <f t="shared" ref="I5098" si="1520">STDEVP(A5084:A5103)</f>
        <v>6.1227346883573626</v>
      </c>
    </row>
    <row r="5099" spans="1:9" x14ac:dyDescent="0.25">
      <c r="A5099">
        <v>827.09876543209998</v>
      </c>
      <c r="B5099">
        <v>855.63456790120995</v>
      </c>
      <c r="C5099" s="1">
        <f t="shared" si="1509"/>
        <v>3.4501082170280029E-2</v>
      </c>
      <c r="D5099">
        <v>11.21847690387</v>
      </c>
      <c r="E5099">
        <v>0.36832678415237002</v>
      </c>
      <c r="F5099">
        <v>17</v>
      </c>
      <c r="H5099" t="s">
        <v>18</v>
      </c>
      <c r="I5099">
        <f t="shared" ref="I5099" si="1521">STDEVP(B5084:B5103)</f>
        <v>4.7785827933803242</v>
      </c>
    </row>
    <row r="5100" spans="1:9" x14ac:dyDescent="0.25">
      <c r="A5100">
        <v>835.25185185185001</v>
      </c>
      <c r="B5100">
        <v>860.44197530862004</v>
      </c>
      <c r="C5100" s="1">
        <f t="shared" si="1509"/>
        <v>3.0158716081766901E-2</v>
      </c>
      <c r="D5100">
        <v>11.183520599251001</v>
      </c>
      <c r="E5100">
        <v>0.36209573279599999</v>
      </c>
      <c r="F5100">
        <v>16</v>
      </c>
      <c r="H5100" t="s">
        <v>19</v>
      </c>
      <c r="I5100">
        <f t="shared" ref="I5100" si="1522">STDEVP(C5084:C5103)</f>
        <v>3.9908908714874703E-3</v>
      </c>
    </row>
    <row r="5101" spans="1:9" x14ac:dyDescent="0.25">
      <c r="A5101">
        <v>824.04197530863996</v>
      </c>
      <c r="B5101">
        <v>848.52098765430003</v>
      </c>
      <c r="C5101" s="1">
        <f t="shared" si="1509"/>
        <v>2.9706026002487951E-2</v>
      </c>
      <c r="D5101">
        <v>11.003245942572001</v>
      </c>
      <c r="E5101">
        <v>0.36089119422625998</v>
      </c>
      <c r="F5101">
        <v>16</v>
      </c>
      <c r="H5101" t="s">
        <v>20</v>
      </c>
      <c r="I5101">
        <f t="shared" ref="I5101" si="1523">STDEVP(D5084:D5103)</f>
        <v>8.1209373163775314E-2</v>
      </c>
    </row>
    <row r="5102" spans="1:9" x14ac:dyDescent="0.25">
      <c r="A5102">
        <v>827.32345679011996</v>
      </c>
      <c r="B5102">
        <v>854.48395061726001</v>
      </c>
      <c r="C5102" s="1">
        <f t="shared" si="1509"/>
        <v>3.2829353022961971E-2</v>
      </c>
      <c r="D5102">
        <v>11.037702871411</v>
      </c>
      <c r="E5102">
        <v>0.36029769554910002</v>
      </c>
      <c r="F5102">
        <v>17</v>
      </c>
      <c r="H5102" t="s">
        <v>21</v>
      </c>
      <c r="I5102">
        <f t="shared" ref="I5102" si="1524">STDEVP(E5084:E5103)</f>
        <v>3.5412331759631442E-3</v>
      </c>
    </row>
    <row r="5103" spans="1:9" x14ac:dyDescent="0.25">
      <c r="A5103">
        <v>834.61234567900999</v>
      </c>
      <c r="B5103">
        <v>864.22716049380995</v>
      </c>
      <c r="C5103" s="1">
        <f t="shared" si="1509"/>
        <v>3.5483317456449059E-2</v>
      </c>
      <c r="D5103">
        <v>11.096129837703</v>
      </c>
      <c r="E5103">
        <v>0.35883594163016003</v>
      </c>
      <c r="F5103">
        <v>16</v>
      </c>
      <c r="H5103" t="s">
        <v>22</v>
      </c>
      <c r="I5103">
        <f t="shared" ref="I5103" si="1525">STDEVP(F5084:F5103)</f>
        <v>0.4330127018922193</v>
      </c>
    </row>
    <row r="5104" spans="1:9" x14ac:dyDescent="0.25">
      <c r="C5104" s="1" t="str">
        <f t="shared" si="1509"/>
        <v/>
      </c>
    </row>
    <row r="5105" spans="1:9" x14ac:dyDescent="0.25">
      <c r="A5105">
        <v>1879.4097222221999</v>
      </c>
      <c r="B5105">
        <v>1910.2717013888</v>
      </c>
      <c r="C5105" s="1">
        <f t="shared" si="1509"/>
        <v>1.642110222251536E-2</v>
      </c>
      <c r="D5105">
        <v>18.943859649122999</v>
      </c>
      <c r="E5105">
        <v>0.24947313657476999</v>
      </c>
      <c r="F5105">
        <v>64</v>
      </c>
    </row>
    <row r="5106" spans="1:9" x14ac:dyDescent="0.25">
      <c r="A5106">
        <v>1863.1163194444</v>
      </c>
      <c r="B5106">
        <v>1895.1571180555</v>
      </c>
      <c r="C5106" s="1">
        <f t="shared" si="1509"/>
        <v>1.7197422553120401E-2</v>
      </c>
      <c r="D5106">
        <v>18.589035087719001</v>
      </c>
      <c r="E5106">
        <v>0.24634921364227</v>
      </c>
      <c r="F5106">
        <v>67</v>
      </c>
    </row>
    <row r="5107" spans="1:9" x14ac:dyDescent="0.25">
      <c r="A5107">
        <v>1870.9045138889001</v>
      </c>
      <c r="B5107">
        <v>1900.9748263888</v>
      </c>
      <c r="C5107" s="1">
        <f t="shared" si="1509"/>
        <v>1.6072606740038964E-2</v>
      </c>
      <c r="D5107">
        <v>18.547807017543999</v>
      </c>
      <c r="E5107">
        <v>0.24440824640347</v>
      </c>
      <c r="F5107">
        <v>66</v>
      </c>
    </row>
    <row r="5108" spans="1:9" x14ac:dyDescent="0.25">
      <c r="A5108">
        <v>1877.8524305556</v>
      </c>
      <c r="B5108">
        <v>1916.5251736109999</v>
      </c>
      <c r="C5108" s="1">
        <f t="shared" si="1509"/>
        <v>2.0594133184340668E-2</v>
      </c>
      <c r="D5108">
        <v>18.971491228070001</v>
      </c>
      <c r="E5108">
        <v>0.25024088657869997</v>
      </c>
      <c r="F5108">
        <v>69</v>
      </c>
    </row>
    <row r="5109" spans="1:9" x14ac:dyDescent="0.25">
      <c r="A5109">
        <v>1862.4496527778001</v>
      </c>
      <c r="B5109">
        <v>1889.8576388888</v>
      </c>
      <c r="C5109" s="1">
        <f t="shared" si="1509"/>
        <v>1.4716095047252242E-2</v>
      </c>
      <c r="D5109">
        <v>17.994298245614001</v>
      </c>
      <c r="E5109">
        <v>0.23664817291365001</v>
      </c>
      <c r="F5109">
        <v>67</v>
      </c>
    </row>
    <row r="5110" spans="1:9" x14ac:dyDescent="0.25">
      <c r="A5110">
        <v>1877.6111111110999</v>
      </c>
      <c r="B5110">
        <v>1914.5138888888</v>
      </c>
      <c r="C5110" s="1">
        <f t="shared" si="1509"/>
        <v>1.9654111311613542E-2</v>
      </c>
      <c r="D5110">
        <v>18.924561403508999</v>
      </c>
      <c r="E5110">
        <v>0.24945411057816</v>
      </c>
      <c r="F5110">
        <v>65</v>
      </c>
    </row>
    <row r="5111" spans="1:9" x14ac:dyDescent="0.25">
      <c r="A5111">
        <v>1865.8541666666999</v>
      </c>
      <c r="B5111">
        <v>1899.2031249999</v>
      </c>
      <c r="C5111" s="1">
        <f t="shared" si="1509"/>
        <v>1.7873293062756979E-2</v>
      </c>
      <c r="D5111">
        <v>18.510526315789001</v>
      </c>
      <c r="E5111">
        <v>0.24469301750975</v>
      </c>
      <c r="F5111">
        <v>69</v>
      </c>
    </row>
    <row r="5112" spans="1:9" x14ac:dyDescent="0.25">
      <c r="A5112">
        <v>1866.1822916666999</v>
      </c>
      <c r="B5112">
        <v>1896.2491319444</v>
      </c>
      <c r="C5112" s="1">
        <f t="shared" si="1509"/>
        <v>1.6111416559872804E-2</v>
      </c>
      <c r="D5112">
        <v>18.714473684211001</v>
      </c>
      <c r="E5112">
        <v>0.24801347986771999</v>
      </c>
      <c r="F5112">
        <v>68</v>
      </c>
    </row>
    <row r="5113" spans="1:9" x14ac:dyDescent="0.25">
      <c r="A5113">
        <v>1878.6822916666999</v>
      </c>
      <c r="B5113">
        <v>1905.3793402777001</v>
      </c>
      <c r="C5113" s="1">
        <f t="shared" si="1509"/>
        <v>1.4210518047367948E-2</v>
      </c>
      <c r="D5113">
        <v>18.593421052631999</v>
      </c>
      <c r="E5113">
        <v>0.24389155641037</v>
      </c>
      <c r="F5113">
        <v>64</v>
      </c>
    </row>
    <row r="5114" spans="1:9" x14ac:dyDescent="0.25">
      <c r="A5114">
        <v>1858.1909722221999</v>
      </c>
      <c r="B5114">
        <v>1891.0755208333001</v>
      </c>
      <c r="C5114" s="1">
        <f t="shared" si="1509"/>
        <v>1.7697076943482104E-2</v>
      </c>
      <c r="D5114">
        <v>18.183333333333</v>
      </c>
      <c r="E5114">
        <v>0.24053384732217001</v>
      </c>
      <c r="F5114">
        <v>64</v>
      </c>
    </row>
    <row r="5115" spans="1:9" x14ac:dyDescent="0.25">
      <c r="A5115">
        <v>1876.3784722221999</v>
      </c>
      <c r="B5115">
        <v>1914.2986111110999</v>
      </c>
      <c r="C5115" s="1">
        <f t="shared" si="1509"/>
        <v>2.0209216557462995E-2</v>
      </c>
      <c r="D5115">
        <v>18.783333333333001</v>
      </c>
      <c r="E5115">
        <v>0.24741315276549999</v>
      </c>
      <c r="F5115">
        <v>70</v>
      </c>
    </row>
    <row r="5116" spans="1:9" x14ac:dyDescent="0.25">
      <c r="A5116">
        <v>1872.6684027778001</v>
      </c>
      <c r="B5116">
        <v>1908.9678819444</v>
      </c>
      <c r="C5116" s="1">
        <f t="shared" si="1509"/>
        <v>1.9383826369236301E-2</v>
      </c>
      <c r="D5116">
        <v>18.917982456139999</v>
      </c>
      <c r="E5116">
        <v>0.25038106684345002</v>
      </c>
      <c r="F5116">
        <v>65</v>
      </c>
    </row>
    <row r="5117" spans="1:9" x14ac:dyDescent="0.25">
      <c r="A5117">
        <v>1866.0763888889001</v>
      </c>
      <c r="B5117">
        <v>1897.5746527777001</v>
      </c>
      <c r="C5117" s="1">
        <f t="shared" si="1509"/>
        <v>1.6879407550703052E-2</v>
      </c>
      <c r="D5117">
        <v>18.749122807018001</v>
      </c>
      <c r="E5117">
        <v>0.24860054394243</v>
      </c>
      <c r="F5117">
        <v>68</v>
      </c>
    </row>
    <row r="5118" spans="1:9" x14ac:dyDescent="0.25">
      <c r="A5118">
        <v>1871.3975694444</v>
      </c>
      <c r="B5118">
        <v>1905.3046874999</v>
      </c>
      <c r="C5118" s="1">
        <f t="shared" si="1509"/>
        <v>1.811860750976968E-2</v>
      </c>
      <c r="D5118">
        <v>18.633771929824999</v>
      </c>
      <c r="E5118">
        <v>0.24582171702349001</v>
      </c>
      <c r="F5118">
        <v>68</v>
      </c>
    </row>
    <row r="5119" spans="1:9" x14ac:dyDescent="0.25">
      <c r="A5119">
        <v>1878.734375</v>
      </c>
      <c r="B5119">
        <v>1906.5755208333001</v>
      </c>
      <c r="C5119" s="1">
        <f t="shared" si="1509"/>
        <v>1.4819096410741972E-2</v>
      </c>
      <c r="D5119">
        <v>18.732894736841999</v>
      </c>
      <c r="E5119">
        <v>0.24621147477074001</v>
      </c>
      <c r="F5119">
        <v>66</v>
      </c>
      <c r="H5119" t="s">
        <v>17</v>
      </c>
      <c r="I5119">
        <f t="shared" ref="I5119" si="1526">STDEVP(A5105:A5124)</f>
        <v>6.5673232586368879</v>
      </c>
    </row>
    <row r="5120" spans="1:9" x14ac:dyDescent="0.25">
      <c r="A5120">
        <v>1870.9965277778001</v>
      </c>
      <c r="B5120">
        <v>1898.3767361110999</v>
      </c>
      <c r="C5120" s="1">
        <f t="shared" si="1509"/>
        <v>1.4634024129280165E-2</v>
      </c>
      <c r="D5120">
        <v>18.379824561404</v>
      </c>
      <c r="E5120">
        <v>0.24166444327517</v>
      </c>
      <c r="F5120">
        <v>63</v>
      </c>
      <c r="H5120" t="s">
        <v>18</v>
      </c>
      <c r="I5120">
        <f t="shared" ref="I5120" si="1527">STDEVP(B5105:B5124)</f>
        <v>7.6546164407941548</v>
      </c>
    </row>
    <row r="5121" spans="1:9" x14ac:dyDescent="0.25">
      <c r="A5121">
        <v>1868.9982638889001</v>
      </c>
      <c r="B5121">
        <v>1901.6796874999</v>
      </c>
      <c r="C5121" s="1">
        <f t="shared" si="1509"/>
        <v>1.7486064188737327E-2</v>
      </c>
      <c r="D5121">
        <v>18.539912280702001</v>
      </c>
      <c r="E5121">
        <v>0.24461085339211</v>
      </c>
      <c r="F5121">
        <v>66</v>
      </c>
      <c r="H5121" t="s">
        <v>19</v>
      </c>
      <c r="I5121">
        <f t="shared" ref="I5121" si="1528">STDEVP(C5105:C5124)</f>
        <v>1.9609155220219388E-3</v>
      </c>
    </row>
    <row r="5122" spans="1:9" x14ac:dyDescent="0.25">
      <c r="A5122">
        <v>1866.1006944444</v>
      </c>
      <c r="B5122">
        <v>1894.9210069444</v>
      </c>
      <c r="C5122" s="1">
        <f t="shared" ref="C5122:C5185" si="1529">IFERROR((B5122/A5122)-1,"")</f>
        <v>1.5444135777775259E-2</v>
      </c>
      <c r="D5122">
        <v>18.400877192982001</v>
      </c>
      <c r="E5122">
        <v>0.24287609703667001</v>
      </c>
      <c r="F5122">
        <v>72</v>
      </c>
      <c r="H5122" t="s">
        <v>20</v>
      </c>
      <c r="I5122">
        <f t="shared" ref="I5122" si="1530">STDEVP(D5105:D5124)</f>
        <v>0.24539765198247088</v>
      </c>
    </row>
    <row r="5123" spans="1:9" x14ac:dyDescent="0.25">
      <c r="A5123">
        <v>1862.828125</v>
      </c>
      <c r="B5123">
        <v>1900.3932291665999</v>
      </c>
      <c r="C5123" s="1">
        <f t="shared" si="1529"/>
        <v>2.0165630775302867E-2</v>
      </c>
      <c r="D5123">
        <v>18.746052631579001</v>
      </c>
      <c r="E5123">
        <v>0.24898606285406999</v>
      </c>
      <c r="F5123">
        <v>66</v>
      </c>
      <c r="H5123" t="s">
        <v>21</v>
      </c>
      <c r="I5123">
        <f t="shared" ref="I5123" si="1531">STDEVP(E5105:E5124)</f>
        <v>3.4815435023490423E-3</v>
      </c>
    </row>
    <row r="5124" spans="1:9" x14ac:dyDescent="0.25">
      <c r="A5124">
        <v>1880.1597222221999</v>
      </c>
      <c r="B5124">
        <v>1910.1857638888</v>
      </c>
      <c r="C5124" s="1">
        <f t="shared" si="1529"/>
        <v>1.5969941974457225E-2</v>
      </c>
      <c r="D5124">
        <v>18.601754385964998</v>
      </c>
      <c r="E5124">
        <v>0.24387204062871001</v>
      </c>
      <c r="F5124">
        <v>69</v>
      </c>
      <c r="H5124" t="s">
        <v>22</v>
      </c>
      <c r="I5124">
        <f t="shared" ref="I5124" si="1532">STDEVP(F5105:F5124)</f>
        <v>2.2715633383201097</v>
      </c>
    </row>
    <row r="5125" spans="1:9" x14ac:dyDescent="0.25">
      <c r="C5125" s="1" t="str">
        <f t="shared" si="1529"/>
        <v/>
      </c>
    </row>
    <row r="5126" spans="1:9" x14ac:dyDescent="0.25">
      <c r="A5126">
        <v>1317.0796051249999</v>
      </c>
      <c r="B5126">
        <v>1355.0485192185999</v>
      </c>
      <c r="C5126" s="1">
        <f t="shared" si="1529"/>
        <v>2.8828108753530035E-2</v>
      </c>
      <c r="D5126">
        <v>15.628303495311</v>
      </c>
      <c r="E5126">
        <v>0.30595507261737998</v>
      </c>
      <c r="F5126">
        <v>262</v>
      </c>
    </row>
    <row r="5127" spans="1:9" x14ac:dyDescent="0.25">
      <c r="A5127">
        <v>1316.0638521318999</v>
      </c>
      <c r="B5127">
        <v>1360.8464608275001</v>
      </c>
      <c r="C5127" s="1">
        <f t="shared" si="1529"/>
        <v>3.4027686896085374E-2</v>
      </c>
      <c r="D5127">
        <v>15.403239556692</v>
      </c>
      <c r="E5127">
        <v>0.30077425392307</v>
      </c>
      <c r="F5127">
        <v>228</v>
      </c>
    </row>
    <row r="5128" spans="1:9" x14ac:dyDescent="0.25">
      <c r="A5128">
        <v>1324.3037177064</v>
      </c>
      <c r="B5128">
        <v>1358.8901491283</v>
      </c>
      <c r="C5128" s="1">
        <f t="shared" si="1529"/>
        <v>2.6116691329539643E-2</v>
      </c>
      <c r="D5128">
        <v>15.710997442455</v>
      </c>
      <c r="E5128">
        <v>0.30586602072691998</v>
      </c>
      <c r="F5128">
        <v>241</v>
      </c>
    </row>
    <row r="5129" spans="1:9" x14ac:dyDescent="0.25">
      <c r="A5129">
        <v>1315.7508926696</v>
      </c>
      <c r="B5129">
        <v>1356.1461877756999</v>
      </c>
      <c r="C5129" s="1">
        <f t="shared" si="1529"/>
        <v>3.0701324491704929E-2</v>
      </c>
      <c r="D5129">
        <v>15.453537936914</v>
      </c>
      <c r="E5129">
        <v>0.30162798091246001</v>
      </c>
      <c r="F5129">
        <v>241</v>
      </c>
    </row>
    <row r="5130" spans="1:9" x14ac:dyDescent="0.25">
      <c r="A5130">
        <v>1332.3957151858999</v>
      </c>
      <c r="B5130">
        <v>1369.1447174963</v>
      </c>
      <c r="C5130" s="1">
        <f t="shared" si="1529"/>
        <v>2.7581147170886E-2</v>
      </c>
      <c r="D5130">
        <v>15.728900255754001</v>
      </c>
      <c r="E5130">
        <v>0.30393547558759998</v>
      </c>
      <c r="F5130">
        <v>253</v>
      </c>
    </row>
    <row r="5131" spans="1:9" x14ac:dyDescent="0.25">
      <c r="A5131">
        <v>1318.1907162360999</v>
      </c>
      <c r="B5131">
        <v>1351.7370300356999</v>
      </c>
      <c r="C5131" s="1">
        <f t="shared" si="1529"/>
        <v>2.5448755924625699E-2</v>
      </c>
      <c r="D5131">
        <v>15.824381926684</v>
      </c>
      <c r="E5131">
        <v>0.31079250453615997</v>
      </c>
      <c r="F5131">
        <v>245</v>
      </c>
    </row>
    <row r="5132" spans="1:9" x14ac:dyDescent="0.25">
      <c r="A5132">
        <v>1323.1111111110999</v>
      </c>
      <c r="B5132">
        <v>1364.2402856542999</v>
      </c>
      <c r="C5132" s="1">
        <f t="shared" si="1529"/>
        <v>3.1085200780047284E-2</v>
      </c>
      <c r="D5132">
        <v>15.843137254902</v>
      </c>
      <c r="E5132">
        <v>0.31008603817248998</v>
      </c>
      <c r="F5132">
        <v>186</v>
      </c>
    </row>
    <row r="5133" spans="1:9" x14ac:dyDescent="0.25">
      <c r="A5133">
        <v>1327.1174123082999</v>
      </c>
      <c r="B5133">
        <v>1361.7647553034999</v>
      </c>
      <c r="C5133" s="1">
        <f t="shared" si="1529"/>
        <v>2.6107217548247519E-2</v>
      </c>
      <c r="D5133">
        <v>15.615515771526001</v>
      </c>
      <c r="E5133">
        <v>0.30265899059401002</v>
      </c>
      <c r="F5133">
        <v>257</v>
      </c>
    </row>
    <row r="5134" spans="1:9" x14ac:dyDescent="0.25">
      <c r="A5134">
        <v>1324.4347826087001</v>
      </c>
      <c r="B5134">
        <v>1361.8983406847001</v>
      </c>
      <c r="C5134" s="1">
        <f t="shared" si="1529"/>
        <v>2.8286449863698993E-2</v>
      </c>
      <c r="D5134">
        <v>15.823529411765</v>
      </c>
      <c r="E5134">
        <v>0.30899359878346</v>
      </c>
      <c r="F5134">
        <v>231</v>
      </c>
    </row>
    <row r="5135" spans="1:9" x14ac:dyDescent="0.25">
      <c r="A5135">
        <v>1328.3280823355999</v>
      </c>
      <c r="B5135">
        <v>1368.9687040537999</v>
      </c>
      <c r="C5135" s="1">
        <f t="shared" si="1529"/>
        <v>3.0595319227717965E-2</v>
      </c>
      <c r="D5135">
        <v>15.768115942029</v>
      </c>
      <c r="E5135">
        <v>0.30653902260019</v>
      </c>
      <c r="F5135">
        <v>221</v>
      </c>
    </row>
    <row r="5136" spans="1:9" x14ac:dyDescent="0.25">
      <c r="A5136">
        <v>1325.2001680318999</v>
      </c>
      <c r="B5136">
        <v>1355.0455786599</v>
      </c>
      <c r="C5136" s="1">
        <f t="shared" si="1529"/>
        <v>2.2521435891699637E-2</v>
      </c>
      <c r="D5136">
        <v>15.688832054561001</v>
      </c>
      <c r="E5136">
        <v>0.30522802032569002</v>
      </c>
      <c r="F5136">
        <v>189</v>
      </c>
    </row>
    <row r="5137" spans="1:9" x14ac:dyDescent="0.25">
      <c r="A5137">
        <v>1323.2728418398999</v>
      </c>
      <c r="B5137">
        <v>1356.4410838059</v>
      </c>
      <c r="C5137" s="1">
        <f t="shared" si="1529"/>
        <v>2.5065308466455383E-2</v>
      </c>
      <c r="D5137">
        <v>15.785166240409</v>
      </c>
      <c r="E5137">
        <v>0.30803705572055001</v>
      </c>
      <c r="F5137">
        <v>215</v>
      </c>
    </row>
    <row r="5138" spans="1:9" x14ac:dyDescent="0.25">
      <c r="A5138">
        <v>1318.1054400336</v>
      </c>
      <c r="B5138">
        <v>1354.2503675697999</v>
      </c>
      <c r="C5138" s="1">
        <f t="shared" si="1529"/>
        <v>2.7421878734738003E-2</v>
      </c>
      <c r="D5138">
        <v>15.59505541347</v>
      </c>
      <c r="E5138">
        <v>0.30489782059669002</v>
      </c>
      <c r="F5138">
        <v>232</v>
      </c>
    </row>
    <row r="5139" spans="1:9" x14ac:dyDescent="0.25">
      <c r="A5139">
        <v>1321.595463138</v>
      </c>
      <c r="B5139">
        <v>1359.0539802562</v>
      </c>
      <c r="C5139" s="1">
        <f t="shared" si="1529"/>
        <v>2.8343406256297499E-2</v>
      </c>
      <c r="D5139">
        <v>15.519181585678</v>
      </c>
      <c r="E5139">
        <v>0.30206675889791001</v>
      </c>
      <c r="F5139">
        <v>243</v>
      </c>
    </row>
    <row r="5140" spans="1:9" x14ac:dyDescent="0.25">
      <c r="A5140">
        <v>1331.0081915564001</v>
      </c>
      <c r="B5140">
        <v>1366.1848351187</v>
      </c>
      <c r="C5140" s="1">
        <f t="shared" si="1529"/>
        <v>2.6428570301409327E-2</v>
      </c>
      <c r="D5140">
        <v>15.757033248081999</v>
      </c>
      <c r="E5140">
        <v>0.30553823112827</v>
      </c>
      <c r="F5140">
        <v>262</v>
      </c>
      <c r="H5140" t="s">
        <v>17</v>
      </c>
      <c r="I5140">
        <f t="shared" ref="I5140" si="1533">STDEVP(A5126:A5145)</f>
        <v>4.7697098633791173</v>
      </c>
    </row>
    <row r="5141" spans="1:9" x14ac:dyDescent="0.25">
      <c r="A5141">
        <v>1322.8712455366999</v>
      </c>
      <c r="B5141">
        <v>1367.0506196177</v>
      </c>
      <c r="C5141" s="1">
        <f t="shared" si="1529"/>
        <v>3.3396579017088035E-2</v>
      </c>
      <c r="D5141">
        <v>15.88832054561</v>
      </c>
      <c r="E5141">
        <v>0.31091236979702003</v>
      </c>
      <c r="F5141">
        <v>250</v>
      </c>
      <c r="H5141" t="s">
        <v>18</v>
      </c>
      <c r="I5141">
        <f t="shared" ref="I5141" si="1534">STDEVP(B5126:B5145)</f>
        <v>5.0750279393345901</v>
      </c>
    </row>
    <row r="5142" spans="1:9" x14ac:dyDescent="0.25">
      <c r="A5142">
        <v>1319.5765595462999</v>
      </c>
      <c r="B5142">
        <v>1352.9195547154</v>
      </c>
      <c r="C5142" s="1">
        <f t="shared" si="1529"/>
        <v>2.5267950485998503E-2</v>
      </c>
      <c r="D5142">
        <v>15.613810741688001</v>
      </c>
      <c r="E5142">
        <v>0.3051614214542</v>
      </c>
      <c r="F5142">
        <v>232</v>
      </c>
      <c r="H5142" t="s">
        <v>19</v>
      </c>
      <c r="I5142">
        <f t="shared" ref="I5142" si="1535">STDEVP(C5126:C5145)</f>
        <v>2.9339129763141947E-3</v>
      </c>
    </row>
    <row r="5143" spans="1:9" x14ac:dyDescent="0.25">
      <c r="A5143">
        <v>1329.2694812013999</v>
      </c>
      <c r="B5143">
        <v>1361.2707414409001</v>
      </c>
      <c r="C5143" s="1">
        <f t="shared" si="1529"/>
        <v>2.4074321040288504E-2</v>
      </c>
      <c r="D5143">
        <v>15.832054560954999</v>
      </c>
      <c r="E5143">
        <v>0.30779863151982001</v>
      </c>
      <c r="F5143">
        <v>247</v>
      </c>
      <c r="H5143" t="s">
        <v>20</v>
      </c>
      <c r="I5143">
        <f t="shared" ref="I5143" si="1536">STDEVP(D5126:D5145)</f>
        <v>0.12940797382321192</v>
      </c>
    </row>
    <row r="5144" spans="1:9" x14ac:dyDescent="0.25">
      <c r="A5144">
        <v>1321.7618147447999</v>
      </c>
      <c r="B5144">
        <v>1361.1442974165</v>
      </c>
      <c r="C5144" s="1">
        <f t="shared" si="1529"/>
        <v>2.9795445921021679E-2</v>
      </c>
      <c r="D5144">
        <v>15.69820971867</v>
      </c>
      <c r="E5144">
        <v>0.30675891985537002</v>
      </c>
      <c r="F5144">
        <v>255</v>
      </c>
      <c r="H5144" t="s">
        <v>21</v>
      </c>
      <c r="I5144">
        <f t="shared" ref="I5144" si="1537">STDEVP(E5126:E5145)</f>
        <v>2.8768232965469165E-3</v>
      </c>
    </row>
    <row r="5145" spans="1:9" x14ac:dyDescent="0.25">
      <c r="A5145">
        <v>1319.6441923965999</v>
      </c>
      <c r="B5145">
        <v>1357.8605335013999</v>
      </c>
      <c r="C5145" s="1">
        <f t="shared" si="1529"/>
        <v>2.8959579654115331E-2</v>
      </c>
      <c r="D5145">
        <v>15.751065643649</v>
      </c>
      <c r="E5145">
        <v>0.30814629002058003</v>
      </c>
      <c r="F5145">
        <v>234</v>
      </c>
      <c r="H5145" t="s">
        <v>22</v>
      </c>
      <c r="I5145">
        <f t="shared" ref="I5145" si="1538">STDEVP(F5126:F5145)</f>
        <v>20.541664976335294</v>
      </c>
    </row>
    <row r="5146" spans="1:9" x14ac:dyDescent="0.25">
      <c r="C5146" s="1" t="str">
        <f t="shared" si="1529"/>
        <v/>
      </c>
    </row>
    <row r="5147" spans="1:9" x14ac:dyDescent="0.25">
      <c r="A5147">
        <v>2886.4256198346998</v>
      </c>
      <c r="B5147">
        <v>2923.9762396693</v>
      </c>
      <c r="C5147" s="1">
        <f t="shared" si="1529"/>
        <v>1.300938419357256E-2</v>
      </c>
      <c r="D5147">
        <v>19.589341692790001</v>
      </c>
      <c r="E5147">
        <v>0.15508197441675001</v>
      </c>
      <c r="F5147">
        <v>31</v>
      </c>
    </row>
    <row r="5148" spans="1:9" x14ac:dyDescent="0.25">
      <c r="A5148">
        <v>2898.6280991734998</v>
      </c>
      <c r="B5148">
        <v>2939.2190082643001</v>
      </c>
      <c r="C5148" s="1">
        <f t="shared" si="1529"/>
        <v>1.4003489824159887E-2</v>
      </c>
      <c r="D5148">
        <v>19.532915360501999</v>
      </c>
      <c r="E5148">
        <v>0.15386961552073</v>
      </c>
      <c r="F5148">
        <v>31</v>
      </c>
    </row>
    <row r="5149" spans="1:9" x14ac:dyDescent="0.25">
      <c r="A5149">
        <v>2893.2644628099001</v>
      </c>
      <c r="B5149">
        <v>2932.7128099172</v>
      </c>
      <c r="C5149" s="1">
        <f t="shared" si="1529"/>
        <v>1.3634545895949035E-2</v>
      </c>
      <c r="D5149">
        <v>19.60762800418</v>
      </c>
      <c r="E5149">
        <v>0.15485520487398</v>
      </c>
      <c r="F5149">
        <v>31</v>
      </c>
    </row>
    <row r="5150" spans="1:9" x14ac:dyDescent="0.25">
      <c r="A5150">
        <v>2893.1508264463</v>
      </c>
      <c r="B5150">
        <v>2933.4328512395</v>
      </c>
      <c r="C5150" s="1">
        <f t="shared" si="1529"/>
        <v>1.392323705524845E-2</v>
      </c>
      <c r="D5150">
        <v>19.509926854753999</v>
      </c>
      <c r="E5150">
        <v>0.15395117756213</v>
      </c>
      <c r="F5150">
        <v>31</v>
      </c>
    </row>
    <row r="5151" spans="1:9" x14ac:dyDescent="0.25">
      <c r="A5151">
        <v>2887.9793388429998</v>
      </c>
      <c r="B5151">
        <v>2921.2758264460999</v>
      </c>
      <c r="C5151" s="1">
        <f t="shared" si="1529"/>
        <v>1.1529337192709876E-2</v>
      </c>
      <c r="D5151">
        <v>19.475966562172999</v>
      </c>
      <c r="E5151">
        <v>0.15395270114928999</v>
      </c>
      <c r="F5151">
        <v>31</v>
      </c>
    </row>
    <row r="5152" spans="1:9" x14ac:dyDescent="0.25">
      <c r="A5152">
        <v>2893.8037190083</v>
      </c>
      <c r="B5152">
        <v>2938.7851239667998</v>
      </c>
      <c r="C5152" s="1">
        <f t="shared" si="1529"/>
        <v>1.5544041450715529E-2</v>
      </c>
      <c r="D5152">
        <v>19.541797283177001</v>
      </c>
      <c r="E5152">
        <v>0.15421946861416999</v>
      </c>
      <c r="F5152">
        <v>32</v>
      </c>
    </row>
    <row r="5153" spans="1:9" x14ac:dyDescent="0.25">
      <c r="A5153">
        <v>2885.9545454545</v>
      </c>
      <c r="B5153">
        <v>2934.2417355369998</v>
      </c>
      <c r="C5153" s="1">
        <f t="shared" si="1529"/>
        <v>1.6731791621096059E-2</v>
      </c>
      <c r="D5153">
        <v>19.545977011493999</v>
      </c>
      <c r="E5153">
        <v>0.15474214251984</v>
      </c>
      <c r="F5153">
        <v>31</v>
      </c>
    </row>
    <row r="5154" spans="1:9" x14ac:dyDescent="0.25">
      <c r="A5154">
        <v>2895.75</v>
      </c>
      <c r="B5154">
        <v>2935.9855371898998</v>
      </c>
      <c r="C5154" s="1">
        <f t="shared" si="1529"/>
        <v>1.3894686070931472E-2</v>
      </c>
      <c r="D5154">
        <v>19.551724137931</v>
      </c>
      <c r="E5154">
        <v>0.15415475700483999</v>
      </c>
      <c r="F5154">
        <v>31</v>
      </c>
    </row>
    <row r="5155" spans="1:9" x14ac:dyDescent="0.25">
      <c r="A5155">
        <v>2898.5351239668998</v>
      </c>
      <c r="B5155">
        <v>2930.9266528923999</v>
      </c>
      <c r="C5155" s="1">
        <f t="shared" si="1529"/>
        <v>1.1175137626474374E-2</v>
      </c>
      <c r="D5155">
        <v>19.493730407524001</v>
      </c>
      <c r="E5155">
        <v>0.15347366187385</v>
      </c>
      <c r="F5155">
        <v>31</v>
      </c>
    </row>
    <row r="5156" spans="1:9" x14ac:dyDescent="0.25">
      <c r="A5156">
        <v>2895.3553719008</v>
      </c>
      <c r="B5156">
        <v>2931.1570247933</v>
      </c>
      <c r="C5156" s="1">
        <f t="shared" si="1529"/>
        <v>1.2365201605285536E-2</v>
      </c>
      <c r="D5156">
        <v>19.371995820272002</v>
      </c>
      <c r="E5156">
        <v>0.15256080678680001</v>
      </c>
      <c r="F5156">
        <v>31</v>
      </c>
    </row>
    <row r="5157" spans="1:9" x14ac:dyDescent="0.25">
      <c r="A5157">
        <v>2884.6239669421002</v>
      </c>
      <c r="B5157">
        <v>2930.1126033055998</v>
      </c>
      <c r="C5157" s="1">
        <f t="shared" si="1529"/>
        <v>1.5769347022281277E-2</v>
      </c>
      <c r="D5157">
        <v>19.471786833856001</v>
      </c>
      <c r="E5157">
        <v>0.15414448311762999</v>
      </c>
      <c r="F5157">
        <v>31</v>
      </c>
    </row>
    <row r="5158" spans="1:9" x14ac:dyDescent="0.25">
      <c r="A5158">
        <v>2885.2603305785001</v>
      </c>
      <c r="B5158">
        <v>2926.2365702478</v>
      </c>
      <c r="C5158" s="1">
        <f t="shared" si="1529"/>
        <v>1.4201921135166495E-2</v>
      </c>
      <c r="D5158">
        <v>19.51776384535</v>
      </c>
      <c r="E5158">
        <v>0.15451539436464001</v>
      </c>
      <c r="F5158">
        <v>31</v>
      </c>
    </row>
    <row r="5159" spans="1:9" x14ac:dyDescent="0.25">
      <c r="A5159">
        <v>2883.5020661157</v>
      </c>
      <c r="B5159">
        <v>2929.3161157023001</v>
      </c>
      <c r="C5159" s="1">
        <f t="shared" si="1529"/>
        <v>1.588833596651984E-2</v>
      </c>
      <c r="D5159">
        <v>19.585161964472</v>
      </c>
      <c r="E5159">
        <v>0.15525180310872999</v>
      </c>
      <c r="F5159">
        <v>31</v>
      </c>
    </row>
    <row r="5160" spans="1:9" x14ac:dyDescent="0.25">
      <c r="A5160">
        <v>2890.6033057851</v>
      </c>
      <c r="B5160">
        <v>2932.7520661156</v>
      </c>
      <c r="C5160" s="1">
        <f t="shared" si="1529"/>
        <v>1.4581302196031487E-2</v>
      </c>
      <c r="D5160">
        <v>19.522466039706998</v>
      </c>
      <c r="E5160">
        <v>0.15422927466865999</v>
      </c>
      <c r="F5160">
        <v>31</v>
      </c>
    </row>
    <row r="5161" spans="1:9" x14ac:dyDescent="0.25">
      <c r="A5161">
        <v>2886.2024793388</v>
      </c>
      <c r="B5161">
        <v>2937.1539256197002</v>
      </c>
      <c r="C5161" s="1">
        <f t="shared" si="1529"/>
        <v>1.7653455239416527E-2</v>
      </c>
      <c r="D5161">
        <v>19.564263322883999</v>
      </c>
      <c r="E5161">
        <v>0.15488501933866</v>
      </c>
      <c r="F5161">
        <v>31</v>
      </c>
      <c r="H5161" t="s">
        <v>17</v>
      </c>
      <c r="I5161">
        <f t="shared" ref="I5161" si="1539">STDEVP(A5147:A5166)</f>
        <v>6.9339886021761847</v>
      </c>
    </row>
    <row r="5162" spans="1:9" x14ac:dyDescent="0.25">
      <c r="A5162">
        <v>2871.1508264463</v>
      </c>
      <c r="B5162">
        <v>2918.6115702478</v>
      </c>
      <c r="C5162" s="1">
        <f t="shared" si="1529"/>
        <v>1.6530216164311939E-2</v>
      </c>
      <c r="D5162">
        <v>19.504179728318</v>
      </c>
      <c r="E5162">
        <v>0.15527096688648001</v>
      </c>
      <c r="F5162">
        <v>31</v>
      </c>
      <c r="H5162" t="s">
        <v>18</v>
      </c>
      <c r="I5162">
        <f t="shared" ref="I5162" si="1540">STDEVP(B5147:B5166)</f>
        <v>5.802461341960357</v>
      </c>
    </row>
    <row r="5163" spans="1:9" x14ac:dyDescent="0.25">
      <c r="A5163">
        <v>2876.8243801653002</v>
      </c>
      <c r="B5163">
        <v>2927.3667355369998</v>
      </c>
      <c r="C5163" s="1">
        <f t="shared" si="1529"/>
        <v>1.7568801112842092E-2</v>
      </c>
      <c r="D5163">
        <v>19.485370950888001</v>
      </c>
      <c r="E5163">
        <v>0.15473478135592</v>
      </c>
      <c r="F5163">
        <v>31</v>
      </c>
      <c r="H5163" t="s">
        <v>19</v>
      </c>
      <c r="I5163">
        <f t="shared" ref="I5163" si="1541">STDEVP(C5147:C5166)</f>
        <v>1.8645085833567698E-3</v>
      </c>
    </row>
    <row r="5164" spans="1:9" x14ac:dyDescent="0.25">
      <c r="A5164">
        <v>2897.1466942149</v>
      </c>
      <c r="B5164">
        <v>2936.2685950412001</v>
      </c>
      <c r="C5164" s="1">
        <f t="shared" si="1529"/>
        <v>1.350359679902291E-2</v>
      </c>
      <c r="D5164">
        <v>19.540752351097002</v>
      </c>
      <c r="E5164">
        <v>0.15401562910453001</v>
      </c>
      <c r="F5164">
        <v>31</v>
      </c>
      <c r="H5164" t="s">
        <v>20</v>
      </c>
      <c r="I5164">
        <f t="shared" ref="I5164" si="1542">STDEVP(D5147:D5166)</f>
        <v>5.0381414025058482E-2</v>
      </c>
    </row>
    <row r="5165" spans="1:9" x14ac:dyDescent="0.25">
      <c r="A5165">
        <v>2891.7520661157</v>
      </c>
      <c r="B5165">
        <v>2933.4225206609999</v>
      </c>
      <c r="C5165" s="1">
        <f t="shared" si="1529"/>
        <v>1.4410106258270217E-2</v>
      </c>
      <c r="D5165">
        <v>19.544932079414998</v>
      </c>
      <c r="E5165">
        <v>0.15434928307515999</v>
      </c>
      <c r="F5165">
        <v>31</v>
      </c>
      <c r="H5165" t="s">
        <v>21</v>
      </c>
      <c r="I5165">
        <f t="shared" ref="I5165" si="1543">STDEVP(E5147:E5166)</f>
        <v>6.2515153306177528E-4</v>
      </c>
    </row>
    <row r="5166" spans="1:9" x14ac:dyDescent="0.25">
      <c r="A5166">
        <v>2891.1301652892998</v>
      </c>
      <c r="B5166">
        <v>2940.9597107436002</v>
      </c>
      <c r="C5166" s="1">
        <f t="shared" si="1529"/>
        <v>1.7235317196212963E-2</v>
      </c>
      <c r="D5166">
        <v>19.549111807732</v>
      </c>
      <c r="E5166">
        <v>0.15445858119750999</v>
      </c>
      <c r="F5166">
        <v>31</v>
      </c>
      <c r="H5166" t="s">
        <v>22</v>
      </c>
      <c r="I5166">
        <f t="shared" ref="I5166" si="1544">STDEVP(F5147:F5166)</f>
        <v>0.21794494717703367</v>
      </c>
    </row>
    <row r="5167" spans="1:9" x14ac:dyDescent="0.25">
      <c r="C5167" s="1" t="str">
        <f t="shared" si="1529"/>
        <v/>
      </c>
    </row>
    <row r="5168" spans="1:9" x14ac:dyDescent="0.25">
      <c r="A5168">
        <v>1992.3626070547</v>
      </c>
      <c r="B5168">
        <v>2033.5581361592001</v>
      </c>
      <c r="C5168" s="1">
        <f t="shared" si="1529"/>
        <v>2.0676722680214921E-2</v>
      </c>
      <c r="D5168">
        <v>17.624449015574001</v>
      </c>
      <c r="E5168">
        <v>0.21194693029207001</v>
      </c>
      <c r="F5168">
        <v>838</v>
      </c>
    </row>
    <row r="5169" spans="1:9" x14ac:dyDescent="0.25">
      <c r="A5169">
        <v>1990.9435331688001</v>
      </c>
      <c r="B5169">
        <v>2030.8744375091001</v>
      </c>
      <c r="C5169" s="1">
        <f t="shared" si="1529"/>
        <v>2.0056271649626201E-2</v>
      </c>
      <c r="D5169">
        <v>17.572142227446001</v>
      </c>
      <c r="E5169">
        <v>0.21147446151627</v>
      </c>
      <c r="F5169">
        <v>868</v>
      </c>
    </row>
    <row r="5170" spans="1:9" x14ac:dyDescent="0.25">
      <c r="A5170">
        <v>1995.0547249238</v>
      </c>
      <c r="B5170">
        <v>2023.4739439687</v>
      </c>
      <c r="C5170" s="1">
        <f t="shared" si="1529"/>
        <v>1.4244831828352789E-2</v>
      </c>
      <c r="D5170">
        <v>17.259476932119</v>
      </c>
      <c r="E5170">
        <v>0.20643365077281001</v>
      </c>
      <c r="F5170">
        <v>841</v>
      </c>
    </row>
    <row r="5171" spans="1:9" x14ac:dyDescent="0.25">
      <c r="A5171">
        <v>1986.7167948904</v>
      </c>
      <c r="B5171">
        <v>2024.7786326027999</v>
      </c>
      <c r="C5171" s="1">
        <f t="shared" si="1529"/>
        <v>1.9158159738866809E-2</v>
      </c>
      <c r="D5171">
        <v>17.325301204818999</v>
      </c>
      <c r="E5171">
        <v>0.20837035482478</v>
      </c>
      <c r="F5171">
        <v>942</v>
      </c>
    </row>
    <row r="5172" spans="1:9" x14ac:dyDescent="0.25">
      <c r="A5172">
        <v>1987.7642618667001</v>
      </c>
      <c r="B5172">
        <v>2023.4382348672</v>
      </c>
      <c r="C5172" s="1">
        <f t="shared" si="1529"/>
        <v>1.7946782566157449E-2</v>
      </c>
      <c r="D5172">
        <v>17.261240082280001</v>
      </c>
      <c r="E5172">
        <v>0.20728157279053</v>
      </c>
      <c r="F5172">
        <v>636</v>
      </c>
    </row>
    <row r="5173" spans="1:9" x14ac:dyDescent="0.25">
      <c r="A5173">
        <v>2001.0776600377001</v>
      </c>
      <c r="B5173">
        <v>2031.8020031935</v>
      </c>
      <c r="C5173" s="1">
        <f t="shared" si="1529"/>
        <v>1.5353898436516022E-2</v>
      </c>
      <c r="D5173">
        <v>17.488686453130001</v>
      </c>
      <c r="E5173">
        <v>0.20889557888599999</v>
      </c>
      <c r="F5173">
        <v>728</v>
      </c>
    </row>
    <row r="5174" spans="1:9" x14ac:dyDescent="0.25">
      <c r="A5174">
        <v>1996.1138046159999</v>
      </c>
      <c r="B5174">
        <v>2026.102772536</v>
      </c>
      <c r="C5174" s="1">
        <f t="shared" si="1529"/>
        <v>1.5023676430998556E-2</v>
      </c>
      <c r="D5174">
        <v>17.732588892153998</v>
      </c>
      <c r="E5174">
        <v>0.21308338673273</v>
      </c>
      <c r="F5174">
        <v>773</v>
      </c>
    </row>
    <row r="5175" spans="1:9" x14ac:dyDescent="0.25">
      <c r="A5175">
        <v>1990.5257657135</v>
      </c>
      <c r="B5175">
        <v>2031.3549136305001</v>
      </c>
      <c r="C5175" s="1">
        <f t="shared" si="1529"/>
        <v>2.0511740475946505E-2</v>
      </c>
      <c r="D5175">
        <v>17.615633264766</v>
      </c>
      <c r="E5175">
        <v>0.21205536333762001</v>
      </c>
      <c r="F5175">
        <v>606</v>
      </c>
    </row>
    <row r="5176" spans="1:9" x14ac:dyDescent="0.25">
      <c r="A5176">
        <v>1990.6805051531001</v>
      </c>
      <c r="B5176">
        <v>2024.8567281173</v>
      </c>
      <c r="C5176" s="1">
        <f t="shared" si="1529"/>
        <v>1.7168110540958681E-2</v>
      </c>
      <c r="D5176">
        <v>17.439318248604</v>
      </c>
      <c r="E5176">
        <v>0.20947474800610999</v>
      </c>
      <c r="F5176">
        <v>686</v>
      </c>
    </row>
    <row r="5177" spans="1:9" x14ac:dyDescent="0.25">
      <c r="A5177">
        <v>1989.9404848309</v>
      </c>
      <c r="B5177">
        <v>2024.5066047322</v>
      </c>
      <c r="C5177" s="1">
        <f t="shared" si="1529"/>
        <v>1.7370428997647736E-2</v>
      </c>
      <c r="D5177">
        <v>17.381134293271</v>
      </c>
      <c r="E5177">
        <v>0.20873393301120999</v>
      </c>
      <c r="F5177">
        <v>844</v>
      </c>
    </row>
    <row r="5178" spans="1:9" x14ac:dyDescent="0.25">
      <c r="A5178">
        <v>1980.0583538975</v>
      </c>
      <c r="B5178">
        <v>2014.9635651039</v>
      </c>
      <c r="C5178" s="1">
        <f t="shared" si="1529"/>
        <v>1.7628375011117026E-2</v>
      </c>
      <c r="D5178">
        <v>17.238319130179001</v>
      </c>
      <c r="E5178">
        <v>0.20791889103513</v>
      </c>
      <c r="F5178">
        <v>671</v>
      </c>
    </row>
    <row r="5179" spans="1:9" x14ac:dyDescent="0.25">
      <c r="A5179">
        <v>1989.1005951517</v>
      </c>
      <c r="B5179">
        <v>2029.8144868632</v>
      </c>
      <c r="C5179" s="1">
        <f t="shared" si="1529"/>
        <v>2.0468493051953862E-2</v>
      </c>
      <c r="D5179">
        <v>17.717895974139999</v>
      </c>
      <c r="E5179">
        <v>0.21373491305330999</v>
      </c>
      <c r="F5179">
        <v>647</v>
      </c>
    </row>
    <row r="5180" spans="1:9" x14ac:dyDescent="0.25">
      <c r="A5180">
        <v>1984.6311511105</v>
      </c>
      <c r="B5180">
        <v>2020.7908259545</v>
      </c>
      <c r="C5180" s="1">
        <f t="shared" si="1529"/>
        <v>1.8219846455482136E-2</v>
      </c>
      <c r="D5180">
        <v>17.278283867176</v>
      </c>
      <c r="E5180">
        <v>0.20800687224277001</v>
      </c>
      <c r="F5180">
        <v>696</v>
      </c>
    </row>
    <row r="5181" spans="1:9" x14ac:dyDescent="0.25">
      <c r="A5181">
        <v>1991.4707504718001</v>
      </c>
      <c r="B5181">
        <v>2023.1569168240001</v>
      </c>
      <c r="C5181" s="1">
        <f t="shared" si="1529"/>
        <v>1.5910937353557975E-2</v>
      </c>
      <c r="D5181">
        <v>17.608580664120002</v>
      </c>
      <c r="E5181">
        <v>0.21186708112451</v>
      </c>
      <c r="F5181">
        <v>605</v>
      </c>
    </row>
    <row r="5182" spans="1:9" x14ac:dyDescent="0.25">
      <c r="A5182">
        <v>1993.1424009289999</v>
      </c>
      <c r="B5182">
        <v>2031.2126578604</v>
      </c>
      <c r="C5182" s="1">
        <f t="shared" si="1529"/>
        <v>1.9100620664963763E-2</v>
      </c>
      <c r="D5182">
        <v>17.320011754334001</v>
      </c>
      <c r="E5182">
        <v>0.2074804916862</v>
      </c>
      <c r="F5182">
        <v>675</v>
      </c>
      <c r="H5182" t="s">
        <v>17</v>
      </c>
      <c r="I5182">
        <f t="shared" ref="I5182" si="1545">STDEVP(A5168:A5187)</f>
        <v>5.2099185359201288</v>
      </c>
    </row>
    <row r="5183" spans="1:9" x14ac:dyDescent="0.25">
      <c r="A5183">
        <v>1992.0386122804</v>
      </c>
      <c r="B5183">
        <v>2026.3268979533</v>
      </c>
      <c r="C5183" s="1">
        <f t="shared" si="1529"/>
        <v>1.7212661171084553E-2</v>
      </c>
      <c r="D5183">
        <v>17.427563914193001</v>
      </c>
      <c r="E5183">
        <v>0.20912985690211999</v>
      </c>
      <c r="F5183">
        <v>753</v>
      </c>
      <c r="H5183" t="s">
        <v>18</v>
      </c>
      <c r="I5183">
        <f t="shared" ref="I5183" si="1546">STDEVP(B5168:B5187)</f>
        <v>4.776262432102377</v>
      </c>
    </row>
    <row r="5184" spans="1:9" x14ac:dyDescent="0.25">
      <c r="A5184">
        <v>1977.4539120336999</v>
      </c>
      <c r="B5184">
        <v>2019.4379445493</v>
      </c>
      <c r="C5184" s="1">
        <f t="shared" si="1529"/>
        <v>2.1231358293666514E-2</v>
      </c>
      <c r="D5184">
        <v>17.029679694386999</v>
      </c>
      <c r="E5184">
        <v>0.2052896803832</v>
      </c>
      <c r="F5184">
        <v>619</v>
      </c>
      <c r="H5184" t="s">
        <v>19</v>
      </c>
      <c r="I5184">
        <f t="shared" ref="I5184" si="1547">STDEVP(C5168:C5187)</f>
        <v>1.9625074602927376E-3</v>
      </c>
    </row>
    <row r="5185" spans="1:9" x14ac:dyDescent="0.25">
      <c r="A5185">
        <v>1989.3043983161999</v>
      </c>
      <c r="B5185">
        <v>2027.8751633039001</v>
      </c>
      <c r="C5185" s="1">
        <f t="shared" si="1529"/>
        <v>1.9389071386132439E-2</v>
      </c>
      <c r="D5185">
        <v>17.198942109903001</v>
      </c>
      <c r="E5185">
        <v>0.20621320417507</v>
      </c>
      <c r="F5185">
        <v>738</v>
      </c>
      <c r="H5185" t="s">
        <v>20</v>
      </c>
      <c r="I5185">
        <f t="shared" ref="I5185" si="1548">STDEVP(D5168:D5187)</f>
        <v>0.18562538350957219</v>
      </c>
    </row>
    <row r="5186" spans="1:9" x14ac:dyDescent="0.25">
      <c r="A5186">
        <v>1984.1230947888</v>
      </c>
      <c r="B5186">
        <v>2019.6951662071001</v>
      </c>
      <c r="C5186" s="1">
        <f t="shared" ref="C5186:C5249" si="1549">IFERROR((B5186/A5186)-1,"")</f>
        <v>1.7928359138466909E-2</v>
      </c>
      <c r="D5186">
        <v>17.264766382604002</v>
      </c>
      <c r="E5186">
        <v>0.20777358097109</v>
      </c>
      <c r="F5186">
        <v>765</v>
      </c>
      <c r="H5186" t="s">
        <v>21</v>
      </c>
      <c r="I5186">
        <f t="shared" ref="I5186" si="1550">STDEVP(E5168:E5187)</f>
        <v>2.3512662228687719E-3</v>
      </c>
    </row>
    <row r="5187" spans="1:9" x14ac:dyDescent="0.25">
      <c r="A5187">
        <v>1989.9242270285999</v>
      </c>
      <c r="B5187">
        <v>2029.2022064160999</v>
      </c>
      <c r="C5187" s="1">
        <f t="shared" si="1549"/>
        <v>1.9738429661791956E-2</v>
      </c>
      <c r="D5187">
        <v>17.516896855715999</v>
      </c>
      <c r="E5187">
        <v>0.21076338414767001</v>
      </c>
      <c r="F5187">
        <v>846</v>
      </c>
      <c r="H5187" t="s">
        <v>22</v>
      </c>
      <c r="I5187">
        <f t="shared" ref="I5187" si="1551">STDEVP(F5168:F5187)</f>
        <v>96.222281723101958</v>
      </c>
    </row>
    <row r="5188" spans="1:9" x14ac:dyDescent="0.25">
      <c r="C5188" s="1" t="str">
        <f t="shared" si="1549"/>
        <v/>
      </c>
    </row>
    <row r="5189" spans="1:9" x14ac:dyDescent="0.25">
      <c r="A5189">
        <v>1088.6044444444001</v>
      </c>
      <c r="B5189">
        <v>1115.1751111111</v>
      </c>
      <c r="C5189" s="1">
        <f t="shared" si="1549"/>
        <v>2.4408008622692101E-2</v>
      </c>
      <c r="D5189">
        <v>12.576576576577001</v>
      </c>
      <c r="E5189">
        <v>0.29596944626202998</v>
      </c>
      <c r="F5189">
        <v>22</v>
      </c>
    </row>
    <row r="5190" spans="1:9" x14ac:dyDescent="0.25">
      <c r="A5190">
        <v>1089.6231111110999</v>
      </c>
      <c r="B5190">
        <v>1119.8399999999999</v>
      </c>
      <c r="C5190" s="1">
        <f t="shared" si="1549"/>
        <v>2.7731505123902433E-2</v>
      </c>
      <c r="D5190">
        <v>12.656576576577001</v>
      </c>
      <c r="E5190">
        <v>0.29794443815107002</v>
      </c>
      <c r="F5190">
        <v>22</v>
      </c>
    </row>
    <row r="5191" spans="1:9" x14ac:dyDescent="0.25">
      <c r="A5191">
        <v>1099.5591111111</v>
      </c>
      <c r="B5191">
        <v>1125.4773333333001</v>
      </c>
      <c r="C5191" s="1">
        <f t="shared" si="1549"/>
        <v>2.3571467836785764E-2</v>
      </c>
      <c r="D5191">
        <v>12.756036036036001</v>
      </c>
      <c r="E5191">
        <v>0.29767171289882999</v>
      </c>
      <c r="F5191">
        <v>22</v>
      </c>
    </row>
    <row r="5192" spans="1:9" x14ac:dyDescent="0.25">
      <c r="A5192">
        <v>1087.3866666667</v>
      </c>
      <c r="B5192">
        <v>1117.0719999999999</v>
      </c>
      <c r="C5192" s="1">
        <f t="shared" si="1549"/>
        <v>2.7299703264063391E-2</v>
      </c>
      <c r="D5192">
        <v>12.691891891892</v>
      </c>
      <c r="E5192">
        <v>0.29993862434806001</v>
      </c>
      <c r="F5192">
        <v>23</v>
      </c>
    </row>
    <row r="5193" spans="1:9" x14ac:dyDescent="0.25">
      <c r="A5193">
        <v>1092.1422222222</v>
      </c>
      <c r="B5193">
        <v>1116.8853333333</v>
      </c>
      <c r="C5193" s="1">
        <f t="shared" si="1549"/>
        <v>2.2655575993348886E-2</v>
      </c>
      <c r="D5193">
        <v>12.742342342342001</v>
      </c>
      <c r="E5193">
        <v>0.29969310691333001</v>
      </c>
      <c r="F5193">
        <v>21</v>
      </c>
    </row>
    <row r="5194" spans="1:9" x14ac:dyDescent="0.25">
      <c r="A5194">
        <v>1099.4648888889001</v>
      </c>
      <c r="B5194">
        <v>1129.3244444443999</v>
      </c>
      <c r="C5194" s="1">
        <f t="shared" si="1549"/>
        <v>2.715826203934113E-2</v>
      </c>
      <c r="D5194">
        <v>12.712072072072001</v>
      </c>
      <c r="E5194">
        <v>0.29616998655731003</v>
      </c>
      <c r="F5194">
        <v>22</v>
      </c>
    </row>
    <row r="5195" spans="1:9" x14ac:dyDescent="0.25">
      <c r="A5195">
        <v>1096.7840000000001</v>
      </c>
      <c r="B5195">
        <v>1120.7484444444001</v>
      </c>
      <c r="C5195" s="1">
        <f t="shared" si="1549"/>
        <v>2.1849739278107627E-2</v>
      </c>
      <c r="D5195">
        <v>12.765405405405</v>
      </c>
      <c r="E5195">
        <v>0.29858724233744</v>
      </c>
      <c r="F5195">
        <v>22</v>
      </c>
    </row>
    <row r="5196" spans="1:9" x14ac:dyDescent="0.25">
      <c r="A5196">
        <v>1091.5928888889</v>
      </c>
      <c r="B5196">
        <v>1122.4711111111001</v>
      </c>
      <c r="C5196" s="1">
        <f t="shared" si="1549"/>
        <v>2.8287306134460177E-2</v>
      </c>
      <c r="D5196">
        <v>12.891531531531999</v>
      </c>
      <c r="E5196">
        <v>0.30451925995019002</v>
      </c>
      <c r="F5196">
        <v>23</v>
      </c>
    </row>
    <row r="5197" spans="1:9" x14ac:dyDescent="0.25">
      <c r="A5197">
        <v>1089.3546666667</v>
      </c>
      <c r="B5197">
        <v>1113.6426666667001</v>
      </c>
      <c r="C5197" s="1">
        <f t="shared" si="1549"/>
        <v>2.2295768993507492E-2</v>
      </c>
      <c r="D5197">
        <v>12.849729729730001</v>
      </c>
      <c r="E5197">
        <v>0.30404981715231999</v>
      </c>
      <c r="F5197">
        <v>21</v>
      </c>
    </row>
    <row r="5198" spans="1:9" x14ac:dyDescent="0.25">
      <c r="A5198">
        <v>1088.8053333333</v>
      </c>
      <c r="B5198">
        <v>1119.6213333333001</v>
      </c>
      <c r="C5198" s="1">
        <f t="shared" si="1549"/>
        <v>2.8302579953074947E-2</v>
      </c>
      <c r="D5198">
        <v>12.707027027026999</v>
      </c>
      <c r="E5198">
        <v>0.29979335287795</v>
      </c>
      <c r="F5198">
        <v>22</v>
      </c>
    </row>
    <row r="5199" spans="1:9" x14ac:dyDescent="0.25">
      <c r="A5199">
        <v>1090.5066666667001</v>
      </c>
      <c r="B5199">
        <v>1117.5964444444</v>
      </c>
      <c r="C5199" s="1">
        <f t="shared" si="1549"/>
        <v>2.48414600348148E-2</v>
      </c>
      <c r="D5199">
        <v>12.810810810811001</v>
      </c>
      <c r="E5199">
        <v>0.30256222688228002</v>
      </c>
      <c r="F5199">
        <v>22</v>
      </c>
    </row>
    <row r="5200" spans="1:9" x14ac:dyDescent="0.25">
      <c r="A5200">
        <v>1088.1208888889</v>
      </c>
      <c r="B5200">
        <v>1116.6293333333001</v>
      </c>
      <c r="C5200" s="1">
        <f t="shared" si="1549"/>
        <v>2.619970330089938E-2</v>
      </c>
      <c r="D5200">
        <v>12.757477477477</v>
      </c>
      <c r="E5200">
        <v>0.30162631325737999</v>
      </c>
      <c r="F5200">
        <v>23</v>
      </c>
    </row>
    <row r="5201" spans="1:9" x14ac:dyDescent="0.25">
      <c r="A5201">
        <v>1092.8906666667001</v>
      </c>
      <c r="B5201">
        <v>1114.7822222222001</v>
      </c>
      <c r="C5201" s="1">
        <f t="shared" si="1549"/>
        <v>2.0030874288888167E-2</v>
      </c>
      <c r="D5201">
        <v>12.743783783784</v>
      </c>
      <c r="E5201">
        <v>0.29932915732628002</v>
      </c>
      <c r="F5201">
        <v>21</v>
      </c>
    </row>
    <row r="5202" spans="1:9" x14ac:dyDescent="0.25">
      <c r="A5202">
        <v>1084.432</v>
      </c>
      <c r="B5202">
        <v>1113.8062222221999</v>
      </c>
      <c r="C5202" s="1">
        <f t="shared" si="1549"/>
        <v>2.7087196082557385E-2</v>
      </c>
      <c r="D5202">
        <v>12.815135135135</v>
      </c>
      <c r="E5202">
        <v>0.30447269702103003</v>
      </c>
      <c r="F5202">
        <v>22</v>
      </c>
    </row>
    <row r="5203" spans="1:9" x14ac:dyDescent="0.25">
      <c r="A5203">
        <v>1091.8311111111</v>
      </c>
      <c r="B5203">
        <v>1115.3262222221999</v>
      </c>
      <c r="C5203" s="1">
        <f t="shared" si="1549"/>
        <v>2.1518997647163696E-2</v>
      </c>
      <c r="D5203">
        <v>12.803603603604</v>
      </c>
      <c r="E5203">
        <v>0.30169775544659</v>
      </c>
      <c r="F5203">
        <v>22</v>
      </c>
      <c r="H5203" t="s">
        <v>17</v>
      </c>
      <c r="I5203">
        <f t="shared" ref="I5203" si="1552">STDEVP(A5189:A5208)</f>
        <v>4.1668557098434817</v>
      </c>
    </row>
    <row r="5204" spans="1:9" x14ac:dyDescent="0.25">
      <c r="A5204">
        <v>1083.5555555556</v>
      </c>
      <c r="B5204">
        <v>1111.5253333333001</v>
      </c>
      <c r="C5204" s="1">
        <f t="shared" si="1549"/>
        <v>2.5812961443733684E-2</v>
      </c>
      <c r="D5204">
        <v>12.645045045045</v>
      </c>
      <c r="E5204">
        <v>0.29966158447474001</v>
      </c>
      <c r="F5204">
        <v>22</v>
      </c>
      <c r="H5204" t="s">
        <v>18</v>
      </c>
      <c r="I5204">
        <f t="shared" ref="I5204" si="1553">STDEVP(B5189:B5208)</f>
        <v>4.2500359762502029</v>
      </c>
    </row>
    <row r="5205" spans="1:9" x14ac:dyDescent="0.25">
      <c r="A5205">
        <v>1092.1706666667001</v>
      </c>
      <c r="B5205">
        <v>1121.7155555555</v>
      </c>
      <c r="C5205" s="1">
        <f t="shared" si="1549"/>
        <v>2.7051531221737424E-2</v>
      </c>
      <c r="D5205">
        <v>12.862702702703</v>
      </c>
      <c r="E5205">
        <v>0.30350702915387001</v>
      </c>
      <c r="F5205">
        <v>22</v>
      </c>
      <c r="H5205" t="s">
        <v>19</v>
      </c>
      <c r="I5205">
        <f t="shared" ref="I5205" si="1554">STDEVP(C5189:C5208)</f>
        <v>2.4713206731178821E-3</v>
      </c>
    </row>
    <row r="5206" spans="1:9" x14ac:dyDescent="0.25">
      <c r="A5206">
        <v>1094.6915555556</v>
      </c>
      <c r="B5206">
        <v>1119.0631111110999</v>
      </c>
      <c r="C5206" s="1">
        <f t="shared" si="1549"/>
        <v>2.2263399614086188E-2</v>
      </c>
      <c r="D5206">
        <v>12.722882882883001</v>
      </c>
      <c r="E5206">
        <v>0.29836881725756997</v>
      </c>
      <c r="F5206">
        <v>22</v>
      </c>
      <c r="H5206" t="s">
        <v>20</v>
      </c>
      <c r="I5206">
        <f t="shared" ref="I5206" si="1555">STDEVP(D5189:D5208)</f>
        <v>7.6755056446114259E-2</v>
      </c>
    </row>
    <row r="5207" spans="1:9" x14ac:dyDescent="0.25">
      <c r="A5207">
        <v>1087.5271111111001</v>
      </c>
      <c r="B5207">
        <v>1114.2897777778001</v>
      </c>
      <c r="C5207" s="1">
        <f t="shared" si="1549"/>
        <v>2.4608735169238338E-2</v>
      </c>
      <c r="D5207">
        <v>12.762522522523</v>
      </c>
      <c r="E5207">
        <v>0.30181381947008001</v>
      </c>
      <c r="F5207">
        <v>22</v>
      </c>
      <c r="H5207" t="s">
        <v>21</v>
      </c>
      <c r="I5207">
        <f t="shared" ref="I5207" si="1556">STDEVP(E5189:E5208)</f>
        <v>2.6028334717411944E-3</v>
      </c>
    </row>
    <row r="5208" spans="1:9" x14ac:dyDescent="0.25">
      <c r="A5208">
        <v>1091.7973333333</v>
      </c>
      <c r="B5208">
        <v>1120.9084444443999</v>
      </c>
      <c r="C5208" s="1">
        <f t="shared" si="1549"/>
        <v>2.6663475191153418E-2</v>
      </c>
      <c r="D5208">
        <v>12.668108108107999</v>
      </c>
      <c r="E5208">
        <v>0.29749997987389998</v>
      </c>
      <c r="F5208">
        <v>22</v>
      </c>
      <c r="H5208" t="s">
        <v>22</v>
      </c>
      <c r="I5208">
        <f t="shared" ref="I5208" si="1557">STDEVP(F5189:F5208)</f>
        <v>0.54772255750516607</v>
      </c>
    </row>
    <row r="5209" spans="1:9" x14ac:dyDescent="0.25">
      <c r="C5209" s="1" t="str">
        <f t="shared" si="1549"/>
        <v/>
      </c>
    </row>
    <row r="5210" spans="1:9" x14ac:dyDescent="0.25">
      <c r="A5210">
        <v>983.81465805302003</v>
      </c>
      <c r="B5210">
        <v>1011.9594564491</v>
      </c>
      <c r="C5210" s="1">
        <f t="shared" si="1549"/>
        <v>2.8607825839654488E-2</v>
      </c>
      <c r="D5210">
        <v>11.699683401175999</v>
      </c>
      <c r="E5210">
        <v>0.30729277454291998</v>
      </c>
      <c r="F5210">
        <v>14</v>
      </c>
    </row>
    <row r="5211" spans="1:9" x14ac:dyDescent="0.25">
      <c r="A5211">
        <v>980.82646469147005</v>
      </c>
      <c r="B5211">
        <v>1006.5382044999</v>
      </c>
      <c r="C5211" s="1">
        <f t="shared" si="1549"/>
        <v>2.6214361799992592E-2</v>
      </c>
      <c r="D5211">
        <v>11.549525101764001</v>
      </c>
      <c r="E5211">
        <v>0.30254749073020998</v>
      </c>
      <c r="F5211">
        <v>14</v>
      </c>
    </row>
    <row r="5212" spans="1:9" x14ac:dyDescent="0.25">
      <c r="A5212">
        <v>981.67119625752002</v>
      </c>
      <c r="B5212">
        <v>1003.1289819559</v>
      </c>
      <c r="C5212" s="1">
        <f t="shared" si="1549"/>
        <v>2.1858424470621918E-2</v>
      </c>
      <c r="D5212">
        <v>11.459068294889001</v>
      </c>
      <c r="E5212">
        <v>0.29957430682418001</v>
      </c>
      <c r="F5212">
        <v>14</v>
      </c>
    </row>
    <row r="5213" spans="1:9" x14ac:dyDescent="0.25">
      <c r="A5213">
        <v>974.97215415460005</v>
      </c>
      <c r="B5213">
        <v>1011.0822009356</v>
      </c>
      <c r="C5213" s="1">
        <f t="shared" si="1549"/>
        <v>3.7037003187348372E-2</v>
      </c>
      <c r="D5213">
        <v>11.64631388512</v>
      </c>
      <c r="E5213">
        <v>0.30864459824717999</v>
      </c>
      <c r="F5213">
        <v>14</v>
      </c>
    </row>
    <row r="5214" spans="1:9" x14ac:dyDescent="0.25">
      <c r="A5214">
        <v>995.84896413454999</v>
      </c>
      <c r="B5214">
        <v>1025.6030296280001</v>
      </c>
      <c r="C5214" s="1">
        <f t="shared" si="1549"/>
        <v>2.9878090518784761E-2</v>
      </c>
      <c r="D5214">
        <v>11.654454997739</v>
      </c>
      <c r="E5214">
        <v>0.30101096019306001</v>
      </c>
      <c r="F5214">
        <v>14</v>
      </c>
    </row>
    <row r="5215" spans="1:9" x14ac:dyDescent="0.25">
      <c r="A5215">
        <v>982.68077522834005</v>
      </c>
      <c r="B5215">
        <v>1013.2016039207</v>
      </c>
      <c r="C5215" s="1">
        <f t="shared" si="1549"/>
        <v>3.1058742026644381E-2</v>
      </c>
      <c r="D5215">
        <v>11.513342379014</v>
      </c>
      <c r="E5215">
        <v>0.30100374829153997</v>
      </c>
      <c r="F5215">
        <v>14</v>
      </c>
    </row>
    <row r="5216" spans="1:9" x14ac:dyDescent="0.25">
      <c r="A5216">
        <v>976.05435509022004</v>
      </c>
      <c r="B5216">
        <v>1009.4533303631</v>
      </c>
      <c r="C5216" s="1">
        <f t="shared" si="1549"/>
        <v>3.4218355871987072E-2</v>
      </c>
      <c r="D5216">
        <v>11.50881953867</v>
      </c>
      <c r="E5216">
        <v>0.30320762192520001</v>
      </c>
      <c r="F5216">
        <v>15</v>
      </c>
    </row>
    <row r="5217" spans="1:9" x14ac:dyDescent="0.25">
      <c r="A5217">
        <v>983.55535754066</v>
      </c>
      <c r="B5217">
        <v>1019.3807083983</v>
      </c>
      <c r="C5217" s="1">
        <f t="shared" si="1549"/>
        <v>3.642433604064732E-2</v>
      </c>
      <c r="D5217">
        <v>11.544097693351</v>
      </c>
      <c r="E5217">
        <v>0.3020037233058</v>
      </c>
      <c r="F5217">
        <v>14</v>
      </c>
    </row>
    <row r="5218" spans="1:9" x14ac:dyDescent="0.25">
      <c r="A5218">
        <v>984.286923591</v>
      </c>
      <c r="B5218">
        <v>1016.5943417242</v>
      </c>
      <c r="C5218" s="1">
        <f t="shared" si="1549"/>
        <v>3.2823171129137796E-2</v>
      </c>
      <c r="D5218">
        <v>11.572139303483</v>
      </c>
      <c r="E5218">
        <v>0.30223864718778998</v>
      </c>
      <c r="F5218">
        <v>14</v>
      </c>
    </row>
    <row r="5219" spans="1:9" x14ac:dyDescent="0.25">
      <c r="A5219">
        <v>970.56671864557995</v>
      </c>
      <c r="B5219">
        <v>1008.3644464246</v>
      </c>
      <c r="C5219" s="1">
        <f t="shared" si="1549"/>
        <v>3.8943976805393188E-2</v>
      </c>
      <c r="D5219">
        <v>11.519674355495001</v>
      </c>
      <c r="E5219">
        <v>0.30609609018261003</v>
      </c>
      <c r="F5219">
        <v>14</v>
      </c>
    </row>
    <row r="5220" spans="1:9" x14ac:dyDescent="0.25">
      <c r="A5220">
        <v>982.22766763199002</v>
      </c>
      <c r="B5220">
        <v>1017.898418356</v>
      </c>
      <c r="C5220" s="1">
        <f t="shared" si="1549"/>
        <v>3.6316173835753363E-2</v>
      </c>
      <c r="D5220">
        <v>11.507010402533</v>
      </c>
      <c r="E5220">
        <v>0.30079199714353999</v>
      </c>
      <c r="F5220">
        <v>14</v>
      </c>
    </row>
    <row r="5221" spans="1:9" x14ac:dyDescent="0.25">
      <c r="A5221">
        <v>975.78703497438005</v>
      </c>
      <c r="B5221">
        <v>1010.7814658052999</v>
      </c>
      <c r="C5221" s="1">
        <f t="shared" si="1549"/>
        <v>3.5862774946419318E-2</v>
      </c>
      <c r="D5221">
        <v>11.616463138851</v>
      </c>
      <c r="E5221">
        <v>0.30715344232872999</v>
      </c>
      <c r="F5221">
        <v>14</v>
      </c>
    </row>
    <row r="5222" spans="1:9" x14ac:dyDescent="0.25">
      <c r="A5222">
        <v>976.77121853419999</v>
      </c>
      <c r="B5222">
        <v>1008.4441969258</v>
      </c>
      <c r="C5222" s="1">
        <f t="shared" si="1549"/>
        <v>3.2426199493398755E-2</v>
      </c>
      <c r="D5222">
        <v>11.44369063772</v>
      </c>
      <c r="E5222">
        <v>0.30075355204989002</v>
      </c>
      <c r="F5222">
        <v>14</v>
      </c>
    </row>
    <row r="5223" spans="1:9" x14ac:dyDescent="0.25">
      <c r="A5223">
        <v>978.88304744931997</v>
      </c>
      <c r="B5223">
        <v>1005.5896636222</v>
      </c>
      <c r="C5223" s="1">
        <f t="shared" si="1549"/>
        <v>2.7282744595965358E-2</v>
      </c>
      <c r="D5223">
        <v>11.520578923564001</v>
      </c>
      <c r="E5223">
        <v>0.30251640157732002</v>
      </c>
      <c r="F5223">
        <v>15</v>
      </c>
    </row>
    <row r="5224" spans="1:9" x14ac:dyDescent="0.25">
      <c r="A5224">
        <v>982.42325685007995</v>
      </c>
      <c r="B5224">
        <v>1014.5974604588999</v>
      </c>
      <c r="C5224" s="1">
        <f t="shared" si="1549"/>
        <v>3.2749839119219804E-2</v>
      </c>
      <c r="D5224">
        <v>11.521483491632999</v>
      </c>
      <c r="E5224">
        <v>0.30105396054332001</v>
      </c>
      <c r="F5224">
        <v>14</v>
      </c>
      <c r="H5224" t="s">
        <v>17</v>
      </c>
      <c r="I5224">
        <f t="shared" ref="I5224" si="1558">STDEVP(A5210:A5229)</f>
        <v>5.0857837403242039</v>
      </c>
    </row>
    <row r="5225" spans="1:9" x14ac:dyDescent="0.25">
      <c r="A5225">
        <v>979.14591222989998</v>
      </c>
      <c r="B5225">
        <v>1013.7981733125</v>
      </c>
      <c r="C5225" s="1">
        <f t="shared" si="1549"/>
        <v>3.5390293366678316E-2</v>
      </c>
      <c r="D5225">
        <v>11.639981908638999</v>
      </c>
      <c r="E5225">
        <v>0.30668413129310002</v>
      </c>
      <c r="F5225">
        <v>14</v>
      </c>
      <c r="H5225" t="s">
        <v>18</v>
      </c>
      <c r="I5225">
        <f t="shared" ref="I5225" si="1559">STDEVP(B5210:B5229)</f>
        <v>5.1604271896969891</v>
      </c>
    </row>
    <row r="5226" spans="1:9" x14ac:dyDescent="0.25">
      <c r="A5226">
        <v>976.60013366006001</v>
      </c>
      <c r="B5226">
        <v>1008.456226331</v>
      </c>
      <c r="C5226" s="1">
        <f t="shared" si="1549"/>
        <v>3.2619381846233253E-2</v>
      </c>
      <c r="D5226">
        <v>11.604703753957001</v>
      </c>
      <c r="E5226">
        <v>0.30660461522569998</v>
      </c>
      <c r="F5226">
        <v>14</v>
      </c>
      <c r="H5226" t="s">
        <v>19</v>
      </c>
      <c r="I5226">
        <f t="shared" ref="I5226" si="1560">STDEVP(C5210:C5229)</f>
        <v>4.5862511948708785E-3</v>
      </c>
    </row>
    <row r="5227" spans="1:9" x14ac:dyDescent="0.25">
      <c r="A5227">
        <v>985.92916016929996</v>
      </c>
      <c r="B5227">
        <v>1009.0510135887999</v>
      </c>
      <c r="C5227" s="1">
        <f t="shared" si="1549"/>
        <v>2.3451840511066413E-2</v>
      </c>
      <c r="D5227">
        <v>11.628222523745</v>
      </c>
      <c r="E5227">
        <v>0.30343332976555998</v>
      </c>
      <c r="F5227">
        <v>14</v>
      </c>
      <c r="H5227" t="s">
        <v>20</v>
      </c>
      <c r="I5227">
        <f t="shared" ref="I5227" si="1561">STDEVP(D5210:D5229)</f>
        <v>7.0646071235172123E-2</v>
      </c>
    </row>
    <row r="5228" spans="1:9" x14ac:dyDescent="0.25">
      <c r="A5228">
        <v>981.02428157718998</v>
      </c>
      <c r="B5228">
        <v>1010.5159278236</v>
      </c>
      <c r="C5228" s="1">
        <f t="shared" si="1549"/>
        <v>3.0062096117535742E-2</v>
      </c>
      <c r="D5228">
        <v>11.662596110357001</v>
      </c>
      <c r="E5228">
        <v>0.30663204695302998</v>
      </c>
      <c r="F5228">
        <v>14</v>
      </c>
      <c r="H5228" t="s">
        <v>21</v>
      </c>
      <c r="I5228">
        <f t="shared" ref="I5228" si="1562">STDEVP(E5210:E5229)</f>
        <v>2.7004954990455634E-3</v>
      </c>
    </row>
    <row r="5229" spans="1:9" x14ac:dyDescent="0.25">
      <c r="A5229">
        <v>980.13677879260001</v>
      </c>
      <c r="B5229">
        <v>1016.2463800401</v>
      </c>
      <c r="C5229" s="1">
        <f t="shared" si="1549"/>
        <v>3.684138992517183E-2</v>
      </c>
      <c r="D5229">
        <v>11.520578923564001</v>
      </c>
      <c r="E5229">
        <v>0.30250574080469</v>
      </c>
      <c r="F5229">
        <v>15</v>
      </c>
      <c r="H5229" t="s">
        <v>22</v>
      </c>
      <c r="I5229">
        <f t="shared" ref="I5229" si="1563">STDEVP(F5210:F5229)</f>
        <v>0.35707142142714249</v>
      </c>
    </row>
    <row r="5230" spans="1:9" x14ac:dyDescent="0.25">
      <c r="C5230" s="1" t="str">
        <f t="shared" si="1549"/>
        <v/>
      </c>
    </row>
    <row r="5231" spans="1:9" x14ac:dyDescent="0.25">
      <c r="A5231">
        <v>555.36296296295995</v>
      </c>
      <c r="B5231">
        <v>587.12592592593001</v>
      </c>
      <c r="C5231" s="1">
        <f t="shared" si="1549"/>
        <v>5.719316029558219E-2</v>
      </c>
      <c r="D5231">
        <v>9.0606060606060996</v>
      </c>
      <c r="E5231">
        <v>0.47185042718777997</v>
      </c>
      <c r="F5231">
        <v>15</v>
      </c>
    </row>
    <row r="5232" spans="1:9" x14ac:dyDescent="0.25">
      <c r="A5232">
        <v>552.69135802468998</v>
      </c>
      <c r="B5232">
        <v>584.03456790124005</v>
      </c>
      <c r="C5232" s="1">
        <f t="shared" si="1549"/>
        <v>5.6710150107232016E-2</v>
      </c>
      <c r="D5232">
        <v>9.3535353535354009</v>
      </c>
      <c r="E5232">
        <v>0.49687690653696998</v>
      </c>
      <c r="F5232">
        <v>16</v>
      </c>
    </row>
    <row r="5233" spans="1:9" x14ac:dyDescent="0.25">
      <c r="A5233">
        <v>535.63950617284002</v>
      </c>
      <c r="B5233">
        <v>569.83703703703998</v>
      </c>
      <c r="C5233" s="1">
        <f t="shared" si="1549"/>
        <v>6.3844302875533332E-2</v>
      </c>
      <c r="D5233">
        <v>8.9292929292929006</v>
      </c>
      <c r="E5233">
        <v>0.48629328807911998</v>
      </c>
      <c r="F5233">
        <v>15</v>
      </c>
    </row>
    <row r="5234" spans="1:9" x14ac:dyDescent="0.25">
      <c r="A5234">
        <v>552.47901234567996</v>
      </c>
      <c r="B5234">
        <v>584.01975308642</v>
      </c>
      <c r="C5234" s="1">
        <f t="shared" si="1549"/>
        <v>5.7089482199199626E-2</v>
      </c>
      <c r="D5234">
        <v>9.3494949494949005</v>
      </c>
      <c r="E5234">
        <v>0.49732664426452</v>
      </c>
      <c r="F5234">
        <v>16</v>
      </c>
    </row>
    <row r="5235" spans="1:9" x14ac:dyDescent="0.25">
      <c r="A5235">
        <v>545.49135802469004</v>
      </c>
      <c r="B5235">
        <v>591.82716049382998</v>
      </c>
      <c r="C5235" s="1">
        <f t="shared" si="1549"/>
        <v>8.494323839873319E-2</v>
      </c>
      <c r="D5235">
        <v>9.1353535353535005</v>
      </c>
      <c r="E5235">
        <v>0.49131518930126</v>
      </c>
      <c r="F5235">
        <v>15</v>
      </c>
    </row>
    <row r="5236" spans="1:9" x14ac:dyDescent="0.25">
      <c r="A5236">
        <v>548.55802469135995</v>
      </c>
      <c r="B5236">
        <v>582.74074074073997</v>
      </c>
      <c r="C5236" s="1">
        <f t="shared" si="1549"/>
        <v>6.2313765382636666E-2</v>
      </c>
      <c r="D5236">
        <v>9.0989898989899007</v>
      </c>
      <c r="E5236">
        <v>0.48238628701172998</v>
      </c>
      <c r="F5236">
        <v>16</v>
      </c>
    </row>
    <row r="5237" spans="1:9" x14ac:dyDescent="0.25">
      <c r="A5237">
        <v>557.03209876542996</v>
      </c>
      <c r="B5237">
        <v>592.00493827160994</v>
      </c>
      <c r="C5237" s="1">
        <f t="shared" si="1549"/>
        <v>6.2784244541188139E-2</v>
      </c>
      <c r="D5237">
        <v>9.4323232323231991</v>
      </c>
      <c r="E5237">
        <v>0.49748526825632</v>
      </c>
      <c r="F5237">
        <v>16</v>
      </c>
    </row>
    <row r="5238" spans="1:9" x14ac:dyDescent="0.25">
      <c r="A5238">
        <v>552.23703703703995</v>
      </c>
      <c r="B5238">
        <v>581.35802469136001</v>
      </c>
      <c r="C5238" s="1">
        <f t="shared" si="1549"/>
        <v>5.2732768179702516E-2</v>
      </c>
      <c r="D5238">
        <v>9.4666666666667005</v>
      </c>
      <c r="E5238">
        <v>0.50720976133010998</v>
      </c>
      <c r="F5238">
        <v>16</v>
      </c>
    </row>
    <row r="5239" spans="1:9" x14ac:dyDescent="0.25">
      <c r="A5239">
        <v>546.92839506173004</v>
      </c>
      <c r="B5239">
        <v>582.12839506172998</v>
      </c>
      <c r="C5239" s="1">
        <f t="shared" si="1549"/>
        <v>6.4359430444321797E-2</v>
      </c>
      <c r="D5239">
        <v>9.2929292929292995</v>
      </c>
      <c r="E5239">
        <v>0.50172531498697004</v>
      </c>
      <c r="F5239">
        <v>15</v>
      </c>
    </row>
    <row r="5240" spans="1:9" x14ac:dyDescent="0.25">
      <c r="A5240">
        <v>552.88395061727999</v>
      </c>
      <c r="B5240">
        <v>593.60493827160997</v>
      </c>
      <c r="C5240" s="1">
        <f t="shared" si="1549"/>
        <v>7.365196187891887E-2</v>
      </c>
      <c r="D5240">
        <v>9.4929292929293005</v>
      </c>
      <c r="E5240">
        <v>0.50854669913682005</v>
      </c>
      <c r="F5240">
        <v>16</v>
      </c>
    </row>
    <row r="5241" spans="1:9" x14ac:dyDescent="0.25">
      <c r="A5241">
        <v>553.63456790122996</v>
      </c>
      <c r="B5241">
        <v>582.58765432099005</v>
      </c>
      <c r="C5241" s="1">
        <f t="shared" si="1549"/>
        <v>5.2296384832901888E-2</v>
      </c>
      <c r="D5241">
        <v>9.4767676767677003</v>
      </c>
      <c r="E5241">
        <v>0.50798930454183</v>
      </c>
      <c r="F5241">
        <v>16</v>
      </c>
    </row>
    <row r="5242" spans="1:9" x14ac:dyDescent="0.25">
      <c r="A5242">
        <v>554.29629629630006</v>
      </c>
      <c r="B5242">
        <v>587.6</v>
      </c>
      <c r="C5242" s="1">
        <f t="shared" si="1549"/>
        <v>6.0082854470125069E-2</v>
      </c>
      <c r="D5242">
        <v>9.3151515151515003</v>
      </c>
      <c r="E5242">
        <v>0.49370040235385998</v>
      </c>
      <c r="F5242">
        <v>15</v>
      </c>
    </row>
    <row r="5243" spans="1:9" x14ac:dyDescent="0.25">
      <c r="A5243">
        <v>543.85185185185003</v>
      </c>
      <c r="B5243">
        <v>577.08641975309001</v>
      </c>
      <c r="C5243" s="1">
        <f t="shared" si="1549"/>
        <v>6.1109597748125966E-2</v>
      </c>
      <c r="D5243">
        <v>9.0424242424242003</v>
      </c>
      <c r="E5243">
        <v>0.48538550001522002</v>
      </c>
      <c r="F5243">
        <v>16</v>
      </c>
    </row>
    <row r="5244" spans="1:9" x14ac:dyDescent="0.25">
      <c r="A5244">
        <v>546.26172839506</v>
      </c>
      <c r="B5244">
        <v>580.66666666667004</v>
      </c>
      <c r="C5244" s="1">
        <f t="shared" si="1549"/>
        <v>6.2982516407827482E-2</v>
      </c>
      <c r="D5244">
        <v>9.2383838383838004</v>
      </c>
      <c r="E5244">
        <v>0.49804706062895998</v>
      </c>
      <c r="F5244">
        <v>15</v>
      </c>
    </row>
    <row r="5245" spans="1:9" x14ac:dyDescent="0.25">
      <c r="A5245">
        <v>547.97530864197995</v>
      </c>
      <c r="B5245">
        <v>584.46419753087002</v>
      </c>
      <c r="C5245" s="1">
        <f t="shared" si="1549"/>
        <v>6.6588563961611058E-2</v>
      </c>
      <c r="D5245">
        <v>8.9555555555556001</v>
      </c>
      <c r="E5245">
        <v>0.47393312014869998</v>
      </c>
      <c r="F5245">
        <v>16</v>
      </c>
      <c r="H5245" t="s">
        <v>17</v>
      </c>
      <c r="I5245">
        <f t="shared" ref="I5245" si="1564">STDEVP(A5231:A5250)</f>
        <v>6.5062187502768856</v>
      </c>
    </row>
    <row r="5246" spans="1:9" x14ac:dyDescent="0.25">
      <c r="A5246">
        <v>565.28395061727997</v>
      </c>
      <c r="B5246">
        <v>588.39506172840004</v>
      </c>
      <c r="C5246" s="1">
        <f t="shared" si="1549"/>
        <v>4.0884074429997863E-2</v>
      </c>
      <c r="D5246">
        <v>9.3656565656566002</v>
      </c>
      <c r="E5246">
        <v>0.48172407199109002</v>
      </c>
      <c r="F5246">
        <v>16</v>
      </c>
      <c r="H5246" t="s">
        <v>18</v>
      </c>
      <c r="I5246">
        <f t="shared" ref="I5246" si="1565">STDEVP(B5231:B5250)</f>
        <v>5.6742701832470539</v>
      </c>
    </row>
    <row r="5247" spans="1:9" x14ac:dyDescent="0.25">
      <c r="A5247">
        <v>550.03950617283999</v>
      </c>
      <c r="B5247">
        <v>579.04691358025002</v>
      </c>
      <c r="C5247" s="1">
        <f t="shared" si="1549"/>
        <v>5.2736952676804671E-2</v>
      </c>
      <c r="D5247">
        <v>9.2383838383838004</v>
      </c>
      <c r="E5247">
        <v>0.49320167411117999</v>
      </c>
      <c r="F5247">
        <v>16</v>
      </c>
      <c r="H5247" t="s">
        <v>19</v>
      </c>
      <c r="I5247">
        <f t="shared" ref="I5247" si="1566">STDEVP(C5231:C5250)</f>
        <v>8.9816412013609421E-3</v>
      </c>
    </row>
    <row r="5248" spans="1:9" x14ac:dyDescent="0.25">
      <c r="A5248">
        <v>539.37283950616995</v>
      </c>
      <c r="B5248">
        <v>578.87901234568005</v>
      </c>
      <c r="C5248" s="1">
        <f t="shared" si="1549"/>
        <v>7.3244646274144065E-2</v>
      </c>
      <c r="D5248">
        <v>9.0929292929293002</v>
      </c>
      <c r="E5248">
        <v>0.49544371730485998</v>
      </c>
      <c r="F5248">
        <v>16</v>
      </c>
      <c r="H5248" t="s">
        <v>20</v>
      </c>
      <c r="I5248">
        <f t="shared" ref="I5248" si="1567">STDEVP(D5231:D5250)</f>
        <v>0.17069463824191924</v>
      </c>
    </row>
    <row r="5249" spans="1:9" x14ac:dyDescent="0.25">
      <c r="A5249">
        <v>550.29629629630006</v>
      </c>
      <c r="B5249">
        <v>585.11111111110995</v>
      </c>
      <c r="C5249" s="1">
        <f t="shared" si="1549"/>
        <v>6.326558083186562E-2</v>
      </c>
      <c r="D5249">
        <v>9.3151515151515003</v>
      </c>
      <c r="E5249">
        <v>0.49905301876538</v>
      </c>
      <c r="F5249">
        <v>15</v>
      </c>
      <c r="H5249" t="s">
        <v>21</v>
      </c>
      <c r="I5249">
        <f t="shared" ref="I5249" si="1568">STDEVP(E5231:E5250)</f>
        <v>1.0057497489281893E-2</v>
      </c>
    </row>
    <row r="5250" spans="1:9" x14ac:dyDescent="0.25">
      <c r="A5250">
        <v>558.56790123456994</v>
      </c>
      <c r="B5250">
        <v>591.70864197531</v>
      </c>
      <c r="C5250" s="1">
        <f t="shared" ref="C5250" si="1569">IFERROR((B5250/A5250)-1,"")</f>
        <v>5.9331624082749945E-2</v>
      </c>
      <c r="D5250">
        <v>9.3858585858585997</v>
      </c>
      <c r="E5250">
        <v>0.49332357930484999</v>
      </c>
      <c r="F5250">
        <v>16</v>
      </c>
      <c r="H5250" t="s">
        <v>22</v>
      </c>
      <c r="I5250">
        <f t="shared" ref="I5250" si="1570">STDEVP(F5231:F5250)</f>
        <v>0.47696960070847277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 Dömsödi</dc:creator>
  <cp:lastModifiedBy>Balázs Dömsödi</cp:lastModifiedBy>
  <dcterms:created xsi:type="dcterms:W3CDTF">2021-07-12T07:27:06Z</dcterms:created>
  <dcterms:modified xsi:type="dcterms:W3CDTF">2021-09-22T18:41:37Z</dcterms:modified>
</cp:coreProperties>
</file>